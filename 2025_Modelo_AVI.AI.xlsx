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Videos\Caslu_Ltda\AVI.ai\"/>
    </mc:Choice>
  </mc:AlternateContent>
  <xr:revisionPtr revIDLastSave="0" documentId="13_ncr:1_{A898F6D6-1110-41C8-8E63-EA145DCCC8B5}" xr6:coauthVersionLast="47" xr6:coauthVersionMax="47" xr10:uidLastSave="{00000000-0000-0000-0000-000000000000}"/>
  <bookViews>
    <workbookView xWindow="-120" yWindow="-120" windowWidth="29040" windowHeight="16440" tabRatio="0" firstSheet="1" activeTab="1" xr2:uid="{713FC848-C85B-462E-9478-359C546BFA82}"/>
  </bookViews>
  <sheets>
    <sheet name="Resumen_P&amp;G" sheetId="7" state="veryHidden" r:id="rId1"/>
    <sheet name="P&amp;G_Agente_Inmobiliario" sheetId="1" r:id="rId2"/>
    <sheet name="Hoja1" sheetId="8" r:id="rId3"/>
    <sheet name="Hoja3" sheetId="9" r:id="rId4"/>
    <sheet name="Hoja4" sheetId="10" r:id="rId5"/>
    <sheet name="Poblacion_x_Comuna" sheetId="3" state="veryHidden" r:id="rId6"/>
    <sheet name="Poblacion_x_Región" sheetId="4" state="veryHidden" r:id="rId7"/>
    <sheet name="TD_Pob_x_Comuna" sheetId="5" state="veryHidden" r:id="rId8"/>
    <sheet name="P&amp;G (2)" sheetId="6" state="veryHidden" r:id="rId9"/>
    <sheet name="Hoja2" sheetId="2" state="veryHidden" r:id="rId10"/>
  </sheets>
  <definedNames>
    <definedName name="_xlnm._FilterDatabase" localSheetId="3" hidden="1">Hoja3!$A$1:$H$845</definedName>
    <definedName name="_xlchart.v1.0" hidden="1">Hoja3!$G$1:$G$583</definedName>
    <definedName name="_xlchart.v1.1" hidden="1">Hoja3!$G$584:$G$845</definedName>
  </definedNames>
  <calcPr calcId="191029"/>
  <pivotCaches>
    <pivotCache cacheId="53" r:id="rId11"/>
    <pivotCache cacheId="54" r:id="rId12"/>
    <pivotCache cacheId="55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1" l="1"/>
  <c r="P22" i="1" s="1"/>
  <c r="H845" i="9"/>
  <c r="H844" i="9"/>
  <c r="H843" i="9"/>
  <c r="H842" i="9"/>
  <c r="H841" i="9"/>
  <c r="H840" i="9"/>
  <c r="H839" i="9"/>
  <c r="H838" i="9"/>
  <c r="H837" i="9"/>
  <c r="H836" i="9"/>
  <c r="H835" i="9"/>
  <c r="H834" i="9"/>
  <c r="H833" i="9"/>
  <c r="H832" i="9"/>
  <c r="H831" i="9"/>
  <c r="H830" i="9"/>
  <c r="H829" i="9"/>
  <c r="H828" i="9"/>
  <c r="H827" i="9"/>
  <c r="H826" i="9"/>
  <c r="H825" i="9"/>
  <c r="H824" i="9"/>
  <c r="H823" i="9"/>
  <c r="H822" i="9"/>
  <c r="H821" i="9"/>
  <c r="H820" i="9"/>
  <c r="H819" i="9"/>
  <c r="H818" i="9"/>
  <c r="H817" i="9"/>
  <c r="H816" i="9"/>
  <c r="H815" i="9"/>
  <c r="H814" i="9"/>
  <c r="H813" i="9"/>
  <c r="H812" i="9"/>
  <c r="H811" i="9"/>
  <c r="H810" i="9"/>
  <c r="H809" i="9"/>
  <c r="H808" i="9"/>
  <c r="H807" i="9"/>
  <c r="H806" i="9"/>
  <c r="H805" i="9"/>
  <c r="H804" i="9"/>
  <c r="H803" i="9"/>
  <c r="H802" i="9"/>
  <c r="H801" i="9"/>
  <c r="H800" i="9"/>
  <c r="H799" i="9"/>
  <c r="H798" i="9"/>
  <c r="H797" i="9"/>
  <c r="H796" i="9"/>
  <c r="H795" i="9"/>
  <c r="H794" i="9"/>
  <c r="H793" i="9"/>
  <c r="H792" i="9"/>
  <c r="H791" i="9"/>
  <c r="H790" i="9"/>
  <c r="H789" i="9"/>
  <c r="H788" i="9"/>
  <c r="H787" i="9"/>
  <c r="H786" i="9"/>
  <c r="H785" i="9"/>
  <c r="H784" i="9"/>
  <c r="H783" i="9"/>
  <c r="H782" i="9"/>
  <c r="H781" i="9"/>
  <c r="H780" i="9"/>
  <c r="H779" i="9"/>
  <c r="H778" i="9"/>
  <c r="H777" i="9"/>
  <c r="H776" i="9"/>
  <c r="H775" i="9"/>
  <c r="H774" i="9"/>
  <c r="H773" i="9"/>
  <c r="H772" i="9"/>
  <c r="H771" i="9"/>
  <c r="H770" i="9"/>
  <c r="H769" i="9"/>
  <c r="H768" i="9"/>
  <c r="H767" i="9"/>
  <c r="H766" i="9"/>
  <c r="H765" i="9"/>
  <c r="H764" i="9"/>
  <c r="H763" i="9"/>
  <c r="H762" i="9"/>
  <c r="H761" i="9"/>
  <c r="H760" i="9"/>
  <c r="H759" i="9"/>
  <c r="H758" i="9"/>
  <c r="H757" i="9"/>
  <c r="H756" i="9"/>
  <c r="H755" i="9"/>
  <c r="H754" i="9"/>
  <c r="H753" i="9"/>
  <c r="H752" i="9"/>
  <c r="H751" i="9"/>
  <c r="H750" i="9"/>
  <c r="H749" i="9"/>
  <c r="H748" i="9"/>
  <c r="H747" i="9"/>
  <c r="H746" i="9"/>
  <c r="H745" i="9"/>
  <c r="H744" i="9"/>
  <c r="H743" i="9"/>
  <c r="H742" i="9"/>
  <c r="H741" i="9"/>
  <c r="H740" i="9"/>
  <c r="H739" i="9"/>
  <c r="H738" i="9"/>
  <c r="H737" i="9"/>
  <c r="H736" i="9"/>
  <c r="H735" i="9"/>
  <c r="H734" i="9"/>
  <c r="H733" i="9"/>
  <c r="H732" i="9"/>
  <c r="H731" i="9"/>
  <c r="H730" i="9"/>
  <c r="H729" i="9"/>
  <c r="H728" i="9"/>
  <c r="H727" i="9"/>
  <c r="H726" i="9"/>
  <c r="H725" i="9"/>
  <c r="H724" i="9"/>
  <c r="H723" i="9"/>
  <c r="H722" i="9"/>
  <c r="H721" i="9"/>
  <c r="H720" i="9"/>
  <c r="H719" i="9"/>
  <c r="H718" i="9"/>
  <c r="H717" i="9"/>
  <c r="H716" i="9"/>
  <c r="H715" i="9"/>
  <c r="H714" i="9"/>
  <c r="H713" i="9"/>
  <c r="H712" i="9"/>
  <c r="H711" i="9"/>
  <c r="H710" i="9"/>
  <c r="H709" i="9"/>
  <c r="H708" i="9"/>
  <c r="H707" i="9"/>
  <c r="H706" i="9"/>
  <c r="H705" i="9"/>
  <c r="H704" i="9"/>
  <c r="H703" i="9"/>
  <c r="H702" i="9"/>
  <c r="H701" i="9"/>
  <c r="H700" i="9"/>
  <c r="H699" i="9"/>
  <c r="H698" i="9"/>
  <c r="H697" i="9"/>
  <c r="H696" i="9"/>
  <c r="H695" i="9"/>
  <c r="H694" i="9"/>
  <c r="H693" i="9"/>
  <c r="H692" i="9"/>
  <c r="H691" i="9"/>
  <c r="H690" i="9"/>
  <c r="H689" i="9"/>
  <c r="H688" i="9"/>
  <c r="H687" i="9"/>
  <c r="H686" i="9"/>
  <c r="H685" i="9"/>
  <c r="H684" i="9"/>
  <c r="H683" i="9"/>
  <c r="H682" i="9"/>
  <c r="H681" i="9"/>
  <c r="H680" i="9"/>
  <c r="H679" i="9"/>
  <c r="H678" i="9"/>
  <c r="H677" i="9"/>
  <c r="H676" i="9"/>
  <c r="H675" i="9"/>
  <c r="H674" i="9"/>
  <c r="H673" i="9"/>
  <c r="H672" i="9"/>
  <c r="H671" i="9"/>
  <c r="H670" i="9"/>
  <c r="H669" i="9"/>
  <c r="H668" i="9"/>
  <c r="H667" i="9"/>
  <c r="H666" i="9"/>
  <c r="H665" i="9"/>
  <c r="H664" i="9"/>
  <c r="H663" i="9"/>
  <c r="H662" i="9"/>
  <c r="H661" i="9"/>
  <c r="H660" i="9"/>
  <c r="H659" i="9"/>
  <c r="H658" i="9"/>
  <c r="H657" i="9"/>
  <c r="H656" i="9"/>
  <c r="H655" i="9"/>
  <c r="H654" i="9"/>
  <c r="H653" i="9"/>
  <c r="H652" i="9"/>
  <c r="H651" i="9"/>
  <c r="H650" i="9"/>
  <c r="H649" i="9"/>
  <c r="H648" i="9"/>
  <c r="H647" i="9"/>
  <c r="H646" i="9"/>
  <c r="H645" i="9"/>
  <c r="H644" i="9"/>
  <c r="H643" i="9"/>
  <c r="H642" i="9"/>
  <c r="H641" i="9"/>
  <c r="H640" i="9"/>
  <c r="H639" i="9"/>
  <c r="H638" i="9"/>
  <c r="H637" i="9"/>
  <c r="H636" i="9"/>
  <c r="H635" i="9"/>
  <c r="H634" i="9"/>
  <c r="H633" i="9"/>
  <c r="H632" i="9"/>
  <c r="H631" i="9"/>
  <c r="H630" i="9"/>
  <c r="H629" i="9"/>
  <c r="H628" i="9"/>
  <c r="H627" i="9"/>
  <c r="H626" i="9"/>
  <c r="H625" i="9"/>
  <c r="H624" i="9"/>
  <c r="H623" i="9"/>
  <c r="H622" i="9"/>
  <c r="H621" i="9"/>
  <c r="H620" i="9"/>
  <c r="H619" i="9"/>
  <c r="H618" i="9"/>
  <c r="H617" i="9"/>
  <c r="H616" i="9"/>
  <c r="H615" i="9"/>
  <c r="H614" i="9"/>
  <c r="H613" i="9"/>
  <c r="H612" i="9"/>
  <c r="H611" i="9"/>
  <c r="H610" i="9"/>
  <c r="H609" i="9"/>
  <c r="H608" i="9"/>
  <c r="H607" i="9"/>
  <c r="H606" i="9"/>
  <c r="H605" i="9"/>
  <c r="H604" i="9"/>
  <c r="H603" i="9"/>
  <c r="H602" i="9"/>
  <c r="H601" i="9"/>
  <c r="H600" i="9"/>
  <c r="H599" i="9"/>
  <c r="H598" i="9"/>
  <c r="H597" i="9"/>
  <c r="H596" i="9"/>
  <c r="H595" i="9"/>
  <c r="H594" i="9"/>
  <c r="H593" i="9"/>
  <c r="H592" i="9"/>
  <c r="H591" i="9"/>
  <c r="H590" i="9"/>
  <c r="H589" i="9"/>
  <c r="H588" i="9"/>
  <c r="H587" i="9"/>
  <c r="H586" i="9"/>
  <c r="H585" i="9"/>
  <c r="H584" i="9"/>
  <c r="H583" i="9"/>
  <c r="H582" i="9"/>
  <c r="H581" i="9"/>
  <c r="H580" i="9"/>
  <c r="H579" i="9"/>
  <c r="H578" i="9"/>
  <c r="H577" i="9"/>
  <c r="H576" i="9"/>
  <c r="H575" i="9"/>
  <c r="H574" i="9"/>
  <c r="H573" i="9"/>
  <c r="H572" i="9"/>
  <c r="H571" i="9"/>
  <c r="H570" i="9"/>
  <c r="H569" i="9"/>
  <c r="H568" i="9"/>
  <c r="H567" i="9"/>
  <c r="H566" i="9"/>
  <c r="H565" i="9"/>
  <c r="H564" i="9"/>
  <c r="H563" i="9"/>
  <c r="H562" i="9"/>
  <c r="H561" i="9"/>
  <c r="H560" i="9"/>
  <c r="H559" i="9"/>
  <c r="H558" i="9"/>
  <c r="H557" i="9"/>
  <c r="H556" i="9"/>
  <c r="H555" i="9"/>
  <c r="H554" i="9"/>
  <c r="H553" i="9"/>
  <c r="H552" i="9"/>
  <c r="H551" i="9"/>
  <c r="H550" i="9"/>
  <c r="H549" i="9"/>
  <c r="H548" i="9"/>
  <c r="H547" i="9"/>
  <c r="H546" i="9"/>
  <c r="H545" i="9"/>
  <c r="H544" i="9"/>
  <c r="H543" i="9"/>
  <c r="H542" i="9"/>
  <c r="H541" i="9"/>
  <c r="H540" i="9"/>
  <c r="H539" i="9"/>
  <c r="H538" i="9"/>
  <c r="H537" i="9"/>
  <c r="H536" i="9"/>
  <c r="H535" i="9"/>
  <c r="H534" i="9"/>
  <c r="H533" i="9"/>
  <c r="H532" i="9"/>
  <c r="H531" i="9"/>
  <c r="H530" i="9"/>
  <c r="H529" i="9"/>
  <c r="H528" i="9"/>
  <c r="H527" i="9"/>
  <c r="H526" i="9"/>
  <c r="H525" i="9"/>
  <c r="H524" i="9"/>
  <c r="H523" i="9"/>
  <c r="H522" i="9"/>
  <c r="H521" i="9"/>
  <c r="H520" i="9"/>
  <c r="H519" i="9"/>
  <c r="H518" i="9"/>
  <c r="H517" i="9"/>
  <c r="H516" i="9"/>
  <c r="H515" i="9"/>
  <c r="H514" i="9"/>
  <c r="H513" i="9"/>
  <c r="H512" i="9"/>
  <c r="H511" i="9"/>
  <c r="H510" i="9"/>
  <c r="H509" i="9"/>
  <c r="H508" i="9"/>
  <c r="H507" i="9"/>
  <c r="H506" i="9"/>
  <c r="H505" i="9"/>
  <c r="H504" i="9"/>
  <c r="H503" i="9"/>
  <c r="H502" i="9"/>
  <c r="H501" i="9"/>
  <c r="H500" i="9"/>
  <c r="H499" i="9"/>
  <c r="H498" i="9"/>
  <c r="H497" i="9"/>
  <c r="H496" i="9"/>
  <c r="H495" i="9"/>
  <c r="H494" i="9"/>
  <c r="H493" i="9"/>
  <c r="H492" i="9"/>
  <c r="H491" i="9"/>
  <c r="H490" i="9"/>
  <c r="H489" i="9"/>
  <c r="H488" i="9"/>
  <c r="H487" i="9"/>
  <c r="H486" i="9"/>
  <c r="H485" i="9"/>
  <c r="H484" i="9"/>
  <c r="H483" i="9"/>
  <c r="H482" i="9"/>
  <c r="H481" i="9"/>
  <c r="H480" i="9"/>
  <c r="H479" i="9"/>
  <c r="H478" i="9"/>
  <c r="H477" i="9"/>
  <c r="H476" i="9"/>
  <c r="H475" i="9"/>
  <c r="H474" i="9"/>
  <c r="H473" i="9"/>
  <c r="H472" i="9"/>
  <c r="H471" i="9"/>
  <c r="H470" i="9"/>
  <c r="H469" i="9"/>
  <c r="H468" i="9"/>
  <c r="H467" i="9"/>
  <c r="H466" i="9"/>
  <c r="H465" i="9"/>
  <c r="H464" i="9"/>
  <c r="H463" i="9"/>
  <c r="H462" i="9"/>
  <c r="H461" i="9"/>
  <c r="H460" i="9"/>
  <c r="H459" i="9"/>
  <c r="H458" i="9"/>
  <c r="H457" i="9"/>
  <c r="H456" i="9"/>
  <c r="H455" i="9"/>
  <c r="H454" i="9"/>
  <c r="H453" i="9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I3" i="8"/>
  <c r="I4" i="8"/>
  <c r="I5" i="8"/>
  <c r="I6" i="8"/>
  <c r="I7" i="8"/>
  <c r="J7" i="8" s="1"/>
  <c r="K7" i="8" s="1"/>
  <c r="I8" i="8"/>
  <c r="I9" i="8"/>
  <c r="I10" i="8"/>
  <c r="I11" i="8"/>
  <c r="I12" i="8"/>
  <c r="I13" i="8"/>
  <c r="I14" i="8"/>
  <c r="I15" i="8"/>
  <c r="J15" i="8" s="1"/>
  <c r="K15" i="8" s="1"/>
  <c r="I16" i="8"/>
  <c r="I17" i="8"/>
  <c r="I18" i="8"/>
  <c r="I19" i="8"/>
  <c r="I20" i="8"/>
  <c r="I21" i="8"/>
  <c r="I22" i="8"/>
  <c r="J22" i="8" s="1"/>
  <c r="I23" i="8"/>
  <c r="I24" i="8"/>
  <c r="I25" i="8"/>
  <c r="I26" i="8"/>
  <c r="I27" i="8"/>
  <c r="J27" i="8" s="1"/>
  <c r="K27" i="8" s="1"/>
  <c r="I28" i="8"/>
  <c r="I29" i="8"/>
  <c r="I30" i="8"/>
  <c r="I31" i="8"/>
  <c r="I32" i="8"/>
  <c r="I33" i="8"/>
  <c r="J32" i="8"/>
  <c r="K32" i="8" s="1"/>
  <c r="J31" i="8"/>
  <c r="K31" i="8" s="1"/>
  <c r="J28" i="8"/>
  <c r="K28" i="8" s="1"/>
  <c r="J24" i="8"/>
  <c r="K24" i="8" s="1"/>
  <c r="J23" i="8"/>
  <c r="K23" i="8" s="1"/>
  <c r="J20" i="8"/>
  <c r="K20" i="8" s="1"/>
  <c r="J19" i="8"/>
  <c r="K19" i="8" s="1"/>
  <c r="J16" i="8"/>
  <c r="K16" i="8" s="1"/>
  <c r="J12" i="8"/>
  <c r="K12" i="8" s="1"/>
  <c r="J11" i="8"/>
  <c r="K11" i="8" s="1"/>
  <c r="J8" i="8"/>
  <c r="K8" i="8" s="1"/>
  <c r="J4" i="8"/>
  <c r="K4" i="8" s="1"/>
  <c r="J3" i="8"/>
  <c r="K3" i="8" s="1"/>
  <c r="F3" i="8"/>
  <c r="G3" i="8" s="1"/>
  <c r="H3" i="8" s="1"/>
  <c r="F4" i="8"/>
  <c r="F5" i="8"/>
  <c r="G5" i="8" s="1"/>
  <c r="H5" i="8" s="1"/>
  <c r="F6" i="8"/>
  <c r="G6" i="8" s="1"/>
  <c r="H6" i="8" s="1"/>
  <c r="F7" i="8"/>
  <c r="F8" i="8"/>
  <c r="G8" i="8" s="1"/>
  <c r="H8" i="8" s="1"/>
  <c r="F9" i="8"/>
  <c r="G9" i="8" s="1"/>
  <c r="H9" i="8" s="1"/>
  <c r="F10" i="8"/>
  <c r="G10" i="8" s="1"/>
  <c r="H10" i="8" s="1"/>
  <c r="F11" i="8"/>
  <c r="G11" i="8" s="1"/>
  <c r="H11" i="8" s="1"/>
  <c r="F12" i="8"/>
  <c r="F13" i="8"/>
  <c r="F14" i="8"/>
  <c r="G14" i="8" s="1"/>
  <c r="H14" i="8" s="1"/>
  <c r="F15" i="8"/>
  <c r="G15" i="8" s="1"/>
  <c r="H15" i="8" s="1"/>
  <c r="F16" i="8"/>
  <c r="G16" i="8" s="1"/>
  <c r="H16" i="8" s="1"/>
  <c r="F17" i="8"/>
  <c r="F18" i="8"/>
  <c r="G18" i="8" s="1"/>
  <c r="H18" i="8" s="1"/>
  <c r="F19" i="8"/>
  <c r="F20" i="8"/>
  <c r="G20" i="8" s="1"/>
  <c r="H20" i="8" s="1"/>
  <c r="F21" i="8"/>
  <c r="G21" i="8" s="1"/>
  <c r="H21" i="8" s="1"/>
  <c r="F22" i="8"/>
  <c r="G22" i="8" s="1"/>
  <c r="H22" i="8" s="1"/>
  <c r="F23" i="8"/>
  <c r="G23" i="8" s="1"/>
  <c r="H23" i="8" s="1"/>
  <c r="F24" i="8"/>
  <c r="F25" i="8"/>
  <c r="G25" i="8" s="1"/>
  <c r="H25" i="8" s="1"/>
  <c r="F26" i="8"/>
  <c r="G26" i="8" s="1"/>
  <c r="H26" i="8" s="1"/>
  <c r="F27" i="8"/>
  <c r="F28" i="8"/>
  <c r="G28" i="8" s="1"/>
  <c r="H28" i="8" s="1"/>
  <c r="F29" i="8"/>
  <c r="F30" i="8"/>
  <c r="G30" i="8" s="1"/>
  <c r="H30" i="8" s="1"/>
  <c r="F31" i="8"/>
  <c r="F32" i="8"/>
  <c r="G32" i="8" s="1"/>
  <c r="H32" i="8" s="1"/>
  <c r="F33" i="8"/>
  <c r="G33" i="8"/>
  <c r="H33" i="8" s="1"/>
  <c r="G31" i="8"/>
  <c r="H31" i="8" s="1"/>
  <c r="G29" i="8"/>
  <c r="H29" i="8" s="1"/>
  <c r="G27" i="8"/>
  <c r="H27" i="8" s="1"/>
  <c r="G24" i="8"/>
  <c r="H24" i="8" s="1"/>
  <c r="G19" i="8"/>
  <c r="H19" i="8" s="1"/>
  <c r="G17" i="8"/>
  <c r="H17" i="8" s="1"/>
  <c r="G13" i="8"/>
  <c r="H13" i="8" s="1"/>
  <c r="G12" i="8"/>
  <c r="H12" i="8" s="1"/>
  <c r="G7" i="8"/>
  <c r="H7" i="8" s="1"/>
  <c r="G4" i="8"/>
  <c r="H4" i="8" s="1"/>
  <c r="D4" i="8"/>
  <c r="E4" i="8" s="1"/>
  <c r="D3" i="8"/>
  <c r="E3" i="8" s="1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8" i="8"/>
  <c r="E18" i="8" s="1"/>
  <c r="D19" i="8"/>
  <c r="E19" i="8" s="1"/>
  <c r="D20" i="8"/>
  <c r="E20" i="8" s="1"/>
  <c r="D21" i="8"/>
  <c r="E21" i="8" s="1"/>
  <c r="D22" i="8"/>
  <c r="E22" i="8" s="1"/>
  <c r="D23" i="8"/>
  <c r="E23" i="8" s="1"/>
  <c r="D24" i="8"/>
  <c r="E24" i="8" s="1"/>
  <c r="D25" i="8"/>
  <c r="E25" i="8" s="1"/>
  <c r="D26" i="8"/>
  <c r="E26" i="8" s="1"/>
  <c r="D27" i="8"/>
  <c r="E27" i="8" s="1"/>
  <c r="D28" i="8"/>
  <c r="E28" i="8" s="1"/>
  <c r="D29" i="8"/>
  <c r="E29" i="8" s="1"/>
  <c r="D30" i="8"/>
  <c r="E30" i="8" s="1"/>
  <c r="D31" i="8"/>
  <c r="E31" i="8" s="1"/>
  <c r="D32" i="8"/>
  <c r="E32" i="8" s="1"/>
  <c r="D33" i="8"/>
  <c r="E33" i="8" s="1"/>
  <c r="B16" i="1"/>
  <c r="C5" i="1"/>
  <c r="C8" i="1" s="1"/>
  <c r="C16" i="1" s="1"/>
  <c r="B7" i="1"/>
  <c r="O6" i="1"/>
  <c r="P6" i="1" s="1"/>
  <c r="G12" i="2"/>
  <c r="F12" i="2"/>
  <c r="E12" i="2"/>
  <c r="D12" i="2"/>
  <c r="C12" i="2"/>
  <c r="C11" i="2"/>
  <c r="D11" i="2"/>
  <c r="E11" i="2"/>
  <c r="F11" i="2"/>
  <c r="G11" i="2"/>
  <c r="A2" i="6"/>
  <c r="E14" i="7"/>
  <c r="O15" i="1"/>
  <c r="P15" i="1" s="1"/>
  <c r="O14" i="1"/>
  <c r="P14" i="1" s="1"/>
  <c r="E23" i="7"/>
  <c r="E27" i="7"/>
  <c r="E28" i="7"/>
  <c r="B23" i="7"/>
  <c r="B27" i="7"/>
  <c r="B28" i="7"/>
  <c r="C7" i="2"/>
  <c r="D7" i="2"/>
  <c r="D8" i="2" s="1"/>
  <c r="E7" i="2"/>
  <c r="F7" i="2"/>
  <c r="F8" i="2" s="1"/>
  <c r="G7" i="2"/>
  <c r="G8" i="2" s="1"/>
  <c r="C8" i="2"/>
  <c r="E8" i="2"/>
  <c r="N46" i="6"/>
  <c r="M46" i="6"/>
  <c r="L46" i="6"/>
  <c r="K46" i="6"/>
  <c r="J46" i="6"/>
  <c r="I46" i="6"/>
  <c r="H46" i="6"/>
  <c r="G46" i="6"/>
  <c r="F46" i="6"/>
  <c r="E46" i="6"/>
  <c r="D46" i="6"/>
  <c r="C46" i="6"/>
  <c r="O46" i="6" s="1"/>
  <c r="P46" i="6" s="1"/>
  <c r="B46" i="6"/>
  <c r="N45" i="6"/>
  <c r="M45" i="6"/>
  <c r="L45" i="6"/>
  <c r="K45" i="6"/>
  <c r="J45" i="6"/>
  <c r="I45" i="6"/>
  <c r="H45" i="6"/>
  <c r="G45" i="6"/>
  <c r="F45" i="6"/>
  <c r="E45" i="6"/>
  <c r="D45" i="6"/>
  <c r="C45" i="6"/>
  <c r="O45" i="6" s="1"/>
  <c r="P45" i="6" s="1"/>
  <c r="D38" i="6"/>
  <c r="E38" i="6" s="1"/>
  <c r="F38" i="6" s="1"/>
  <c r="G38" i="6" s="1"/>
  <c r="H38" i="6" s="1"/>
  <c r="I38" i="6" s="1"/>
  <c r="J38" i="6" s="1"/>
  <c r="K38" i="6" s="1"/>
  <c r="L38" i="6" s="1"/>
  <c r="M38" i="6" s="1"/>
  <c r="N38" i="6" s="1"/>
  <c r="O32" i="6"/>
  <c r="P32" i="6" s="1"/>
  <c r="O31" i="6"/>
  <c r="P31" i="6" s="1"/>
  <c r="N20" i="6"/>
  <c r="M20" i="6"/>
  <c r="L20" i="6"/>
  <c r="K20" i="6"/>
  <c r="J20" i="6"/>
  <c r="I20" i="6"/>
  <c r="H20" i="6"/>
  <c r="G20" i="6"/>
  <c r="F20" i="6"/>
  <c r="E20" i="6"/>
  <c r="D20" i="6"/>
  <c r="C20" i="6"/>
  <c r="O20" i="6" s="1"/>
  <c r="P20" i="6" s="1"/>
  <c r="B20" i="6"/>
  <c r="N19" i="6"/>
  <c r="M19" i="6"/>
  <c r="L19" i="6"/>
  <c r="K19" i="6"/>
  <c r="J19" i="6"/>
  <c r="I19" i="6"/>
  <c r="H19" i="6"/>
  <c r="G19" i="6"/>
  <c r="F19" i="6"/>
  <c r="E19" i="6"/>
  <c r="D19" i="6"/>
  <c r="C19" i="6"/>
  <c r="B16" i="6"/>
  <c r="D12" i="6"/>
  <c r="E12" i="6" s="1"/>
  <c r="F12" i="6" s="1"/>
  <c r="G12" i="6" s="1"/>
  <c r="H12" i="6" s="1"/>
  <c r="I12" i="6" s="1"/>
  <c r="J12" i="6" s="1"/>
  <c r="K12" i="6" s="1"/>
  <c r="L12" i="6" s="1"/>
  <c r="M12" i="6" s="1"/>
  <c r="N12" i="6" s="1"/>
  <c r="C10" i="6"/>
  <c r="C34" i="6" s="1"/>
  <c r="C9" i="6"/>
  <c r="B42" i="6" s="1"/>
  <c r="E8" i="6"/>
  <c r="D8" i="6"/>
  <c r="P6" i="6"/>
  <c r="O6" i="6"/>
  <c r="O5" i="6"/>
  <c r="P5" i="6" s="1"/>
  <c r="C9" i="1" l="1"/>
  <c r="C11" i="1" s="1"/>
  <c r="C10" i="1"/>
  <c r="C12" i="1" s="1"/>
  <c r="K14" i="8"/>
  <c r="J6" i="8"/>
  <c r="K6" i="8" s="1"/>
  <c r="J10" i="8"/>
  <c r="K10" i="8" s="1"/>
  <c r="J14" i="8"/>
  <c r="J18" i="8"/>
  <c r="K18" i="8" s="1"/>
  <c r="J26" i="8"/>
  <c r="K26" i="8" s="1"/>
  <c r="J30" i="8"/>
  <c r="K30" i="8" s="1"/>
  <c r="J5" i="8"/>
  <c r="K5" i="8" s="1"/>
  <c r="J9" i="8"/>
  <c r="K9" i="8" s="1"/>
  <c r="J13" i="8"/>
  <c r="K13" i="8" s="1"/>
  <c r="J17" i="8"/>
  <c r="K17" i="8" s="1"/>
  <c r="J21" i="8"/>
  <c r="K21" i="8" s="1"/>
  <c r="K22" i="8"/>
  <c r="J25" i="8"/>
  <c r="K25" i="8" s="1"/>
  <c r="J29" i="8"/>
  <c r="K29" i="8" s="1"/>
  <c r="J33" i="8"/>
  <c r="K33" i="8" s="1"/>
  <c r="E6" i="7"/>
  <c r="F6" i="7" s="1"/>
  <c r="B14" i="7"/>
  <c r="E13" i="7"/>
  <c r="B13" i="7"/>
  <c r="E2" i="6"/>
  <c r="C2" i="6"/>
  <c r="D2" i="6"/>
  <c r="F2" i="6"/>
  <c r="G2" i="6"/>
  <c r="H2" i="6"/>
  <c r="C7" i="6" s="1"/>
  <c r="C33" i="6" s="1"/>
  <c r="E19" i="7"/>
  <c r="F19" i="7" s="1"/>
  <c r="E20" i="7"/>
  <c r="F20" i="7" s="1"/>
  <c r="E7" i="7"/>
  <c r="F7" i="7" s="1"/>
  <c r="E12" i="7"/>
  <c r="B12" i="7"/>
  <c r="F8" i="6"/>
  <c r="O19" i="6"/>
  <c r="P19" i="6" s="1"/>
  <c r="C36" i="6"/>
  <c r="C35" i="6"/>
  <c r="D36" i="6"/>
  <c r="D34" i="6"/>
  <c r="D9" i="6"/>
  <c r="C11" i="6"/>
  <c r="C17" i="1" l="1"/>
  <c r="C23" i="1" s="1"/>
  <c r="C21" i="1"/>
  <c r="C20" i="1"/>
  <c r="C24" i="1" s="1"/>
  <c r="C27" i="1" s="1"/>
  <c r="C19" i="1"/>
  <c r="D7" i="6"/>
  <c r="D15" i="6" s="1"/>
  <c r="B15" i="6"/>
  <c r="C15" i="6"/>
  <c r="C16" i="6" s="1"/>
  <c r="B41" i="6"/>
  <c r="D37" i="6"/>
  <c r="D35" i="6"/>
  <c r="C37" i="6"/>
  <c r="E9" i="6"/>
  <c r="G8" i="6"/>
  <c r="E36" i="6"/>
  <c r="E34" i="6"/>
  <c r="C41" i="6"/>
  <c r="C42" i="6" s="1"/>
  <c r="B18" i="6"/>
  <c r="B44" i="6"/>
  <c r="D33" i="6"/>
  <c r="E7" i="6" l="1"/>
  <c r="E15" i="6" s="1"/>
  <c r="E16" i="6" s="1"/>
  <c r="C21" i="6"/>
  <c r="C18" i="6"/>
  <c r="E33" i="6"/>
  <c r="D41" i="6"/>
  <c r="D42" i="6" s="1"/>
  <c r="F36" i="6"/>
  <c r="F34" i="6"/>
  <c r="B48" i="6"/>
  <c r="H8" i="6"/>
  <c r="E37" i="6"/>
  <c r="E35" i="6"/>
  <c r="B22" i="6"/>
  <c r="F9" i="6"/>
  <c r="C47" i="6"/>
  <c r="C44" i="6"/>
  <c r="D21" i="6"/>
  <c r="D18" i="6"/>
  <c r="D16" i="6"/>
  <c r="C22" i="6" l="1"/>
  <c r="C25" i="6" s="1"/>
  <c r="C26" i="6" s="1"/>
  <c r="F7" i="6"/>
  <c r="G7" i="6" s="1"/>
  <c r="D22" i="6"/>
  <c r="D25" i="6" s="1"/>
  <c r="D26" i="6" s="1"/>
  <c r="C48" i="6"/>
  <c r="C51" i="6" s="1"/>
  <c r="C52" i="6" s="1"/>
  <c r="B23" i="6"/>
  <c r="D47" i="6"/>
  <c r="D44" i="6"/>
  <c r="I8" i="6"/>
  <c r="F33" i="6"/>
  <c r="E41" i="6"/>
  <c r="E42" i="6" s="1"/>
  <c r="G9" i="6"/>
  <c r="G36" i="6"/>
  <c r="G34" i="6"/>
  <c r="F35" i="6"/>
  <c r="F37" i="6"/>
  <c r="B49" i="6"/>
  <c r="E21" i="6"/>
  <c r="E18" i="6"/>
  <c r="C23" i="6" l="1"/>
  <c r="C27" i="6" s="1"/>
  <c r="C28" i="6" s="1"/>
  <c r="F15" i="6"/>
  <c r="F18" i="6" s="1"/>
  <c r="C49" i="6"/>
  <c r="C53" i="6" s="1"/>
  <c r="C54" i="6" s="1"/>
  <c r="E22" i="6"/>
  <c r="E25" i="6" s="1"/>
  <c r="E26" i="6" s="1"/>
  <c r="D48" i="6"/>
  <c r="D51" i="6" s="1"/>
  <c r="D52" i="6" s="1"/>
  <c r="F21" i="6"/>
  <c r="E47" i="6"/>
  <c r="E44" i="6"/>
  <c r="D23" i="6"/>
  <c r="H36" i="6"/>
  <c r="H34" i="6"/>
  <c r="F41" i="6"/>
  <c r="F42" i="6" s="1"/>
  <c r="G33" i="6"/>
  <c r="G35" i="6"/>
  <c r="G37" i="6"/>
  <c r="H9" i="6"/>
  <c r="J8" i="6"/>
  <c r="H7" i="6"/>
  <c r="G15" i="6"/>
  <c r="G16" i="6" s="1"/>
  <c r="F16" i="6" l="1"/>
  <c r="F22" i="6"/>
  <c r="D49" i="6"/>
  <c r="D53" i="6" s="1"/>
  <c r="D54" i="6" s="1"/>
  <c r="E48" i="6"/>
  <c r="E51" i="6" s="1"/>
  <c r="E52" i="6" s="1"/>
  <c r="I36" i="6"/>
  <c r="I34" i="6"/>
  <c r="E23" i="6"/>
  <c r="D27" i="6"/>
  <c r="D28" i="6" s="1"/>
  <c r="I9" i="6"/>
  <c r="G21" i="6"/>
  <c r="G18" i="6"/>
  <c r="K8" i="6"/>
  <c r="G41" i="6"/>
  <c r="G42" i="6" s="1"/>
  <c r="H33" i="6"/>
  <c r="I7" i="6"/>
  <c r="H15" i="6"/>
  <c r="H16" i="6" s="1"/>
  <c r="H37" i="6"/>
  <c r="H35" i="6"/>
  <c r="F47" i="6"/>
  <c r="F44" i="6"/>
  <c r="F25" i="6" l="1"/>
  <c r="F26" i="6" s="1"/>
  <c r="E49" i="6"/>
  <c r="E53" i="6" s="1"/>
  <c r="E54" i="6" s="1"/>
  <c r="F48" i="6"/>
  <c r="I33" i="6"/>
  <c r="H41" i="6"/>
  <c r="H42" i="6" s="1"/>
  <c r="G22" i="6"/>
  <c r="G25" i="6" s="1"/>
  <c r="G26" i="6" s="1"/>
  <c r="E27" i="6"/>
  <c r="E28" i="6" s="1"/>
  <c r="F23" i="6"/>
  <c r="H21" i="6"/>
  <c r="H18" i="6"/>
  <c r="G47" i="6"/>
  <c r="G44" i="6"/>
  <c r="J36" i="6"/>
  <c r="J34" i="6"/>
  <c r="I37" i="6"/>
  <c r="I35" i="6"/>
  <c r="I15" i="6"/>
  <c r="I16" i="6" s="1"/>
  <c r="J7" i="6"/>
  <c r="L8" i="6"/>
  <c r="J9" i="6"/>
  <c r="H22" i="6" l="1"/>
  <c r="H25" i="6" s="1"/>
  <c r="H26" i="6" s="1"/>
  <c r="M8" i="6"/>
  <c r="H47" i="6"/>
  <c r="H44" i="6"/>
  <c r="I21" i="6"/>
  <c r="I18" i="6"/>
  <c r="J35" i="6"/>
  <c r="J37" i="6"/>
  <c r="K36" i="6"/>
  <c r="K34" i="6"/>
  <c r="F51" i="6"/>
  <c r="F52" i="6" s="1"/>
  <c r="K9" i="6"/>
  <c r="F49" i="6"/>
  <c r="J15" i="6"/>
  <c r="K7" i="6"/>
  <c r="G48" i="6"/>
  <c r="G51" i="6" s="1"/>
  <c r="G52" i="6" s="1"/>
  <c r="F27" i="6"/>
  <c r="F28" i="6" s="1"/>
  <c r="G23" i="6"/>
  <c r="J33" i="6"/>
  <c r="I41" i="6"/>
  <c r="I22" i="6" l="1"/>
  <c r="I25" i="6" s="1"/>
  <c r="I26" i="6" s="1"/>
  <c r="H23" i="6"/>
  <c r="G27" i="6"/>
  <c r="G28" i="6" s="1"/>
  <c r="J21" i="6"/>
  <c r="J18" i="6"/>
  <c r="F53" i="6"/>
  <c r="F54" i="6" s="1"/>
  <c r="G49" i="6"/>
  <c r="N8" i="6"/>
  <c r="I47" i="6"/>
  <c r="I44" i="6"/>
  <c r="L9" i="6"/>
  <c r="K35" i="6"/>
  <c r="K37" i="6"/>
  <c r="H48" i="6"/>
  <c r="H51" i="6" s="1"/>
  <c r="H52" i="6" s="1"/>
  <c r="J41" i="6"/>
  <c r="K33" i="6"/>
  <c r="L7" i="6"/>
  <c r="K15" i="6"/>
  <c r="J16" i="6"/>
  <c r="L36" i="6"/>
  <c r="L34" i="6"/>
  <c r="I42" i="6"/>
  <c r="J22" i="6" l="1"/>
  <c r="J25" i="6" s="1"/>
  <c r="J26" i="6" s="1"/>
  <c r="I48" i="6"/>
  <c r="I51" i="6" s="1"/>
  <c r="I52" i="6" s="1"/>
  <c r="K41" i="6"/>
  <c r="K42" i="6" s="1"/>
  <c r="L33" i="6"/>
  <c r="M9" i="6"/>
  <c r="J47" i="6"/>
  <c r="J44" i="6"/>
  <c r="L37" i="6"/>
  <c r="L35" i="6"/>
  <c r="M34" i="6"/>
  <c r="M36" i="6"/>
  <c r="K21" i="6"/>
  <c r="K18" i="6"/>
  <c r="J42" i="6"/>
  <c r="H49" i="6"/>
  <c r="G53" i="6"/>
  <c r="G54" i="6" s="1"/>
  <c r="M7" i="6"/>
  <c r="L15" i="6"/>
  <c r="K16" i="6"/>
  <c r="I23" i="6"/>
  <c r="H27" i="6"/>
  <c r="H28" i="6" s="1"/>
  <c r="K22" i="6" l="1"/>
  <c r="K25" i="6" s="1"/>
  <c r="K26" i="6" s="1"/>
  <c r="E8" i="7"/>
  <c r="J48" i="6"/>
  <c r="J51" i="6" s="1"/>
  <c r="J52" i="6" s="1"/>
  <c r="I49" i="6"/>
  <c r="H53" i="6"/>
  <c r="H54" i="6" s="1"/>
  <c r="L21" i="6"/>
  <c r="L18" i="6"/>
  <c r="N36" i="6"/>
  <c r="O36" i="6" s="1"/>
  <c r="P36" i="6" s="1"/>
  <c r="N34" i="6"/>
  <c r="L16" i="6"/>
  <c r="N9" i="6"/>
  <c r="I27" i="6"/>
  <c r="I28" i="6" s="1"/>
  <c r="J23" i="6"/>
  <c r="M15" i="6"/>
  <c r="N7" i="6"/>
  <c r="M33" i="6"/>
  <c r="L41" i="6"/>
  <c r="L42" i="6" s="1"/>
  <c r="M37" i="6"/>
  <c r="M35" i="6"/>
  <c r="K47" i="6"/>
  <c r="K44" i="6"/>
  <c r="L22" i="6" l="1"/>
  <c r="L25" i="6" s="1"/>
  <c r="L26" i="6" s="1"/>
  <c r="K48" i="6"/>
  <c r="K51" i="6" s="1"/>
  <c r="K52" i="6" s="1"/>
  <c r="N35" i="6"/>
  <c r="N37" i="6"/>
  <c r="O37" i="6" s="1"/>
  <c r="P37" i="6" s="1"/>
  <c r="N33" i="6"/>
  <c r="M41" i="6"/>
  <c r="N15" i="6"/>
  <c r="O7" i="6"/>
  <c r="P7" i="6" s="1"/>
  <c r="M21" i="6"/>
  <c r="M18" i="6"/>
  <c r="M16" i="6"/>
  <c r="L47" i="6"/>
  <c r="L44" i="6"/>
  <c r="J27" i="6"/>
  <c r="J28" i="6" s="1"/>
  <c r="K23" i="6"/>
  <c r="J49" i="6"/>
  <c r="I53" i="6"/>
  <c r="I54" i="6" s="1"/>
  <c r="M22" i="6" l="1"/>
  <c r="M25" i="6" s="1"/>
  <c r="M26" i="6" s="1"/>
  <c r="L48" i="6"/>
  <c r="L51" i="6" s="1"/>
  <c r="L52" i="6" s="1"/>
  <c r="N41" i="6"/>
  <c r="N42" i="6" s="1"/>
  <c r="O33" i="6"/>
  <c r="P33" i="6" s="1"/>
  <c r="N21" i="6"/>
  <c r="O21" i="6" s="1"/>
  <c r="P21" i="6" s="1"/>
  <c r="N18" i="6"/>
  <c r="J53" i="6"/>
  <c r="J54" i="6" s="1"/>
  <c r="K49" i="6"/>
  <c r="L23" i="6"/>
  <c r="K27" i="6"/>
  <c r="K28" i="6" s="1"/>
  <c r="N16" i="6"/>
  <c r="M47" i="6"/>
  <c r="M44" i="6"/>
  <c r="M42" i="6"/>
  <c r="E9" i="7" l="1"/>
  <c r="M48" i="6"/>
  <c r="M51" i="6" s="1"/>
  <c r="M52" i="6" s="1"/>
  <c r="M23" i="6"/>
  <c r="L27" i="6"/>
  <c r="L28" i="6" s="1"/>
  <c r="N22" i="6"/>
  <c r="O22" i="6" s="1"/>
  <c r="P22" i="6" s="1"/>
  <c r="O18" i="6"/>
  <c r="P18" i="6" s="1"/>
  <c r="O42" i="6"/>
  <c r="O16" i="6"/>
  <c r="L49" i="6"/>
  <c r="K53" i="6"/>
  <c r="K54" i="6" s="1"/>
  <c r="N47" i="6"/>
  <c r="O47" i="6" s="1"/>
  <c r="P47" i="6" s="1"/>
  <c r="N44" i="6"/>
  <c r="P42" i="6" l="1"/>
  <c r="N48" i="6"/>
  <c r="O44" i="6"/>
  <c r="P44" i="6" s="1"/>
  <c r="M49" i="6"/>
  <c r="L53" i="6"/>
  <c r="L54" i="6" s="1"/>
  <c r="M27" i="6"/>
  <c r="M28" i="6" s="1"/>
  <c r="N23" i="6"/>
  <c r="N27" i="6" s="1"/>
  <c r="N28" i="6" s="1"/>
  <c r="N25" i="6"/>
  <c r="N26" i="6" s="1"/>
  <c r="P16" i="6"/>
  <c r="O25" i="6"/>
  <c r="O26" i="6" l="1"/>
  <c r="P25" i="6"/>
  <c r="P26" i="6" s="1"/>
  <c r="O48" i="6"/>
  <c r="N51" i="6"/>
  <c r="N52" i="6" s="1"/>
  <c r="N49" i="6"/>
  <c r="N53" i="6" s="1"/>
  <c r="N54" i="6" s="1"/>
  <c r="M53" i="6"/>
  <c r="M54" i="6" s="1"/>
  <c r="P48" i="6" l="1"/>
  <c r="O51" i="6"/>
  <c r="O52" i="6" l="1"/>
  <c r="P51" i="6"/>
  <c r="P52" i="6" s="1"/>
  <c r="O13" i="1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" i="3"/>
  <c r="D2" i="4"/>
  <c r="E2" i="4"/>
  <c r="D3" i="4"/>
  <c r="E3" i="4" s="1"/>
  <c r="D4" i="4"/>
  <c r="E4" i="4"/>
  <c r="D5" i="4"/>
  <c r="E5" i="4" s="1"/>
  <c r="D6" i="4"/>
  <c r="E6" i="4"/>
  <c r="D7" i="4"/>
  <c r="E7" i="4" s="1"/>
  <c r="D8" i="4"/>
  <c r="E8" i="4"/>
  <c r="D9" i="4"/>
  <c r="E9" i="4" s="1"/>
  <c r="D10" i="4"/>
  <c r="E10" i="4"/>
  <c r="D11" i="4"/>
  <c r="E11" i="4" s="1"/>
  <c r="D12" i="4"/>
  <c r="E12" i="4"/>
  <c r="D13" i="4"/>
  <c r="E13" i="4" s="1"/>
  <c r="D14" i="4"/>
  <c r="E14" i="4"/>
  <c r="D15" i="4"/>
  <c r="E15" i="4" s="1"/>
  <c r="D16" i="4"/>
  <c r="E16" i="4"/>
  <c r="D17" i="4"/>
  <c r="E17" i="4" s="1"/>
  <c r="D18" i="4"/>
  <c r="E18" i="4"/>
  <c r="D19" i="4"/>
  <c r="E19" i="4" s="1"/>
  <c r="D20" i="4"/>
  <c r="E20" i="4"/>
  <c r="D21" i="4"/>
  <c r="E21" i="4" s="1"/>
  <c r="D22" i="4"/>
  <c r="E22" i="4"/>
  <c r="D23" i="4"/>
  <c r="E23" i="4" s="1"/>
  <c r="D24" i="4"/>
  <c r="E24" i="4"/>
  <c r="D25" i="4"/>
  <c r="E25" i="4" s="1"/>
  <c r="D26" i="4"/>
  <c r="E26" i="4"/>
  <c r="D27" i="4"/>
  <c r="E27" i="4" s="1"/>
  <c r="D28" i="4"/>
  <c r="E28" i="4"/>
  <c r="D29" i="4"/>
  <c r="E29" i="4" s="1"/>
  <c r="D30" i="4"/>
  <c r="E30" i="4"/>
  <c r="D31" i="4"/>
  <c r="E31" i="4" s="1"/>
  <c r="D32" i="4"/>
  <c r="E32" i="4"/>
  <c r="D33" i="4"/>
  <c r="E33" i="4" s="1"/>
  <c r="D34" i="4"/>
  <c r="E34" i="4"/>
  <c r="D35" i="4"/>
  <c r="E35" i="4" s="1"/>
  <c r="D36" i="4"/>
  <c r="E36" i="4"/>
  <c r="D37" i="4"/>
  <c r="E37" i="4" s="1"/>
  <c r="D38" i="4"/>
  <c r="E38" i="4"/>
  <c r="D39" i="4"/>
  <c r="E39" i="4" s="1"/>
  <c r="D40" i="4"/>
  <c r="E40" i="4"/>
  <c r="D41" i="4"/>
  <c r="E41" i="4" s="1"/>
  <c r="D42" i="4"/>
  <c r="E42" i="4"/>
  <c r="D43" i="4"/>
  <c r="E43" i="4" s="1"/>
  <c r="D44" i="4"/>
  <c r="E44" i="4"/>
  <c r="D45" i="4"/>
  <c r="E45" i="4" s="1"/>
  <c r="D46" i="4"/>
  <c r="E46" i="4"/>
  <c r="D47" i="4"/>
  <c r="E47" i="4" s="1"/>
  <c r="D48" i="4"/>
  <c r="E48" i="4"/>
  <c r="D49" i="4"/>
  <c r="E49" i="4" s="1"/>
  <c r="D50" i="4"/>
  <c r="E50" i="4"/>
  <c r="D51" i="4"/>
  <c r="E51" i="4" s="1"/>
  <c r="D52" i="4"/>
  <c r="E52" i="4"/>
  <c r="D53" i="4"/>
  <c r="E53" i="4" s="1"/>
  <c r="D54" i="4"/>
  <c r="E54" i="4"/>
  <c r="D55" i="4"/>
  <c r="E55" i="4" s="1"/>
  <c r="D56" i="4"/>
  <c r="E56" i="4"/>
  <c r="D57" i="4"/>
  <c r="E57" i="4" s="1"/>
  <c r="D58" i="4"/>
  <c r="E58" i="4"/>
  <c r="D59" i="4"/>
  <c r="E59" i="4" s="1"/>
  <c r="D60" i="4"/>
  <c r="E60" i="4"/>
  <c r="D61" i="4"/>
  <c r="E61" i="4" s="1"/>
  <c r="D62" i="4"/>
  <c r="E62" i="4"/>
  <c r="D63" i="4"/>
  <c r="E63" i="4" s="1"/>
  <c r="D64" i="4"/>
  <c r="E64" i="4"/>
  <c r="D65" i="4"/>
  <c r="E65" i="4" s="1"/>
  <c r="D66" i="4"/>
  <c r="E66" i="4"/>
  <c r="D67" i="4"/>
  <c r="E67" i="4" s="1"/>
  <c r="D68" i="4"/>
  <c r="E68" i="4"/>
  <c r="D69" i="4"/>
  <c r="E69" i="4" s="1"/>
  <c r="D70" i="4"/>
  <c r="E70" i="4"/>
  <c r="D71" i="4"/>
  <c r="E71" i="4" s="1"/>
  <c r="D72" i="4"/>
  <c r="E72" i="4"/>
  <c r="D73" i="4"/>
  <c r="E73" i="4" s="1"/>
  <c r="D74" i="4"/>
  <c r="E74" i="4"/>
  <c r="D75" i="4"/>
  <c r="E75" i="4" s="1"/>
  <c r="D76" i="4"/>
  <c r="E76" i="4" s="1"/>
  <c r="D77" i="4"/>
  <c r="E77" i="4" s="1"/>
  <c r="D78" i="4"/>
  <c r="E78" i="4"/>
  <c r="D79" i="4"/>
  <c r="E79" i="4" s="1"/>
  <c r="D80" i="4"/>
  <c r="E80" i="4"/>
  <c r="D81" i="4"/>
  <c r="E81" i="4" s="1"/>
  <c r="D82" i="4"/>
  <c r="E82" i="4" s="1"/>
  <c r="D83" i="4"/>
  <c r="E83" i="4" s="1"/>
  <c r="D84" i="4"/>
  <c r="E84" i="4" s="1"/>
  <c r="D85" i="4"/>
  <c r="E85" i="4" s="1"/>
  <c r="D86" i="4"/>
  <c r="E86" i="4"/>
  <c r="D87" i="4"/>
  <c r="E87" i="4" s="1"/>
  <c r="D88" i="4"/>
  <c r="E88" i="4"/>
  <c r="D89" i="4"/>
  <c r="E89" i="4" s="1"/>
  <c r="D90" i="4"/>
  <c r="E90" i="4" s="1"/>
  <c r="D91" i="4"/>
  <c r="E91" i="4" s="1"/>
  <c r="D92" i="4"/>
  <c r="E92" i="4" s="1"/>
  <c r="D93" i="4"/>
  <c r="E93" i="4" s="1"/>
  <c r="D94" i="4"/>
  <c r="E94" i="4"/>
  <c r="D95" i="4"/>
  <c r="E95" i="4" s="1"/>
  <c r="D96" i="4"/>
  <c r="E96" i="4"/>
  <c r="D97" i="4"/>
  <c r="E97" i="4" s="1"/>
  <c r="F2" i="3"/>
  <c r="G2" i="3" s="1"/>
  <c r="F3" i="3"/>
  <c r="G3" i="3" s="1"/>
  <c r="F4" i="3"/>
  <c r="G4" i="3" s="1"/>
  <c r="F5" i="3"/>
  <c r="G5" i="3" s="1"/>
  <c r="F6" i="3"/>
  <c r="G6" i="3" s="1"/>
  <c r="F7" i="3"/>
  <c r="G7" i="3" s="1"/>
  <c r="F8" i="3"/>
  <c r="G8" i="3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G92" i="3" s="1"/>
  <c r="F93" i="3"/>
  <c r="G93" i="3" s="1"/>
  <c r="F94" i="3"/>
  <c r="G94" i="3" s="1"/>
  <c r="F95" i="3"/>
  <c r="G95" i="3" s="1"/>
  <c r="F96" i="3"/>
  <c r="G96" i="3" s="1"/>
  <c r="F97" i="3"/>
  <c r="G97" i="3" s="1"/>
  <c r="F98" i="3"/>
  <c r="G98" i="3" s="1"/>
  <c r="F99" i="3"/>
  <c r="G99" i="3" s="1"/>
  <c r="F100" i="3"/>
  <c r="G100" i="3" s="1"/>
  <c r="F101" i="3"/>
  <c r="G101" i="3" s="1"/>
  <c r="F102" i="3"/>
  <c r="G102" i="3" s="1"/>
  <c r="F103" i="3"/>
  <c r="G103" i="3" s="1"/>
  <c r="F104" i="3"/>
  <c r="G104" i="3" s="1"/>
  <c r="F105" i="3"/>
  <c r="G105" i="3" s="1"/>
  <c r="F106" i="3"/>
  <c r="G106" i="3" s="1"/>
  <c r="F107" i="3"/>
  <c r="G107" i="3" s="1"/>
  <c r="F108" i="3"/>
  <c r="G108" i="3" s="1"/>
  <c r="F109" i="3"/>
  <c r="G109" i="3" s="1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G115" i="3" s="1"/>
  <c r="F116" i="3"/>
  <c r="G116" i="3" s="1"/>
  <c r="F117" i="3"/>
  <c r="G117" i="3" s="1"/>
  <c r="F118" i="3"/>
  <c r="G118" i="3" s="1"/>
  <c r="F119" i="3"/>
  <c r="G119" i="3" s="1"/>
  <c r="F120" i="3"/>
  <c r="G120" i="3" s="1"/>
  <c r="F121" i="3"/>
  <c r="G121" i="3" s="1"/>
  <c r="F122" i="3"/>
  <c r="G122" i="3" s="1"/>
  <c r="F123" i="3"/>
  <c r="G123" i="3" s="1"/>
  <c r="F124" i="3"/>
  <c r="G124" i="3" s="1"/>
  <c r="F125" i="3"/>
  <c r="G125" i="3" s="1"/>
  <c r="F126" i="3"/>
  <c r="G126" i="3" s="1"/>
  <c r="F127" i="3"/>
  <c r="G127" i="3" s="1"/>
  <c r="F128" i="3"/>
  <c r="G128" i="3" s="1"/>
  <c r="F129" i="3"/>
  <c r="G129" i="3" s="1"/>
  <c r="F130" i="3"/>
  <c r="G130" i="3" s="1"/>
  <c r="F131" i="3"/>
  <c r="G131" i="3" s="1"/>
  <c r="F132" i="3"/>
  <c r="G132" i="3" s="1"/>
  <c r="F133" i="3"/>
  <c r="G133" i="3" s="1"/>
  <c r="F134" i="3"/>
  <c r="G134" i="3" s="1"/>
  <c r="F135" i="3"/>
  <c r="G135" i="3" s="1"/>
  <c r="F136" i="3"/>
  <c r="G136" i="3" s="1"/>
  <c r="F137" i="3"/>
  <c r="G137" i="3" s="1"/>
  <c r="F138" i="3"/>
  <c r="G138" i="3" s="1"/>
  <c r="F139" i="3"/>
  <c r="G139" i="3" s="1"/>
  <c r="F140" i="3"/>
  <c r="G140" i="3" s="1"/>
  <c r="F141" i="3"/>
  <c r="G141" i="3" s="1"/>
  <c r="F142" i="3"/>
  <c r="G142" i="3" s="1"/>
  <c r="F143" i="3"/>
  <c r="G143" i="3" s="1"/>
  <c r="F144" i="3"/>
  <c r="G144" i="3" s="1"/>
  <c r="F145" i="3"/>
  <c r="G145" i="3" s="1"/>
  <c r="F146" i="3"/>
  <c r="G146" i="3" s="1"/>
  <c r="F147" i="3"/>
  <c r="G147" i="3" s="1"/>
  <c r="F148" i="3"/>
  <c r="G148" i="3" s="1"/>
  <c r="F149" i="3"/>
  <c r="G149" i="3" s="1"/>
  <c r="F150" i="3"/>
  <c r="G150" i="3" s="1"/>
  <c r="F151" i="3"/>
  <c r="G151" i="3"/>
  <c r="F152" i="3"/>
  <c r="G152" i="3" s="1"/>
  <c r="F153" i="3"/>
  <c r="G153" i="3" s="1"/>
  <c r="F154" i="3"/>
  <c r="G154" i="3" s="1"/>
  <c r="F155" i="3"/>
  <c r="G155" i="3" s="1"/>
  <c r="F156" i="3"/>
  <c r="G156" i="3" s="1"/>
  <c r="F157" i="3"/>
  <c r="G157" i="3" s="1"/>
  <c r="F158" i="3"/>
  <c r="G158" i="3" s="1"/>
  <c r="F159" i="3"/>
  <c r="G159" i="3" s="1"/>
  <c r="F160" i="3"/>
  <c r="G160" i="3" s="1"/>
  <c r="F161" i="3"/>
  <c r="G161" i="3" s="1"/>
  <c r="F162" i="3"/>
  <c r="G162" i="3" s="1"/>
  <c r="F163" i="3"/>
  <c r="G163" i="3" s="1"/>
  <c r="F164" i="3"/>
  <c r="G164" i="3" s="1"/>
  <c r="F165" i="3"/>
  <c r="G165" i="3" s="1"/>
  <c r="F166" i="3"/>
  <c r="G166" i="3" s="1"/>
  <c r="F167" i="3"/>
  <c r="G167" i="3" s="1"/>
  <c r="F168" i="3"/>
  <c r="G168" i="3" s="1"/>
  <c r="F169" i="3"/>
  <c r="G169" i="3" s="1"/>
  <c r="F170" i="3"/>
  <c r="G170" i="3" s="1"/>
  <c r="F171" i="3"/>
  <c r="G171" i="3" s="1"/>
  <c r="F172" i="3"/>
  <c r="G172" i="3" s="1"/>
  <c r="F173" i="3"/>
  <c r="G173" i="3" s="1"/>
  <c r="F174" i="3"/>
  <c r="G174" i="3" s="1"/>
  <c r="F175" i="3"/>
  <c r="G175" i="3" s="1"/>
  <c r="F176" i="3"/>
  <c r="G176" i="3" s="1"/>
  <c r="F177" i="3"/>
  <c r="G177" i="3" s="1"/>
  <c r="F178" i="3"/>
  <c r="G178" i="3" s="1"/>
  <c r="F179" i="3"/>
  <c r="G179" i="3" s="1"/>
  <c r="F180" i="3"/>
  <c r="G180" i="3" s="1"/>
  <c r="F181" i="3"/>
  <c r="G181" i="3" s="1"/>
  <c r="F182" i="3"/>
  <c r="G182" i="3" s="1"/>
  <c r="F183" i="3"/>
  <c r="G183" i="3" s="1"/>
  <c r="F184" i="3"/>
  <c r="G184" i="3" s="1"/>
  <c r="F185" i="3"/>
  <c r="G185" i="3" s="1"/>
  <c r="F186" i="3"/>
  <c r="G186" i="3" s="1"/>
  <c r="F187" i="3"/>
  <c r="G187" i="3" s="1"/>
  <c r="F188" i="3"/>
  <c r="G188" i="3" s="1"/>
  <c r="F189" i="3"/>
  <c r="G189" i="3" s="1"/>
  <c r="F190" i="3"/>
  <c r="G190" i="3" s="1"/>
  <c r="F191" i="3"/>
  <c r="G191" i="3" s="1"/>
  <c r="F192" i="3"/>
  <c r="G192" i="3" s="1"/>
  <c r="F193" i="3"/>
  <c r="G193" i="3" s="1"/>
  <c r="F194" i="3"/>
  <c r="G194" i="3" s="1"/>
  <c r="F195" i="3"/>
  <c r="G195" i="3" s="1"/>
  <c r="F196" i="3"/>
  <c r="G196" i="3" s="1"/>
  <c r="F197" i="3"/>
  <c r="G197" i="3" s="1"/>
  <c r="F198" i="3"/>
  <c r="G198" i="3" s="1"/>
  <c r="F199" i="3"/>
  <c r="G199" i="3" s="1"/>
  <c r="F200" i="3"/>
  <c r="G200" i="3" s="1"/>
  <c r="F201" i="3"/>
  <c r="G201" i="3" s="1"/>
  <c r="F202" i="3"/>
  <c r="G202" i="3" s="1"/>
  <c r="F203" i="3"/>
  <c r="G203" i="3" s="1"/>
  <c r="F204" i="3"/>
  <c r="G204" i="3" s="1"/>
  <c r="F205" i="3"/>
  <c r="G205" i="3" s="1"/>
  <c r="F206" i="3"/>
  <c r="G206" i="3" s="1"/>
  <c r="F207" i="3"/>
  <c r="G207" i="3" s="1"/>
  <c r="F208" i="3"/>
  <c r="G208" i="3" s="1"/>
  <c r="F209" i="3"/>
  <c r="G209" i="3" s="1"/>
  <c r="F210" i="3"/>
  <c r="G210" i="3" s="1"/>
  <c r="F211" i="3"/>
  <c r="G211" i="3" s="1"/>
  <c r="F212" i="3"/>
  <c r="G212" i="3" s="1"/>
  <c r="F213" i="3"/>
  <c r="G213" i="3" s="1"/>
  <c r="F214" i="3"/>
  <c r="G214" i="3" s="1"/>
  <c r="F215" i="3"/>
  <c r="G215" i="3" s="1"/>
  <c r="F216" i="3"/>
  <c r="G216" i="3" s="1"/>
  <c r="F217" i="3"/>
  <c r="G217" i="3" s="1"/>
  <c r="F218" i="3"/>
  <c r="G218" i="3" s="1"/>
  <c r="F219" i="3"/>
  <c r="G219" i="3" s="1"/>
  <c r="F220" i="3"/>
  <c r="G220" i="3" s="1"/>
  <c r="F221" i="3"/>
  <c r="G221" i="3" s="1"/>
  <c r="F222" i="3"/>
  <c r="G222" i="3" s="1"/>
  <c r="F223" i="3"/>
  <c r="G223" i="3" s="1"/>
  <c r="F224" i="3"/>
  <c r="G224" i="3" s="1"/>
  <c r="F225" i="3"/>
  <c r="G225" i="3" s="1"/>
  <c r="F226" i="3"/>
  <c r="G226" i="3" s="1"/>
  <c r="F227" i="3"/>
  <c r="G227" i="3" s="1"/>
  <c r="F228" i="3"/>
  <c r="G228" i="3" s="1"/>
  <c r="F229" i="3"/>
  <c r="G229" i="3" s="1"/>
  <c r="F230" i="3"/>
  <c r="G230" i="3" s="1"/>
  <c r="F231" i="3"/>
  <c r="G231" i="3" s="1"/>
  <c r="F232" i="3"/>
  <c r="G232" i="3" s="1"/>
  <c r="F233" i="3"/>
  <c r="G233" i="3" s="1"/>
  <c r="F234" i="3"/>
  <c r="G234" i="3" s="1"/>
  <c r="F235" i="3"/>
  <c r="G235" i="3" s="1"/>
  <c r="F236" i="3"/>
  <c r="G236" i="3" s="1"/>
  <c r="F237" i="3"/>
  <c r="G237" i="3" s="1"/>
  <c r="F238" i="3"/>
  <c r="G238" i="3" s="1"/>
  <c r="F239" i="3"/>
  <c r="G239" i="3" s="1"/>
  <c r="F240" i="3"/>
  <c r="G240" i="3" s="1"/>
  <c r="F241" i="3"/>
  <c r="G241" i="3" s="1"/>
  <c r="F242" i="3"/>
  <c r="G242" i="3" s="1"/>
  <c r="F243" i="3"/>
  <c r="G243" i="3" s="1"/>
  <c r="F244" i="3"/>
  <c r="G244" i="3" s="1"/>
  <c r="F245" i="3"/>
  <c r="G245" i="3" s="1"/>
  <c r="F246" i="3"/>
  <c r="G246" i="3" s="1"/>
  <c r="F247" i="3"/>
  <c r="G247" i="3" s="1"/>
  <c r="F248" i="3"/>
  <c r="G248" i="3" s="1"/>
  <c r="F249" i="3"/>
  <c r="G249" i="3" s="1"/>
  <c r="F250" i="3"/>
  <c r="G250" i="3" s="1"/>
  <c r="F251" i="3"/>
  <c r="G251" i="3" s="1"/>
  <c r="F252" i="3"/>
  <c r="G252" i="3" s="1"/>
  <c r="F253" i="3"/>
  <c r="G253" i="3" s="1"/>
  <c r="F254" i="3"/>
  <c r="G254" i="3" s="1"/>
  <c r="F255" i="3"/>
  <c r="G255" i="3" s="1"/>
  <c r="F256" i="3"/>
  <c r="G256" i="3" s="1"/>
  <c r="F257" i="3"/>
  <c r="G257" i="3" s="1"/>
  <c r="F258" i="3"/>
  <c r="G258" i="3" s="1"/>
  <c r="F259" i="3"/>
  <c r="G259" i="3" s="1"/>
  <c r="F260" i="3"/>
  <c r="G260" i="3" s="1"/>
  <c r="F261" i="3"/>
  <c r="G261" i="3" s="1"/>
  <c r="F262" i="3"/>
  <c r="G262" i="3" s="1"/>
  <c r="F263" i="3"/>
  <c r="G263" i="3" s="1"/>
  <c r="F264" i="3"/>
  <c r="G264" i="3" s="1"/>
  <c r="F265" i="3"/>
  <c r="G265" i="3" s="1"/>
  <c r="F266" i="3"/>
  <c r="G266" i="3" s="1"/>
  <c r="F267" i="3"/>
  <c r="G267" i="3" s="1"/>
  <c r="F268" i="3"/>
  <c r="G268" i="3" s="1"/>
  <c r="F269" i="3"/>
  <c r="G269" i="3" s="1"/>
  <c r="F270" i="3"/>
  <c r="G270" i="3" s="1"/>
  <c r="F271" i="3"/>
  <c r="G271" i="3" s="1"/>
  <c r="F272" i="3"/>
  <c r="G272" i="3" s="1"/>
  <c r="F273" i="3"/>
  <c r="G273" i="3" s="1"/>
  <c r="F274" i="3"/>
  <c r="G274" i="3" s="1"/>
  <c r="F275" i="3"/>
  <c r="G275" i="3" s="1"/>
  <c r="F276" i="3"/>
  <c r="G276" i="3" s="1"/>
  <c r="F277" i="3"/>
  <c r="G277" i="3" s="1"/>
  <c r="F278" i="3"/>
  <c r="G278" i="3" s="1"/>
  <c r="F279" i="3"/>
  <c r="G279" i="3" s="1"/>
  <c r="F280" i="3"/>
  <c r="G280" i="3" s="1"/>
  <c r="F281" i="3"/>
  <c r="G281" i="3" s="1"/>
  <c r="F282" i="3"/>
  <c r="G282" i="3" s="1"/>
  <c r="F283" i="3"/>
  <c r="G283" i="3" s="1"/>
  <c r="F284" i="3"/>
  <c r="G284" i="3" s="1"/>
  <c r="F285" i="3"/>
  <c r="G285" i="3" s="1"/>
  <c r="F286" i="3"/>
  <c r="G286" i="3" s="1"/>
  <c r="F287" i="3"/>
  <c r="G287" i="3" s="1"/>
  <c r="F288" i="3"/>
  <c r="G288" i="3" s="1"/>
  <c r="F289" i="3"/>
  <c r="G289" i="3" s="1"/>
  <c r="F290" i="3"/>
  <c r="G290" i="3" s="1"/>
  <c r="F291" i="3"/>
  <c r="G291" i="3" s="1"/>
  <c r="F292" i="3"/>
  <c r="G292" i="3" s="1"/>
  <c r="F293" i="3"/>
  <c r="G293" i="3" s="1"/>
  <c r="F294" i="3"/>
  <c r="G294" i="3" s="1"/>
  <c r="F295" i="3"/>
  <c r="G295" i="3"/>
  <c r="F296" i="3"/>
  <c r="G296" i="3" s="1"/>
  <c r="F297" i="3"/>
  <c r="G297" i="3" s="1"/>
  <c r="F298" i="3"/>
  <c r="G298" i="3" s="1"/>
  <c r="F299" i="3"/>
  <c r="G299" i="3" s="1"/>
  <c r="F300" i="3"/>
  <c r="G300" i="3" s="1"/>
  <c r="F301" i="3"/>
  <c r="G301" i="3" s="1"/>
  <c r="F302" i="3"/>
  <c r="G302" i="3" s="1"/>
  <c r="F303" i="3"/>
  <c r="G303" i="3" s="1"/>
  <c r="F304" i="3"/>
  <c r="G304" i="3" s="1"/>
  <c r="F305" i="3"/>
  <c r="G305" i="3" s="1"/>
  <c r="F306" i="3"/>
  <c r="G306" i="3" s="1"/>
  <c r="F307" i="3"/>
  <c r="G307" i="3" s="1"/>
  <c r="F308" i="3"/>
  <c r="G308" i="3" s="1"/>
  <c r="F309" i="3"/>
  <c r="G309" i="3" s="1"/>
  <c r="F310" i="3"/>
  <c r="G310" i="3" s="1"/>
  <c r="F311" i="3"/>
  <c r="G311" i="3" s="1"/>
  <c r="F312" i="3"/>
  <c r="G312" i="3" s="1"/>
  <c r="F313" i="3"/>
  <c r="G313" i="3" s="1"/>
  <c r="F314" i="3"/>
  <c r="G314" i="3" s="1"/>
  <c r="F315" i="3"/>
  <c r="G315" i="3" s="1"/>
  <c r="F316" i="3"/>
  <c r="G316" i="3" s="1"/>
  <c r="F317" i="3"/>
  <c r="G317" i="3" s="1"/>
  <c r="F318" i="3"/>
  <c r="G318" i="3" s="1"/>
  <c r="F319" i="3"/>
  <c r="G319" i="3" s="1"/>
  <c r="F320" i="3"/>
  <c r="G320" i="3" s="1"/>
  <c r="F321" i="3"/>
  <c r="G321" i="3" s="1"/>
  <c r="F322" i="3"/>
  <c r="G322" i="3" s="1"/>
  <c r="F323" i="3"/>
  <c r="G323" i="3" s="1"/>
  <c r="F324" i="3"/>
  <c r="G324" i="3" s="1"/>
  <c r="F325" i="3"/>
  <c r="G325" i="3" s="1"/>
  <c r="F326" i="3"/>
  <c r="G326" i="3" s="1"/>
  <c r="F327" i="3"/>
  <c r="G327" i="3" s="1"/>
  <c r="F328" i="3"/>
  <c r="G328" i="3" s="1"/>
  <c r="F329" i="3"/>
  <c r="G329" i="3" s="1"/>
  <c r="F330" i="3"/>
  <c r="G330" i="3" s="1"/>
  <c r="F331" i="3"/>
  <c r="G331" i="3" s="1"/>
  <c r="F332" i="3"/>
  <c r="G332" i="3" s="1"/>
  <c r="F333" i="3"/>
  <c r="G333" i="3" s="1"/>
  <c r="F334" i="3"/>
  <c r="G334" i="3" s="1"/>
  <c r="F335" i="3"/>
  <c r="G335" i="3" s="1"/>
  <c r="F336" i="3"/>
  <c r="G336" i="3" s="1"/>
  <c r="F337" i="3"/>
  <c r="G337" i="3" s="1"/>
  <c r="F338" i="3"/>
  <c r="G338" i="3" s="1"/>
  <c r="F339" i="3"/>
  <c r="G339" i="3" s="1"/>
  <c r="F340" i="3"/>
  <c r="G340" i="3" s="1"/>
  <c r="F341" i="3"/>
  <c r="G341" i="3" s="1"/>
  <c r="F342" i="3"/>
  <c r="G342" i="3" s="1"/>
  <c r="F343" i="3"/>
  <c r="G343" i="3" s="1"/>
  <c r="F344" i="3"/>
  <c r="G344" i="3" s="1"/>
  <c r="F345" i="3"/>
  <c r="G345" i="3" s="1"/>
  <c r="F346" i="3"/>
  <c r="G346" i="3" s="1"/>
  <c r="F347" i="3"/>
  <c r="G347" i="3" s="1"/>
  <c r="F348" i="3"/>
  <c r="G348" i="3" s="1"/>
  <c r="F349" i="3"/>
  <c r="G349" i="3" s="1"/>
  <c r="F350" i="3"/>
  <c r="G350" i="3" s="1"/>
  <c r="F351" i="3"/>
  <c r="G351" i="3" s="1"/>
  <c r="F352" i="3"/>
  <c r="G352" i="3" s="1"/>
  <c r="F353" i="3"/>
  <c r="G353" i="3" s="1"/>
  <c r="F354" i="3"/>
  <c r="G354" i="3" s="1"/>
  <c r="F355" i="3"/>
  <c r="G355" i="3" s="1"/>
  <c r="F356" i="3"/>
  <c r="G356" i="3" s="1"/>
  <c r="F357" i="3"/>
  <c r="G357" i="3" s="1"/>
  <c r="F358" i="3"/>
  <c r="G358" i="3" s="1"/>
  <c r="F359" i="3"/>
  <c r="G359" i="3" s="1"/>
  <c r="F360" i="3"/>
  <c r="G360" i="3" s="1"/>
  <c r="F361" i="3"/>
  <c r="G361" i="3" s="1"/>
  <c r="F362" i="3"/>
  <c r="G362" i="3" s="1"/>
  <c r="F363" i="3"/>
  <c r="G363" i="3" s="1"/>
  <c r="F364" i="3"/>
  <c r="G364" i="3" s="1"/>
  <c r="F365" i="3"/>
  <c r="G365" i="3" s="1"/>
  <c r="F366" i="3"/>
  <c r="G366" i="3" s="1"/>
  <c r="F367" i="3"/>
  <c r="G367" i="3" s="1"/>
  <c r="F368" i="3"/>
  <c r="G368" i="3" s="1"/>
  <c r="F369" i="3"/>
  <c r="G369" i="3" s="1"/>
  <c r="F370" i="3"/>
  <c r="G370" i="3" s="1"/>
  <c r="F371" i="3"/>
  <c r="G371" i="3" s="1"/>
  <c r="F372" i="3"/>
  <c r="G372" i="3" s="1"/>
  <c r="F373" i="3"/>
  <c r="G373" i="3" s="1"/>
  <c r="F374" i="3"/>
  <c r="G374" i="3" s="1"/>
  <c r="F375" i="3"/>
  <c r="G375" i="3"/>
  <c r="F376" i="3"/>
  <c r="G376" i="3" s="1"/>
  <c r="F377" i="3"/>
  <c r="G377" i="3" s="1"/>
  <c r="F378" i="3"/>
  <c r="G378" i="3" s="1"/>
  <c r="F379" i="3"/>
  <c r="G379" i="3" s="1"/>
  <c r="F380" i="3"/>
  <c r="G380" i="3" s="1"/>
  <c r="F381" i="3"/>
  <c r="G381" i="3" s="1"/>
  <c r="F382" i="3"/>
  <c r="G382" i="3" s="1"/>
  <c r="F383" i="3"/>
  <c r="G383" i="3" s="1"/>
  <c r="F384" i="3"/>
  <c r="G384" i="3" s="1"/>
  <c r="F385" i="3"/>
  <c r="G385" i="3" s="1"/>
  <c r="F386" i="3"/>
  <c r="G386" i="3" s="1"/>
  <c r="F387" i="3"/>
  <c r="G387" i="3" s="1"/>
  <c r="F388" i="3"/>
  <c r="G388" i="3" s="1"/>
  <c r="F389" i="3"/>
  <c r="G389" i="3" s="1"/>
  <c r="F390" i="3"/>
  <c r="G390" i="3" s="1"/>
  <c r="F391" i="3"/>
  <c r="G391" i="3" s="1"/>
  <c r="F392" i="3"/>
  <c r="G392" i="3" s="1"/>
  <c r="F393" i="3"/>
  <c r="G393" i="3" s="1"/>
  <c r="F394" i="3"/>
  <c r="G394" i="3" s="1"/>
  <c r="F395" i="3"/>
  <c r="G395" i="3" s="1"/>
  <c r="F396" i="3"/>
  <c r="G396" i="3" s="1"/>
  <c r="F397" i="3"/>
  <c r="G397" i="3" s="1"/>
  <c r="F398" i="3"/>
  <c r="G398" i="3" s="1"/>
  <c r="F399" i="3"/>
  <c r="G399" i="3" s="1"/>
  <c r="F400" i="3"/>
  <c r="G400" i="3" s="1"/>
  <c r="F401" i="3"/>
  <c r="G401" i="3" s="1"/>
  <c r="F402" i="3"/>
  <c r="G402" i="3" s="1"/>
  <c r="F403" i="3"/>
  <c r="G403" i="3" s="1"/>
  <c r="F404" i="3"/>
  <c r="G404" i="3" s="1"/>
  <c r="F405" i="3"/>
  <c r="G405" i="3" s="1"/>
  <c r="F406" i="3"/>
  <c r="G406" i="3" s="1"/>
  <c r="F407" i="3"/>
  <c r="G407" i="3" s="1"/>
  <c r="F408" i="3"/>
  <c r="G408" i="3" s="1"/>
  <c r="F409" i="3"/>
  <c r="G409" i="3" s="1"/>
  <c r="F410" i="3"/>
  <c r="G410" i="3" s="1"/>
  <c r="F411" i="3"/>
  <c r="G411" i="3" s="1"/>
  <c r="F412" i="3"/>
  <c r="G412" i="3" s="1"/>
  <c r="F413" i="3"/>
  <c r="G413" i="3" s="1"/>
  <c r="F414" i="3"/>
  <c r="G414" i="3" s="1"/>
  <c r="F415" i="3"/>
  <c r="G415" i="3" s="1"/>
  <c r="F416" i="3"/>
  <c r="G416" i="3" s="1"/>
  <c r="F417" i="3"/>
  <c r="G417" i="3" s="1"/>
  <c r="F418" i="3"/>
  <c r="G418" i="3" s="1"/>
  <c r="F419" i="3"/>
  <c r="G419" i="3" s="1"/>
  <c r="F420" i="3"/>
  <c r="G420" i="3" s="1"/>
  <c r="F421" i="3"/>
  <c r="G421" i="3" s="1"/>
  <c r="F422" i="3"/>
  <c r="G422" i="3" s="1"/>
  <c r="F423" i="3"/>
  <c r="G423" i="3" s="1"/>
  <c r="F424" i="3"/>
  <c r="G424" i="3" s="1"/>
  <c r="F425" i="3"/>
  <c r="G425" i="3" s="1"/>
  <c r="F426" i="3"/>
  <c r="G426" i="3" s="1"/>
  <c r="F427" i="3"/>
  <c r="G427" i="3" s="1"/>
  <c r="F428" i="3"/>
  <c r="G428" i="3" s="1"/>
  <c r="F429" i="3"/>
  <c r="G429" i="3" s="1"/>
  <c r="F430" i="3"/>
  <c r="G430" i="3" s="1"/>
  <c r="F431" i="3"/>
  <c r="G431" i="3" s="1"/>
  <c r="F432" i="3"/>
  <c r="G432" i="3" s="1"/>
  <c r="F433" i="3"/>
  <c r="G433" i="3" s="1"/>
  <c r="F434" i="3"/>
  <c r="G434" i="3" s="1"/>
  <c r="F435" i="3"/>
  <c r="G435" i="3" s="1"/>
  <c r="F436" i="3"/>
  <c r="G436" i="3" s="1"/>
  <c r="F437" i="3"/>
  <c r="G437" i="3" s="1"/>
  <c r="F438" i="3"/>
  <c r="G438" i="3" s="1"/>
  <c r="F439" i="3"/>
  <c r="G439" i="3"/>
  <c r="F440" i="3"/>
  <c r="G440" i="3" s="1"/>
  <c r="F441" i="3"/>
  <c r="G441" i="3" s="1"/>
  <c r="F442" i="3"/>
  <c r="G442" i="3" s="1"/>
  <c r="F443" i="3"/>
  <c r="G443" i="3" s="1"/>
  <c r="F444" i="3"/>
  <c r="G444" i="3" s="1"/>
  <c r="F445" i="3"/>
  <c r="G445" i="3" s="1"/>
  <c r="F446" i="3"/>
  <c r="G446" i="3" s="1"/>
  <c r="F447" i="3"/>
  <c r="G447" i="3" s="1"/>
  <c r="F448" i="3"/>
  <c r="G448" i="3" s="1"/>
  <c r="F449" i="3"/>
  <c r="G449" i="3" s="1"/>
  <c r="F450" i="3"/>
  <c r="G450" i="3" s="1"/>
  <c r="F451" i="3"/>
  <c r="G451" i="3" s="1"/>
  <c r="F452" i="3"/>
  <c r="G452" i="3" s="1"/>
  <c r="F453" i="3"/>
  <c r="G453" i="3" s="1"/>
  <c r="F454" i="3"/>
  <c r="G454" i="3" s="1"/>
  <c r="F455" i="3"/>
  <c r="G455" i="3" s="1"/>
  <c r="F456" i="3"/>
  <c r="G456" i="3" s="1"/>
  <c r="F457" i="3"/>
  <c r="G457" i="3" s="1"/>
  <c r="F458" i="3"/>
  <c r="G458" i="3" s="1"/>
  <c r="F459" i="3"/>
  <c r="G459" i="3" s="1"/>
  <c r="F460" i="3"/>
  <c r="G460" i="3" s="1"/>
  <c r="F461" i="3"/>
  <c r="G461" i="3" s="1"/>
  <c r="F462" i="3"/>
  <c r="G462" i="3" s="1"/>
  <c r="F463" i="3"/>
  <c r="G463" i="3" s="1"/>
  <c r="F464" i="3"/>
  <c r="G464" i="3" s="1"/>
  <c r="F465" i="3"/>
  <c r="G465" i="3" s="1"/>
  <c r="F466" i="3"/>
  <c r="G466" i="3" s="1"/>
  <c r="F467" i="3"/>
  <c r="G467" i="3" s="1"/>
  <c r="F468" i="3"/>
  <c r="G468" i="3" s="1"/>
  <c r="F469" i="3"/>
  <c r="G469" i="3" s="1"/>
  <c r="F470" i="3"/>
  <c r="G470" i="3" s="1"/>
  <c r="F471" i="3"/>
  <c r="G471" i="3" s="1"/>
  <c r="F472" i="3"/>
  <c r="G472" i="3" s="1"/>
  <c r="F473" i="3"/>
  <c r="G473" i="3" s="1"/>
  <c r="F474" i="3"/>
  <c r="G474" i="3" s="1"/>
  <c r="F475" i="3"/>
  <c r="G475" i="3" s="1"/>
  <c r="F476" i="3"/>
  <c r="G476" i="3" s="1"/>
  <c r="F477" i="3"/>
  <c r="G477" i="3" s="1"/>
  <c r="F478" i="3"/>
  <c r="G478" i="3" s="1"/>
  <c r="F479" i="3"/>
  <c r="G479" i="3" s="1"/>
  <c r="F480" i="3"/>
  <c r="G480" i="3" s="1"/>
  <c r="F481" i="3"/>
  <c r="G481" i="3" s="1"/>
  <c r="F482" i="3"/>
  <c r="G482" i="3" s="1"/>
  <c r="F483" i="3"/>
  <c r="G483" i="3" s="1"/>
  <c r="F484" i="3"/>
  <c r="G484" i="3" s="1"/>
  <c r="F485" i="3"/>
  <c r="G485" i="3" s="1"/>
  <c r="F486" i="3"/>
  <c r="G486" i="3" s="1"/>
  <c r="F487" i="3"/>
  <c r="G487" i="3" s="1"/>
  <c r="F488" i="3"/>
  <c r="G488" i="3" s="1"/>
  <c r="F489" i="3"/>
  <c r="G489" i="3" s="1"/>
  <c r="F490" i="3"/>
  <c r="G490" i="3" s="1"/>
  <c r="F491" i="3"/>
  <c r="G491" i="3" s="1"/>
  <c r="F492" i="3"/>
  <c r="G492" i="3" s="1"/>
  <c r="F493" i="3"/>
  <c r="G493" i="3" s="1"/>
  <c r="F494" i="3"/>
  <c r="G494" i="3" s="1"/>
  <c r="F495" i="3"/>
  <c r="G495" i="3" s="1"/>
  <c r="F496" i="3"/>
  <c r="G496" i="3" s="1"/>
  <c r="F497" i="3"/>
  <c r="G497" i="3" s="1"/>
  <c r="F498" i="3"/>
  <c r="G498" i="3" s="1"/>
  <c r="F499" i="3"/>
  <c r="G499" i="3" s="1"/>
  <c r="F500" i="3"/>
  <c r="G500" i="3" s="1"/>
  <c r="F501" i="3"/>
  <c r="G501" i="3" s="1"/>
  <c r="F502" i="3"/>
  <c r="G502" i="3" s="1"/>
  <c r="F503" i="3"/>
  <c r="G503" i="3" s="1"/>
  <c r="F504" i="3"/>
  <c r="G504" i="3" s="1"/>
  <c r="F505" i="3"/>
  <c r="G505" i="3" s="1"/>
  <c r="F506" i="3"/>
  <c r="G506" i="3" s="1"/>
  <c r="F507" i="3"/>
  <c r="G507" i="3" s="1"/>
  <c r="F508" i="3"/>
  <c r="G508" i="3" s="1"/>
  <c r="F509" i="3"/>
  <c r="G509" i="3" s="1"/>
  <c r="F510" i="3"/>
  <c r="G510" i="3" s="1"/>
  <c r="F511" i="3"/>
  <c r="G511" i="3" s="1"/>
  <c r="F512" i="3"/>
  <c r="G512" i="3" s="1"/>
  <c r="F513" i="3"/>
  <c r="G513" i="3" s="1"/>
  <c r="F514" i="3"/>
  <c r="G514" i="3" s="1"/>
  <c r="F515" i="3"/>
  <c r="G515" i="3" s="1"/>
  <c r="F516" i="3"/>
  <c r="G516" i="3" s="1"/>
  <c r="F517" i="3"/>
  <c r="G517" i="3" s="1"/>
  <c r="F518" i="3"/>
  <c r="G518" i="3" s="1"/>
  <c r="F519" i="3"/>
  <c r="G519" i="3" s="1"/>
  <c r="F520" i="3"/>
  <c r="G520" i="3" s="1"/>
  <c r="F521" i="3"/>
  <c r="G521" i="3" s="1"/>
  <c r="F522" i="3"/>
  <c r="G522" i="3" s="1"/>
  <c r="F523" i="3"/>
  <c r="G523" i="3" s="1"/>
  <c r="F524" i="3"/>
  <c r="G524" i="3" s="1"/>
  <c r="F525" i="3"/>
  <c r="G525" i="3" s="1"/>
  <c r="F526" i="3"/>
  <c r="G526" i="3" s="1"/>
  <c r="F527" i="3"/>
  <c r="G527" i="3" s="1"/>
  <c r="F528" i="3"/>
  <c r="G528" i="3" s="1"/>
  <c r="F529" i="3"/>
  <c r="G529" i="3" s="1"/>
  <c r="F530" i="3"/>
  <c r="G530" i="3" s="1"/>
  <c r="F531" i="3"/>
  <c r="G531" i="3" s="1"/>
  <c r="F532" i="3"/>
  <c r="G532" i="3" s="1"/>
  <c r="F533" i="3"/>
  <c r="G533" i="3" s="1"/>
  <c r="F534" i="3"/>
  <c r="G534" i="3" s="1"/>
  <c r="F535" i="3"/>
  <c r="G535" i="3" s="1"/>
  <c r="F536" i="3"/>
  <c r="G536" i="3" s="1"/>
  <c r="F537" i="3"/>
  <c r="G537" i="3" s="1"/>
  <c r="F538" i="3"/>
  <c r="G538" i="3" s="1"/>
  <c r="F539" i="3"/>
  <c r="G539" i="3" s="1"/>
  <c r="F540" i="3"/>
  <c r="G540" i="3" s="1"/>
  <c r="F541" i="3"/>
  <c r="G541" i="3" s="1"/>
  <c r="F542" i="3"/>
  <c r="G542" i="3" s="1"/>
  <c r="F543" i="3"/>
  <c r="G543" i="3" s="1"/>
  <c r="F544" i="3"/>
  <c r="G544" i="3" s="1"/>
  <c r="F545" i="3"/>
  <c r="G545" i="3" s="1"/>
  <c r="F546" i="3"/>
  <c r="G546" i="3" s="1"/>
  <c r="F547" i="3"/>
  <c r="G547" i="3" s="1"/>
  <c r="F548" i="3"/>
  <c r="G548" i="3" s="1"/>
  <c r="F549" i="3"/>
  <c r="G549" i="3" s="1"/>
  <c r="F550" i="3"/>
  <c r="G550" i="3" s="1"/>
  <c r="F551" i="3"/>
  <c r="G551" i="3" s="1"/>
  <c r="F552" i="3"/>
  <c r="G552" i="3" s="1"/>
  <c r="F553" i="3"/>
  <c r="G553" i="3" s="1"/>
  <c r="F554" i="3"/>
  <c r="G554" i="3" s="1"/>
  <c r="F555" i="3"/>
  <c r="G555" i="3" s="1"/>
  <c r="F556" i="3"/>
  <c r="G556" i="3" s="1"/>
  <c r="F557" i="3"/>
  <c r="G557" i="3" s="1"/>
  <c r="F558" i="3"/>
  <c r="G558" i="3" s="1"/>
  <c r="F559" i="3"/>
  <c r="G559" i="3" s="1"/>
  <c r="F560" i="3"/>
  <c r="G560" i="3" s="1"/>
  <c r="F561" i="3"/>
  <c r="G561" i="3" s="1"/>
  <c r="F562" i="3"/>
  <c r="G562" i="3" s="1"/>
  <c r="F563" i="3"/>
  <c r="G563" i="3" s="1"/>
  <c r="F564" i="3"/>
  <c r="G564" i="3" s="1"/>
  <c r="F565" i="3"/>
  <c r="G565" i="3" s="1"/>
  <c r="F566" i="3"/>
  <c r="G566" i="3" s="1"/>
  <c r="F567" i="3"/>
  <c r="G567" i="3" s="1"/>
  <c r="F568" i="3"/>
  <c r="G568" i="3" s="1"/>
  <c r="F569" i="3"/>
  <c r="G569" i="3" s="1"/>
  <c r="F570" i="3"/>
  <c r="G570" i="3" s="1"/>
  <c r="F571" i="3"/>
  <c r="G571" i="3" s="1"/>
  <c r="F572" i="3"/>
  <c r="G572" i="3" s="1"/>
  <c r="F573" i="3"/>
  <c r="G573" i="3" s="1"/>
  <c r="F574" i="3"/>
  <c r="G574" i="3" s="1"/>
  <c r="F575" i="3"/>
  <c r="G575" i="3" s="1"/>
  <c r="F576" i="3"/>
  <c r="G576" i="3" s="1"/>
  <c r="F577" i="3"/>
  <c r="G577" i="3" s="1"/>
  <c r="F578" i="3"/>
  <c r="G578" i="3" s="1"/>
  <c r="F579" i="3"/>
  <c r="G579" i="3" s="1"/>
  <c r="F580" i="3"/>
  <c r="G580" i="3" s="1"/>
  <c r="F581" i="3"/>
  <c r="G581" i="3" s="1"/>
  <c r="F582" i="3"/>
  <c r="G582" i="3" s="1"/>
  <c r="F583" i="3"/>
  <c r="G583" i="3" s="1"/>
  <c r="F584" i="3"/>
  <c r="G584" i="3" s="1"/>
  <c r="F585" i="3"/>
  <c r="G585" i="3" s="1"/>
  <c r="F586" i="3"/>
  <c r="G586" i="3"/>
  <c r="F587" i="3"/>
  <c r="G587" i="3" s="1"/>
  <c r="F588" i="3"/>
  <c r="G588" i="3" s="1"/>
  <c r="F589" i="3"/>
  <c r="G589" i="3" s="1"/>
  <c r="F590" i="3"/>
  <c r="G590" i="3" s="1"/>
  <c r="F591" i="3"/>
  <c r="G591" i="3" s="1"/>
  <c r="F592" i="3"/>
  <c r="G592" i="3" s="1"/>
  <c r="F593" i="3"/>
  <c r="G593" i="3" s="1"/>
  <c r="F594" i="3"/>
  <c r="G594" i="3" s="1"/>
  <c r="F595" i="3"/>
  <c r="G595" i="3" s="1"/>
  <c r="F596" i="3"/>
  <c r="G596" i="3" s="1"/>
  <c r="F597" i="3"/>
  <c r="G597" i="3" s="1"/>
  <c r="F598" i="3"/>
  <c r="G598" i="3" s="1"/>
  <c r="F599" i="3"/>
  <c r="G599" i="3" s="1"/>
  <c r="F600" i="3"/>
  <c r="G600" i="3" s="1"/>
  <c r="F601" i="3"/>
  <c r="G601" i="3" s="1"/>
  <c r="F602" i="3"/>
  <c r="G602" i="3" s="1"/>
  <c r="F603" i="3"/>
  <c r="G603" i="3" s="1"/>
  <c r="F604" i="3"/>
  <c r="G604" i="3" s="1"/>
  <c r="F605" i="3"/>
  <c r="G605" i="3" s="1"/>
  <c r="F606" i="3"/>
  <c r="G606" i="3" s="1"/>
  <c r="F607" i="3"/>
  <c r="G607" i="3" s="1"/>
  <c r="F608" i="3"/>
  <c r="G608" i="3" s="1"/>
  <c r="F609" i="3"/>
  <c r="G609" i="3" s="1"/>
  <c r="F610" i="3"/>
  <c r="G610" i="3" s="1"/>
  <c r="F611" i="3"/>
  <c r="G611" i="3" s="1"/>
  <c r="F612" i="3"/>
  <c r="G612" i="3"/>
  <c r="F613" i="3"/>
  <c r="G613" i="3" s="1"/>
  <c r="F614" i="3"/>
  <c r="G614" i="3" s="1"/>
  <c r="F615" i="3"/>
  <c r="G615" i="3" s="1"/>
  <c r="F616" i="3"/>
  <c r="G616" i="3" s="1"/>
  <c r="F617" i="3"/>
  <c r="G617" i="3" s="1"/>
  <c r="F618" i="3"/>
  <c r="G618" i="3" s="1"/>
  <c r="F619" i="3"/>
  <c r="G619" i="3" s="1"/>
  <c r="F620" i="3"/>
  <c r="G620" i="3" s="1"/>
  <c r="F621" i="3"/>
  <c r="G621" i="3" s="1"/>
  <c r="F622" i="3"/>
  <c r="G622" i="3" s="1"/>
  <c r="F623" i="3"/>
  <c r="G623" i="3" s="1"/>
  <c r="F624" i="3"/>
  <c r="G624" i="3" s="1"/>
  <c r="F625" i="3"/>
  <c r="G625" i="3" s="1"/>
  <c r="F626" i="3"/>
  <c r="G626" i="3" s="1"/>
  <c r="F627" i="3"/>
  <c r="G627" i="3" s="1"/>
  <c r="F628" i="3"/>
  <c r="G628" i="3" s="1"/>
  <c r="F629" i="3"/>
  <c r="G629" i="3" s="1"/>
  <c r="F630" i="3"/>
  <c r="G630" i="3" s="1"/>
  <c r="F631" i="3"/>
  <c r="G631" i="3" s="1"/>
  <c r="F632" i="3"/>
  <c r="G632" i="3" s="1"/>
  <c r="F633" i="3"/>
  <c r="G633" i="3" s="1"/>
  <c r="F634" i="3"/>
  <c r="G634" i="3" s="1"/>
  <c r="F635" i="3"/>
  <c r="G635" i="3" s="1"/>
  <c r="F636" i="3"/>
  <c r="G636" i="3" s="1"/>
  <c r="F637" i="3"/>
  <c r="G637" i="3" s="1"/>
  <c r="F638" i="3"/>
  <c r="G638" i="3" s="1"/>
  <c r="F639" i="3"/>
  <c r="G639" i="3" s="1"/>
  <c r="F640" i="3"/>
  <c r="G640" i="3" s="1"/>
  <c r="F641" i="3"/>
  <c r="G641" i="3" s="1"/>
  <c r="F642" i="3"/>
  <c r="G642" i="3" s="1"/>
  <c r="F643" i="3"/>
  <c r="G643" i="3" s="1"/>
  <c r="F644" i="3"/>
  <c r="G644" i="3" s="1"/>
  <c r="F645" i="3"/>
  <c r="G645" i="3" s="1"/>
  <c r="F646" i="3"/>
  <c r="G646" i="3" s="1"/>
  <c r="F647" i="3"/>
  <c r="G647" i="3" s="1"/>
  <c r="F648" i="3"/>
  <c r="G648" i="3" s="1"/>
  <c r="F649" i="3"/>
  <c r="G649" i="3" s="1"/>
  <c r="F650" i="3"/>
  <c r="G650" i="3" s="1"/>
  <c r="F651" i="3"/>
  <c r="G651" i="3" s="1"/>
  <c r="F652" i="3"/>
  <c r="G652" i="3" s="1"/>
  <c r="F653" i="3"/>
  <c r="G653" i="3" s="1"/>
  <c r="F654" i="3"/>
  <c r="G654" i="3" s="1"/>
  <c r="F655" i="3"/>
  <c r="G655" i="3" s="1"/>
  <c r="F656" i="3"/>
  <c r="G656" i="3" s="1"/>
  <c r="F657" i="3"/>
  <c r="G657" i="3" s="1"/>
  <c r="F658" i="3"/>
  <c r="G658" i="3" s="1"/>
  <c r="F659" i="3"/>
  <c r="G659" i="3" s="1"/>
  <c r="F660" i="3"/>
  <c r="G660" i="3" s="1"/>
  <c r="F661" i="3"/>
  <c r="G661" i="3" s="1"/>
  <c r="F662" i="3"/>
  <c r="G662" i="3" s="1"/>
  <c r="F663" i="3"/>
  <c r="G663" i="3" s="1"/>
  <c r="F664" i="3"/>
  <c r="G664" i="3" s="1"/>
  <c r="F665" i="3"/>
  <c r="G665" i="3" s="1"/>
  <c r="F666" i="3"/>
  <c r="G666" i="3" s="1"/>
  <c r="F667" i="3"/>
  <c r="G667" i="3" s="1"/>
  <c r="F668" i="3"/>
  <c r="G668" i="3" s="1"/>
  <c r="F669" i="3"/>
  <c r="G669" i="3" s="1"/>
  <c r="F670" i="3"/>
  <c r="G670" i="3" s="1"/>
  <c r="F671" i="3"/>
  <c r="G671" i="3" s="1"/>
  <c r="F672" i="3"/>
  <c r="G672" i="3" s="1"/>
  <c r="F673" i="3"/>
  <c r="G673" i="3" s="1"/>
  <c r="F674" i="3"/>
  <c r="G674" i="3" s="1"/>
  <c r="F675" i="3"/>
  <c r="G675" i="3" s="1"/>
  <c r="F676" i="3"/>
  <c r="G676" i="3" s="1"/>
  <c r="F677" i="3"/>
  <c r="G677" i="3" s="1"/>
  <c r="F678" i="3"/>
  <c r="G678" i="3" s="1"/>
  <c r="F679" i="3"/>
  <c r="G679" i="3" s="1"/>
  <c r="F680" i="3"/>
  <c r="G680" i="3" s="1"/>
  <c r="F681" i="3"/>
  <c r="G681" i="3" s="1"/>
  <c r="F682" i="3"/>
  <c r="G682" i="3" s="1"/>
  <c r="F683" i="3"/>
  <c r="G683" i="3" s="1"/>
  <c r="F684" i="3"/>
  <c r="G684" i="3" s="1"/>
  <c r="F685" i="3"/>
  <c r="G685" i="3" s="1"/>
  <c r="F686" i="3"/>
  <c r="G686" i="3" s="1"/>
  <c r="F687" i="3"/>
  <c r="G687" i="3" s="1"/>
  <c r="F688" i="3"/>
  <c r="G688" i="3" s="1"/>
  <c r="F689" i="3"/>
  <c r="G689" i="3" s="1"/>
  <c r="F690" i="3"/>
  <c r="G690" i="3" s="1"/>
  <c r="F691" i="3"/>
  <c r="G691" i="3" s="1"/>
  <c r="F692" i="3"/>
  <c r="G692" i="3"/>
  <c r="F693" i="3"/>
  <c r="G693" i="3" s="1"/>
  <c r="F694" i="3"/>
  <c r="G694" i="3" s="1"/>
  <c r="F695" i="3"/>
  <c r="G695" i="3" s="1"/>
  <c r="F696" i="3"/>
  <c r="G696" i="3" s="1"/>
  <c r="F697" i="3"/>
  <c r="G697" i="3" s="1"/>
  <c r="F698" i="3"/>
  <c r="G698" i="3" s="1"/>
  <c r="F699" i="3"/>
  <c r="G699" i="3" s="1"/>
  <c r="F700" i="3"/>
  <c r="G700" i="3" s="1"/>
  <c r="F701" i="3"/>
  <c r="G701" i="3" s="1"/>
  <c r="F702" i="3"/>
  <c r="G702" i="3" s="1"/>
  <c r="F703" i="3"/>
  <c r="G703" i="3" s="1"/>
  <c r="F704" i="3"/>
  <c r="G704" i="3" s="1"/>
  <c r="F705" i="3"/>
  <c r="G705" i="3" s="1"/>
  <c r="F706" i="3"/>
  <c r="G706" i="3" s="1"/>
  <c r="F707" i="3"/>
  <c r="G707" i="3" s="1"/>
  <c r="F708" i="3"/>
  <c r="G708" i="3" s="1"/>
  <c r="F709" i="3"/>
  <c r="G709" i="3" s="1"/>
  <c r="F710" i="3"/>
  <c r="G710" i="3" s="1"/>
  <c r="F711" i="3"/>
  <c r="G711" i="3" s="1"/>
  <c r="F712" i="3"/>
  <c r="G712" i="3" s="1"/>
  <c r="F713" i="3"/>
  <c r="G713" i="3" s="1"/>
  <c r="F714" i="3"/>
  <c r="G714" i="3" s="1"/>
  <c r="F715" i="3"/>
  <c r="G715" i="3" s="1"/>
  <c r="F716" i="3"/>
  <c r="G716" i="3" s="1"/>
  <c r="F717" i="3"/>
  <c r="G717" i="3" s="1"/>
  <c r="F718" i="3"/>
  <c r="G718" i="3" s="1"/>
  <c r="F719" i="3"/>
  <c r="G719" i="3" s="1"/>
  <c r="F720" i="3"/>
  <c r="G720" i="3" s="1"/>
  <c r="F721" i="3"/>
  <c r="G721" i="3" s="1"/>
  <c r="F722" i="3"/>
  <c r="G722" i="3" s="1"/>
  <c r="F723" i="3"/>
  <c r="G723" i="3" s="1"/>
  <c r="F724" i="3"/>
  <c r="G724" i="3" s="1"/>
  <c r="F725" i="3"/>
  <c r="G725" i="3" s="1"/>
  <c r="F726" i="3"/>
  <c r="G726" i="3" s="1"/>
  <c r="F727" i="3"/>
  <c r="G727" i="3" s="1"/>
  <c r="F728" i="3"/>
  <c r="G728" i="3" s="1"/>
  <c r="F729" i="3"/>
  <c r="G729" i="3" s="1"/>
  <c r="F730" i="3"/>
  <c r="G730" i="3" s="1"/>
  <c r="F731" i="3"/>
  <c r="G731" i="3" s="1"/>
  <c r="F732" i="3"/>
  <c r="G732" i="3" s="1"/>
  <c r="F733" i="3"/>
  <c r="G733" i="3" s="1"/>
  <c r="F734" i="3"/>
  <c r="G734" i="3" s="1"/>
  <c r="F735" i="3"/>
  <c r="G735" i="3" s="1"/>
  <c r="F736" i="3"/>
  <c r="G736" i="3" s="1"/>
  <c r="F737" i="3"/>
  <c r="G737" i="3" s="1"/>
  <c r="F738" i="3"/>
  <c r="G738" i="3" s="1"/>
  <c r="F739" i="3"/>
  <c r="G739" i="3" s="1"/>
  <c r="F740" i="3"/>
  <c r="G740" i="3" s="1"/>
  <c r="F741" i="3"/>
  <c r="G741" i="3" s="1"/>
  <c r="F742" i="3"/>
  <c r="G742" i="3" s="1"/>
  <c r="F743" i="3"/>
  <c r="G743" i="3" s="1"/>
  <c r="F744" i="3"/>
  <c r="G744" i="3" s="1"/>
  <c r="F745" i="3"/>
  <c r="G745" i="3" s="1"/>
  <c r="F746" i="3"/>
  <c r="G746" i="3" s="1"/>
  <c r="F747" i="3"/>
  <c r="G747" i="3" s="1"/>
  <c r="F748" i="3"/>
  <c r="G748" i="3" s="1"/>
  <c r="F749" i="3"/>
  <c r="G749" i="3" s="1"/>
  <c r="F750" i="3"/>
  <c r="G750" i="3" s="1"/>
  <c r="F751" i="3"/>
  <c r="G751" i="3" s="1"/>
  <c r="F752" i="3"/>
  <c r="G752" i="3" s="1"/>
  <c r="F753" i="3"/>
  <c r="G753" i="3" s="1"/>
  <c r="F754" i="3"/>
  <c r="G754" i="3" s="1"/>
  <c r="F755" i="3"/>
  <c r="G755" i="3" s="1"/>
  <c r="F756" i="3"/>
  <c r="G756" i="3" s="1"/>
  <c r="F757" i="3"/>
  <c r="G757" i="3" s="1"/>
  <c r="F758" i="3"/>
  <c r="G758" i="3" s="1"/>
  <c r="F759" i="3"/>
  <c r="G759" i="3" s="1"/>
  <c r="F760" i="3"/>
  <c r="G760" i="3" s="1"/>
  <c r="F761" i="3"/>
  <c r="G761" i="3" s="1"/>
  <c r="F762" i="3"/>
  <c r="G762" i="3" s="1"/>
  <c r="F763" i="3"/>
  <c r="G763" i="3" s="1"/>
  <c r="F764" i="3"/>
  <c r="G764" i="3" s="1"/>
  <c r="F765" i="3"/>
  <c r="G765" i="3" s="1"/>
  <c r="F766" i="3"/>
  <c r="G766" i="3" s="1"/>
  <c r="F767" i="3"/>
  <c r="G767" i="3" s="1"/>
  <c r="F768" i="3"/>
  <c r="G768" i="3" s="1"/>
  <c r="F769" i="3"/>
  <c r="G769" i="3" s="1"/>
  <c r="F770" i="3"/>
  <c r="G770" i="3" s="1"/>
  <c r="F771" i="3"/>
  <c r="G771" i="3" s="1"/>
  <c r="F772" i="3"/>
  <c r="G772" i="3" s="1"/>
  <c r="F773" i="3"/>
  <c r="G773" i="3" s="1"/>
  <c r="F774" i="3"/>
  <c r="G774" i="3" s="1"/>
  <c r="F775" i="3"/>
  <c r="G775" i="3" s="1"/>
  <c r="F776" i="3"/>
  <c r="G776" i="3" s="1"/>
  <c r="F777" i="3"/>
  <c r="G777" i="3" s="1"/>
  <c r="F778" i="3"/>
  <c r="G778" i="3" s="1"/>
  <c r="F779" i="3"/>
  <c r="G779" i="3" s="1"/>
  <c r="F780" i="3"/>
  <c r="G780" i="3"/>
  <c r="F781" i="3"/>
  <c r="G781" i="3" s="1"/>
  <c r="F782" i="3"/>
  <c r="G782" i="3" s="1"/>
  <c r="F783" i="3"/>
  <c r="G783" i="3" s="1"/>
  <c r="F784" i="3"/>
  <c r="G784" i="3" s="1"/>
  <c r="F785" i="3"/>
  <c r="G785" i="3" s="1"/>
  <c r="F786" i="3"/>
  <c r="G786" i="3" s="1"/>
  <c r="F787" i="3"/>
  <c r="G787" i="3" s="1"/>
  <c r="F788" i="3"/>
  <c r="G788" i="3" s="1"/>
  <c r="F789" i="3"/>
  <c r="G789" i="3" s="1"/>
  <c r="F790" i="3"/>
  <c r="G790" i="3" s="1"/>
  <c r="F791" i="3"/>
  <c r="G791" i="3" s="1"/>
  <c r="F792" i="3"/>
  <c r="G792" i="3" s="1"/>
  <c r="F793" i="3"/>
  <c r="G793" i="3" s="1"/>
  <c r="F794" i="3"/>
  <c r="G794" i="3" s="1"/>
  <c r="F795" i="3"/>
  <c r="G795" i="3" s="1"/>
  <c r="F796" i="3"/>
  <c r="G796" i="3" s="1"/>
  <c r="F797" i="3"/>
  <c r="G797" i="3" s="1"/>
  <c r="F798" i="3"/>
  <c r="G798" i="3" s="1"/>
  <c r="F799" i="3"/>
  <c r="G799" i="3" s="1"/>
  <c r="F800" i="3"/>
  <c r="G800" i="3" s="1"/>
  <c r="F801" i="3"/>
  <c r="G801" i="3" s="1"/>
  <c r="F802" i="3"/>
  <c r="G802" i="3" s="1"/>
  <c r="F803" i="3"/>
  <c r="G803" i="3" s="1"/>
  <c r="F804" i="3"/>
  <c r="G804" i="3" s="1"/>
  <c r="F805" i="3"/>
  <c r="G805" i="3" s="1"/>
  <c r="F806" i="3"/>
  <c r="G806" i="3" s="1"/>
  <c r="F807" i="3"/>
  <c r="G807" i="3" s="1"/>
  <c r="F808" i="3"/>
  <c r="G808" i="3" s="1"/>
  <c r="F809" i="3"/>
  <c r="G809" i="3" s="1"/>
  <c r="F810" i="3"/>
  <c r="G810" i="3" s="1"/>
  <c r="F811" i="3"/>
  <c r="G811" i="3" s="1"/>
  <c r="F812" i="3"/>
  <c r="G812" i="3" s="1"/>
  <c r="F813" i="3"/>
  <c r="G813" i="3" s="1"/>
  <c r="F814" i="3"/>
  <c r="G814" i="3" s="1"/>
  <c r="F815" i="3"/>
  <c r="G815" i="3" s="1"/>
  <c r="F816" i="3"/>
  <c r="G816" i="3" s="1"/>
  <c r="F817" i="3"/>
  <c r="G817" i="3" s="1"/>
  <c r="F818" i="3"/>
  <c r="G818" i="3" s="1"/>
  <c r="F819" i="3"/>
  <c r="G819" i="3" s="1"/>
  <c r="F820" i="3"/>
  <c r="G820" i="3" s="1"/>
  <c r="F821" i="3"/>
  <c r="G821" i="3" s="1"/>
  <c r="F822" i="3"/>
  <c r="G822" i="3" s="1"/>
  <c r="F823" i="3"/>
  <c r="G823" i="3" s="1"/>
  <c r="F824" i="3"/>
  <c r="G824" i="3" s="1"/>
  <c r="F825" i="3"/>
  <c r="G825" i="3" s="1"/>
  <c r="F826" i="3"/>
  <c r="G826" i="3" s="1"/>
  <c r="F827" i="3"/>
  <c r="G827" i="3" s="1"/>
  <c r="F828" i="3"/>
  <c r="G828" i="3" s="1"/>
  <c r="F829" i="3"/>
  <c r="G829" i="3" s="1"/>
  <c r="F830" i="3"/>
  <c r="G830" i="3" s="1"/>
  <c r="F831" i="3"/>
  <c r="G831" i="3" s="1"/>
  <c r="F832" i="3"/>
  <c r="G832" i="3" s="1"/>
  <c r="F833" i="3"/>
  <c r="G833" i="3" s="1"/>
  <c r="F834" i="3"/>
  <c r="G834" i="3" s="1"/>
  <c r="F835" i="3"/>
  <c r="G835" i="3" s="1"/>
  <c r="F836" i="3"/>
  <c r="G836" i="3" s="1"/>
  <c r="F837" i="3"/>
  <c r="G837" i="3" s="1"/>
  <c r="F838" i="3"/>
  <c r="G838" i="3" s="1"/>
  <c r="F839" i="3"/>
  <c r="G839" i="3" s="1"/>
  <c r="F840" i="3"/>
  <c r="G840" i="3" s="1"/>
  <c r="F841" i="3"/>
  <c r="G841" i="3" s="1"/>
  <c r="F842" i="3"/>
  <c r="G842" i="3" s="1"/>
  <c r="F843" i="3"/>
  <c r="G843" i="3" s="1"/>
  <c r="F844" i="3"/>
  <c r="G844" i="3" s="1"/>
  <c r="F845" i="3"/>
  <c r="G845" i="3" s="1"/>
  <c r="F846" i="3"/>
  <c r="G846" i="3" s="1"/>
  <c r="F847" i="3"/>
  <c r="G847" i="3" s="1"/>
  <c r="F848" i="3"/>
  <c r="G848" i="3" s="1"/>
  <c r="F849" i="3"/>
  <c r="G849" i="3" s="1"/>
  <c r="F850" i="3"/>
  <c r="G850" i="3" s="1"/>
  <c r="F851" i="3"/>
  <c r="G851" i="3" s="1"/>
  <c r="F852" i="3"/>
  <c r="G852" i="3" s="1"/>
  <c r="F853" i="3"/>
  <c r="G853" i="3" s="1"/>
  <c r="F854" i="3"/>
  <c r="G854" i="3" s="1"/>
  <c r="F855" i="3"/>
  <c r="G855" i="3" s="1"/>
  <c r="F856" i="3"/>
  <c r="G856" i="3" s="1"/>
  <c r="F857" i="3"/>
  <c r="G857" i="3" s="1"/>
  <c r="F858" i="3"/>
  <c r="G858" i="3" s="1"/>
  <c r="F859" i="3"/>
  <c r="G859" i="3" s="1"/>
  <c r="F860" i="3"/>
  <c r="G860" i="3" s="1"/>
  <c r="F861" i="3"/>
  <c r="G861" i="3" s="1"/>
  <c r="F862" i="3"/>
  <c r="G862" i="3" s="1"/>
  <c r="F863" i="3"/>
  <c r="G863" i="3" s="1"/>
  <c r="F864" i="3"/>
  <c r="G864" i="3" s="1"/>
  <c r="F865" i="3"/>
  <c r="G865" i="3" s="1"/>
  <c r="F866" i="3"/>
  <c r="G866" i="3" s="1"/>
  <c r="F867" i="3"/>
  <c r="G867" i="3" s="1"/>
  <c r="F868" i="3"/>
  <c r="G868" i="3" s="1"/>
  <c r="F869" i="3"/>
  <c r="G869" i="3" s="1"/>
  <c r="F870" i="3"/>
  <c r="G870" i="3" s="1"/>
  <c r="F871" i="3"/>
  <c r="G871" i="3" s="1"/>
  <c r="F872" i="3"/>
  <c r="G872" i="3" s="1"/>
  <c r="F873" i="3"/>
  <c r="G873" i="3" s="1"/>
  <c r="F874" i="3"/>
  <c r="G874" i="3" s="1"/>
  <c r="F875" i="3"/>
  <c r="G875" i="3" s="1"/>
  <c r="F876" i="3"/>
  <c r="G876" i="3" s="1"/>
  <c r="F877" i="3"/>
  <c r="G877" i="3" s="1"/>
  <c r="F878" i="3"/>
  <c r="G878" i="3" s="1"/>
  <c r="F879" i="3"/>
  <c r="G879" i="3" s="1"/>
  <c r="F880" i="3"/>
  <c r="G880" i="3" s="1"/>
  <c r="F881" i="3"/>
  <c r="G881" i="3" s="1"/>
  <c r="F882" i="3"/>
  <c r="G882" i="3" s="1"/>
  <c r="F883" i="3"/>
  <c r="G883" i="3" s="1"/>
  <c r="F884" i="3"/>
  <c r="G884" i="3" s="1"/>
  <c r="F885" i="3"/>
  <c r="G885" i="3" s="1"/>
  <c r="F886" i="3"/>
  <c r="G886" i="3" s="1"/>
  <c r="F887" i="3"/>
  <c r="G887" i="3" s="1"/>
  <c r="F888" i="3"/>
  <c r="G888" i="3" s="1"/>
  <c r="F889" i="3"/>
  <c r="G889" i="3" s="1"/>
  <c r="F890" i="3"/>
  <c r="G890" i="3" s="1"/>
  <c r="F891" i="3"/>
  <c r="G891" i="3" s="1"/>
  <c r="F892" i="3"/>
  <c r="G892" i="3" s="1"/>
  <c r="F893" i="3"/>
  <c r="G893" i="3" s="1"/>
  <c r="F894" i="3"/>
  <c r="G894" i="3" s="1"/>
  <c r="F895" i="3"/>
  <c r="G895" i="3" s="1"/>
  <c r="F896" i="3"/>
  <c r="G896" i="3" s="1"/>
  <c r="F897" i="3"/>
  <c r="G897" i="3" s="1"/>
  <c r="F898" i="3"/>
  <c r="G898" i="3" s="1"/>
  <c r="F899" i="3"/>
  <c r="G899" i="3" s="1"/>
  <c r="F900" i="3"/>
  <c r="G900" i="3" s="1"/>
  <c r="F901" i="3"/>
  <c r="G901" i="3" s="1"/>
  <c r="F902" i="3"/>
  <c r="G902" i="3" s="1"/>
  <c r="F903" i="3"/>
  <c r="G903" i="3" s="1"/>
  <c r="F904" i="3"/>
  <c r="G904" i="3" s="1"/>
  <c r="F905" i="3"/>
  <c r="G905" i="3" s="1"/>
  <c r="F906" i="3"/>
  <c r="G906" i="3" s="1"/>
  <c r="F907" i="3"/>
  <c r="G907" i="3" s="1"/>
  <c r="F908" i="3"/>
  <c r="G908" i="3" s="1"/>
  <c r="F909" i="3"/>
  <c r="G909" i="3" s="1"/>
  <c r="F910" i="3"/>
  <c r="G910" i="3" s="1"/>
  <c r="F911" i="3"/>
  <c r="G911" i="3" s="1"/>
  <c r="F912" i="3"/>
  <c r="G912" i="3" s="1"/>
  <c r="F913" i="3"/>
  <c r="G913" i="3" s="1"/>
  <c r="F914" i="3"/>
  <c r="G914" i="3" s="1"/>
  <c r="F915" i="3"/>
  <c r="G915" i="3" s="1"/>
  <c r="F916" i="3"/>
  <c r="G916" i="3" s="1"/>
  <c r="F917" i="3"/>
  <c r="G917" i="3" s="1"/>
  <c r="F918" i="3"/>
  <c r="G918" i="3" s="1"/>
  <c r="F919" i="3"/>
  <c r="G919" i="3" s="1"/>
  <c r="F920" i="3"/>
  <c r="G920" i="3" s="1"/>
  <c r="F921" i="3"/>
  <c r="G921" i="3" s="1"/>
  <c r="F922" i="3"/>
  <c r="G922" i="3" s="1"/>
  <c r="F923" i="3"/>
  <c r="G923" i="3" s="1"/>
  <c r="F924" i="3"/>
  <c r="G924" i="3" s="1"/>
  <c r="F925" i="3"/>
  <c r="G925" i="3" s="1"/>
  <c r="F926" i="3"/>
  <c r="G926" i="3" s="1"/>
  <c r="F927" i="3"/>
  <c r="G927" i="3" s="1"/>
  <c r="F928" i="3"/>
  <c r="G928" i="3" s="1"/>
  <c r="F929" i="3"/>
  <c r="G929" i="3" s="1"/>
  <c r="F930" i="3"/>
  <c r="G930" i="3" s="1"/>
  <c r="F931" i="3"/>
  <c r="G931" i="3" s="1"/>
  <c r="F932" i="3"/>
  <c r="G932" i="3" s="1"/>
  <c r="F933" i="3"/>
  <c r="G933" i="3" s="1"/>
  <c r="F934" i="3"/>
  <c r="G934" i="3" s="1"/>
  <c r="F935" i="3"/>
  <c r="G935" i="3" s="1"/>
  <c r="F936" i="3"/>
  <c r="G936" i="3" s="1"/>
  <c r="F937" i="3"/>
  <c r="G937" i="3" s="1"/>
  <c r="F938" i="3"/>
  <c r="G938" i="3" s="1"/>
  <c r="F939" i="3"/>
  <c r="G939" i="3" s="1"/>
  <c r="F940" i="3"/>
  <c r="G940" i="3" s="1"/>
  <c r="F941" i="3"/>
  <c r="G941" i="3" s="1"/>
  <c r="F942" i="3"/>
  <c r="G942" i="3" s="1"/>
  <c r="F943" i="3"/>
  <c r="G943" i="3" s="1"/>
  <c r="F944" i="3"/>
  <c r="G944" i="3" s="1"/>
  <c r="F945" i="3"/>
  <c r="G945" i="3" s="1"/>
  <c r="F946" i="3"/>
  <c r="G946" i="3" s="1"/>
  <c r="F947" i="3"/>
  <c r="G947" i="3" s="1"/>
  <c r="F948" i="3"/>
  <c r="G948" i="3" s="1"/>
  <c r="F949" i="3"/>
  <c r="G949" i="3" s="1"/>
  <c r="F950" i="3"/>
  <c r="G950" i="3" s="1"/>
  <c r="F951" i="3"/>
  <c r="G951" i="3" s="1"/>
  <c r="F952" i="3"/>
  <c r="G952" i="3" s="1"/>
  <c r="F953" i="3"/>
  <c r="G953" i="3" s="1"/>
  <c r="F954" i="3"/>
  <c r="G954" i="3" s="1"/>
  <c r="F955" i="3"/>
  <c r="G955" i="3" s="1"/>
  <c r="F956" i="3"/>
  <c r="G956" i="3" s="1"/>
  <c r="F957" i="3"/>
  <c r="G957" i="3" s="1"/>
  <c r="F958" i="3"/>
  <c r="G958" i="3" s="1"/>
  <c r="F959" i="3"/>
  <c r="G959" i="3" s="1"/>
  <c r="F960" i="3"/>
  <c r="G960" i="3" s="1"/>
  <c r="F961" i="3"/>
  <c r="G961" i="3" s="1"/>
  <c r="F962" i="3"/>
  <c r="G962" i="3" s="1"/>
  <c r="F963" i="3"/>
  <c r="G963" i="3" s="1"/>
  <c r="F964" i="3"/>
  <c r="G964" i="3"/>
  <c r="F965" i="3"/>
  <c r="G965" i="3" s="1"/>
  <c r="F966" i="3"/>
  <c r="G966" i="3" s="1"/>
  <c r="F967" i="3"/>
  <c r="G967" i="3" s="1"/>
  <c r="F968" i="3"/>
  <c r="G968" i="3" s="1"/>
  <c r="F969" i="3"/>
  <c r="G969" i="3" s="1"/>
  <c r="F970" i="3"/>
  <c r="G970" i="3" s="1"/>
  <c r="F971" i="3"/>
  <c r="G971" i="3" s="1"/>
  <c r="F972" i="3"/>
  <c r="G972" i="3" s="1"/>
  <c r="F973" i="3"/>
  <c r="G973" i="3" s="1"/>
  <c r="F974" i="3"/>
  <c r="G974" i="3" s="1"/>
  <c r="F975" i="3"/>
  <c r="G975" i="3" s="1"/>
  <c r="F976" i="3"/>
  <c r="G976" i="3" s="1"/>
  <c r="F977" i="3"/>
  <c r="G977" i="3" s="1"/>
  <c r="F978" i="3"/>
  <c r="G978" i="3" s="1"/>
  <c r="F979" i="3"/>
  <c r="G979" i="3" s="1"/>
  <c r="F980" i="3"/>
  <c r="G980" i="3" s="1"/>
  <c r="F981" i="3"/>
  <c r="G981" i="3" s="1"/>
  <c r="F982" i="3"/>
  <c r="G982" i="3" s="1"/>
  <c r="F983" i="3"/>
  <c r="G983" i="3" s="1"/>
  <c r="F984" i="3"/>
  <c r="G984" i="3" s="1"/>
  <c r="F985" i="3"/>
  <c r="G985" i="3" s="1"/>
  <c r="F986" i="3"/>
  <c r="G986" i="3" s="1"/>
  <c r="F987" i="3"/>
  <c r="G987" i="3" s="1"/>
  <c r="F988" i="3"/>
  <c r="G988" i="3" s="1"/>
  <c r="F989" i="3"/>
  <c r="G989" i="3" s="1"/>
  <c r="F990" i="3"/>
  <c r="G990" i="3" s="1"/>
  <c r="F991" i="3"/>
  <c r="G991" i="3" s="1"/>
  <c r="F992" i="3"/>
  <c r="G992" i="3" s="1"/>
  <c r="F993" i="3"/>
  <c r="G993" i="3" s="1"/>
  <c r="F994" i="3"/>
  <c r="G994" i="3" s="1"/>
  <c r="F995" i="3"/>
  <c r="G995" i="3" s="1"/>
  <c r="F996" i="3"/>
  <c r="G996" i="3" s="1"/>
  <c r="F997" i="3"/>
  <c r="G997" i="3" s="1"/>
  <c r="F998" i="3"/>
  <c r="G998" i="3" s="1"/>
  <c r="F999" i="3"/>
  <c r="G999" i="3" s="1"/>
  <c r="F1000" i="3"/>
  <c r="G1000" i="3" s="1"/>
  <c r="F1001" i="3"/>
  <c r="G1001" i="3" s="1"/>
  <c r="F1002" i="3"/>
  <c r="G1002" i="3" s="1"/>
  <c r="F1003" i="3"/>
  <c r="G1003" i="3" s="1"/>
  <c r="F1004" i="3"/>
  <c r="G1004" i="3" s="1"/>
  <c r="F1005" i="3"/>
  <c r="G1005" i="3" s="1"/>
  <c r="F1006" i="3"/>
  <c r="G1006" i="3" s="1"/>
  <c r="F1007" i="3"/>
  <c r="G1007" i="3" s="1"/>
  <c r="F1008" i="3"/>
  <c r="G1008" i="3" s="1"/>
  <c r="F1009" i="3"/>
  <c r="G1009" i="3" s="1"/>
  <c r="F1010" i="3"/>
  <c r="G1010" i="3" s="1"/>
  <c r="F1011" i="3"/>
  <c r="G1011" i="3" s="1"/>
  <c r="F1012" i="3"/>
  <c r="G1012" i="3" s="1"/>
  <c r="F1013" i="3"/>
  <c r="G1013" i="3" s="1"/>
  <c r="F1014" i="3"/>
  <c r="G1014" i="3" s="1"/>
  <c r="F1015" i="3"/>
  <c r="G1015" i="3" s="1"/>
  <c r="F1016" i="3"/>
  <c r="G1016" i="3" s="1"/>
  <c r="F1017" i="3"/>
  <c r="G1017" i="3" s="1"/>
  <c r="F1018" i="3"/>
  <c r="G1018" i="3" s="1"/>
  <c r="F1019" i="3"/>
  <c r="G1019" i="3" s="1"/>
  <c r="F1020" i="3"/>
  <c r="G1020" i="3" s="1"/>
  <c r="F1021" i="3"/>
  <c r="G1021" i="3" s="1"/>
  <c r="F1022" i="3"/>
  <c r="G1022" i="3" s="1"/>
  <c r="F1023" i="3"/>
  <c r="G1023" i="3" s="1"/>
  <c r="F1024" i="3"/>
  <c r="G1024" i="3" s="1"/>
  <c r="F1025" i="3"/>
  <c r="G1025" i="3" s="1"/>
  <c r="F1026" i="3"/>
  <c r="G1026" i="3" s="1"/>
  <c r="F1027" i="3"/>
  <c r="G1027" i="3" s="1"/>
  <c r="F1028" i="3"/>
  <c r="G1028" i="3" s="1"/>
  <c r="F1029" i="3"/>
  <c r="G1029" i="3" s="1"/>
  <c r="F1030" i="3"/>
  <c r="G1030" i="3" s="1"/>
  <c r="F1031" i="3"/>
  <c r="G1031" i="3" s="1"/>
  <c r="F1032" i="3"/>
  <c r="G1032" i="3" s="1"/>
  <c r="F1033" i="3"/>
  <c r="G1033" i="3" s="1"/>
  <c r="F1034" i="3"/>
  <c r="G1034" i="3" s="1"/>
  <c r="F1035" i="3"/>
  <c r="G1035" i="3" s="1"/>
  <c r="F1036" i="3"/>
  <c r="G1036" i="3" s="1"/>
  <c r="F1037" i="3"/>
  <c r="G1037" i="3" s="1"/>
  <c r="F1038" i="3"/>
  <c r="G1038" i="3" s="1"/>
  <c r="F1039" i="3"/>
  <c r="G1039" i="3" s="1"/>
  <c r="F1040" i="3"/>
  <c r="G1040" i="3" s="1"/>
  <c r="F1041" i="3"/>
  <c r="G1041" i="3" s="1"/>
  <c r="F1042" i="3"/>
  <c r="G1042" i="3" s="1"/>
  <c r="F1043" i="3"/>
  <c r="G1043" i="3" s="1"/>
  <c r="F1044" i="3"/>
  <c r="G1044" i="3" s="1"/>
  <c r="F1045" i="3"/>
  <c r="G1045" i="3" s="1"/>
  <c r="F1046" i="3"/>
  <c r="G1046" i="3" s="1"/>
  <c r="F1047" i="3"/>
  <c r="G1047" i="3" s="1"/>
  <c r="F1048" i="3"/>
  <c r="G1048" i="3" s="1"/>
  <c r="F1049" i="3"/>
  <c r="G1049" i="3" s="1"/>
  <c r="F1050" i="3"/>
  <c r="G1050" i="3" s="1"/>
  <c r="F1051" i="3"/>
  <c r="G1051" i="3" s="1"/>
  <c r="F1052" i="3"/>
  <c r="G1052" i="3"/>
  <c r="F1053" i="3"/>
  <c r="G1053" i="3" s="1"/>
  <c r="F1054" i="3"/>
  <c r="G1054" i="3" s="1"/>
  <c r="F1055" i="3"/>
  <c r="G1055" i="3" s="1"/>
  <c r="F1056" i="3"/>
  <c r="G1056" i="3" s="1"/>
  <c r="F1057" i="3"/>
  <c r="G1057" i="3" s="1"/>
  <c r="F1058" i="3"/>
  <c r="G1058" i="3" s="1"/>
  <c r="F1059" i="3"/>
  <c r="G1059" i="3" s="1"/>
  <c r="F1060" i="3"/>
  <c r="G1060" i="3" s="1"/>
  <c r="F1061" i="3"/>
  <c r="G1061" i="3" s="1"/>
  <c r="F1062" i="3"/>
  <c r="G1062" i="3" s="1"/>
  <c r="F1063" i="3"/>
  <c r="G1063" i="3" s="1"/>
  <c r="F1064" i="3"/>
  <c r="G1064" i="3" s="1"/>
  <c r="F1065" i="3"/>
  <c r="G1065" i="3" s="1"/>
  <c r="F1066" i="3"/>
  <c r="G1066" i="3" s="1"/>
  <c r="F1067" i="3"/>
  <c r="G1067" i="3" s="1"/>
  <c r="F1068" i="3"/>
  <c r="G1068" i="3" s="1"/>
  <c r="F1069" i="3"/>
  <c r="G1069" i="3" s="1"/>
  <c r="F1070" i="3"/>
  <c r="G1070" i="3" s="1"/>
  <c r="F1071" i="3"/>
  <c r="G1071" i="3" s="1"/>
  <c r="F1072" i="3"/>
  <c r="G1072" i="3" s="1"/>
  <c r="F1073" i="3"/>
  <c r="G1073" i="3" s="1"/>
  <c r="F1074" i="3"/>
  <c r="G1074" i="3" s="1"/>
  <c r="F1075" i="3"/>
  <c r="G1075" i="3" s="1"/>
  <c r="F1076" i="3"/>
  <c r="G1076" i="3" s="1"/>
  <c r="F1077" i="3"/>
  <c r="G1077" i="3" s="1"/>
  <c r="F1078" i="3"/>
  <c r="G1078" i="3" s="1"/>
  <c r="F1079" i="3"/>
  <c r="G1079" i="3" s="1"/>
  <c r="F1080" i="3"/>
  <c r="G1080" i="3" s="1"/>
  <c r="F1081" i="3"/>
  <c r="G1081" i="3" s="1"/>
  <c r="F1082" i="3"/>
  <c r="G1082" i="3" s="1"/>
  <c r="F1083" i="3"/>
  <c r="G1083" i="3" s="1"/>
  <c r="F1084" i="3"/>
  <c r="G1084" i="3" s="1"/>
  <c r="F1085" i="3"/>
  <c r="G1085" i="3" s="1"/>
  <c r="F1086" i="3"/>
  <c r="G1086" i="3" s="1"/>
  <c r="F1087" i="3"/>
  <c r="G1087" i="3" s="1"/>
  <c r="F1088" i="3"/>
  <c r="G1088" i="3" s="1"/>
  <c r="F1089" i="3"/>
  <c r="G1089" i="3" s="1"/>
  <c r="F1090" i="3"/>
  <c r="G1090" i="3" s="1"/>
  <c r="F1091" i="3"/>
  <c r="G1091" i="3" s="1"/>
  <c r="F1092" i="3"/>
  <c r="G1092" i="3" s="1"/>
  <c r="F1093" i="3"/>
  <c r="G1093" i="3" s="1"/>
  <c r="F1094" i="3"/>
  <c r="G1094" i="3" s="1"/>
  <c r="F1095" i="3"/>
  <c r="G1095" i="3" s="1"/>
  <c r="F1096" i="3"/>
  <c r="G1096" i="3" s="1"/>
  <c r="F1097" i="3"/>
  <c r="G1097" i="3" s="1"/>
  <c r="F1098" i="3"/>
  <c r="G1098" i="3" s="1"/>
  <c r="F1099" i="3"/>
  <c r="G1099" i="3" s="1"/>
  <c r="F1100" i="3"/>
  <c r="G1100" i="3" s="1"/>
  <c r="F1101" i="3"/>
  <c r="G1101" i="3" s="1"/>
  <c r="F1102" i="3"/>
  <c r="G1102" i="3" s="1"/>
  <c r="F1103" i="3"/>
  <c r="G1103" i="3" s="1"/>
  <c r="F1104" i="3"/>
  <c r="G1104" i="3" s="1"/>
  <c r="F1105" i="3"/>
  <c r="G1105" i="3" s="1"/>
  <c r="F1106" i="3"/>
  <c r="G1106" i="3" s="1"/>
  <c r="F1107" i="3"/>
  <c r="G1107" i="3" s="1"/>
  <c r="F1108" i="3"/>
  <c r="G1108" i="3" s="1"/>
  <c r="F1109" i="3"/>
  <c r="G1109" i="3" s="1"/>
  <c r="F1110" i="3"/>
  <c r="G1110" i="3" s="1"/>
  <c r="F1111" i="3"/>
  <c r="G1111" i="3" s="1"/>
  <c r="F1112" i="3"/>
  <c r="G1112" i="3" s="1"/>
  <c r="F1113" i="3"/>
  <c r="G1113" i="3" s="1"/>
  <c r="F1114" i="3"/>
  <c r="G1114" i="3" s="1"/>
  <c r="F1115" i="3"/>
  <c r="G1115" i="3" s="1"/>
  <c r="F1116" i="3"/>
  <c r="G1116" i="3" s="1"/>
  <c r="F1117" i="3"/>
  <c r="G1117" i="3" s="1"/>
  <c r="F1118" i="3"/>
  <c r="G1118" i="3" s="1"/>
  <c r="F1119" i="3"/>
  <c r="G1119" i="3" s="1"/>
  <c r="F1120" i="3"/>
  <c r="G1120" i="3" s="1"/>
  <c r="F1121" i="3"/>
  <c r="G1121" i="3" s="1"/>
  <c r="F1122" i="3"/>
  <c r="G1122" i="3" s="1"/>
  <c r="F1123" i="3"/>
  <c r="G1123" i="3" s="1"/>
  <c r="F1124" i="3"/>
  <c r="G1124" i="3" s="1"/>
  <c r="F1125" i="3"/>
  <c r="G1125" i="3" s="1"/>
  <c r="F1126" i="3"/>
  <c r="G1126" i="3" s="1"/>
  <c r="F1127" i="3"/>
  <c r="G1127" i="3" s="1"/>
  <c r="F1128" i="3"/>
  <c r="G1128" i="3" s="1"/>
  <c r="F1129" i="3"/>
  <c r="G1129" i="3" s="1"/>
  <c r="F1130" i="3"/>
  <c r="G1130" i="3" s="1"/>
  <c r="F1131" i="3"/>
  <c r="G1131" i="3" s="1"/>
  <c r="F1132" i="3"/>
  <c r="G1132" i="3" s="1"/>
  <c r="F1133" i="3"/>
  <c r="G1133" i="3" s="1"/>
  <c r="F1134" i="3"/>
  <c r="G1134" i="3" s="1"/>
  <c r="F1135" i="3"/>
  <c r="G1135" i="3" s="1"/>
  <c r="F1136" i="3"/>
  <c r="G1136" i="3" s="1"/>
  <c r="F1137" i="3"/>
  <c r="G1137" i="3" s="1"/>
  <c r="F1138" i="3"/>
  <c r="G1138" i="3" s="1"/>
  <c r="F1139" i="3"/>
  <c r="G1139" i="3" s="1"/>
  <c r="F1140" i="3"/>
  <c r="G1140" i="3" s="1"/>
  <c r="F1141" i="3"/>
  <c r="G1141" i="3" s="1"/>
  <c r="F1142" i="3"/>
  <c r="G1142" i="3" s="1"/>
  <c r="F1143" i="3"/>
  <c r="G1143" i="3" s="1"/>
  <c r="F1144" i="3"/>
  <c r="G1144" i="3" s="1"/>
  <c r="F1145" i="3"/>
  <c r="G1145" i="3" s="1"/>
  <c r="F1146" i="3"/>
  <c r="G1146" i="3" s="1"/>
  <c r="F1147" i="3"/>
  <c r="G1147" i="3" s="1"/>
  <c r="F1148" i="3"/>
  <c r="G1148" i="3" s="1"/>
  <c r="F1149" i="3"/>
  <c r="G1149" i="3" s="1"/>
  <c r="F1150" i="3"/>
  <c r="G1150" i="3" s="1"/>
  <c r="F1151" i="3"/>
  <c r="G1151" i="3" s="1"/>
  <c r="F1152" i="3"/>
  <c r="G1152" i="3" s="1"/>
  <c r="F1153" i="3"/>
  <c r="G1153" i="3" s="1"/>
  <c r="F1154" i="3"/>
  <c r="G1154" i="3" s="1"/>
  <c r="F1155" i="3"/>
  <c r="G1155" i="3" s="1"/>
  <c r="F1156" i="3"/>
  <c r="G1156" i="3" s="1"/>
  <c r="F1157" i="3"/>
  <c r="G1157" i="3" s="1"/>
  <c r="F1158" i="3"/>
  <c r="G1158" i="3" s="1"/>
  <c r="F1159" i="3"/>
  <c r="G1159" i="3" s="1"/>
  <c r="F1160" i="3"/>
  <c r="G1160" i="3" s="1"/>
  <c r="F1161" i="3"/>
  <c r="G1161" i="3" s="1"/>
  <c r="F1162" i="3"/>
  <c r="G1162" i="3" s="1"/>
  <c r="F1163" i="3"/>
  <c r="G1163" i="3" s="1"/>
  <c r="F1164" i="3"/>
  <c r="G1164" i="3"/>
  <c r="F1165" i="3"/>
  <c r="G1165" i="3" s="1"/>
  <c r="F1166" i="3"/>
  <c r="G1166" i="3" s="1"/>
  <c r="F1167" i="3"/>
  <c r="G1167" i="3" s="1"/>
  <c r="F1168" i="3"/>
  <c r="G1168" i="3" s="1"/>
  <c r="F1169" i="3"/>
  <c r="G1169" i="3" s="1"/>
  <c r="F1170" i="3"/>
  <c r="G1170" i="3" s="1"/>
  <c r="F1171" i="3"/>
  <c r="G1171" i="3" s="1"/>
  <c r="F1172" i="3"/>
  <c r="G1172" i="3" s="1"/>
  <c r="F1173" i="3"/>
  <c r="G1173" i="3" s="1"/>
  <c r="F1174" i="3"/>
  <c r="G1174" i="3" s="1"/>
  <c r="F1175" i="3"/>
  <c r="G1175" i="3" s="1"/>
  <c r="F1176" i="3"/>
  <c r="G1176" i="3" s="1"/>
  <c r="F1177" i="3"/>
  <c r="G1177" i="3" s="1"/>
  <c r="F1178" i="3"/>
  <c r="G1178" i="3" s="1"/>
  <c r="F1179" i="3"/>
  <c r="G1179" i="3" s="1"/>
  <c r="F1180" i="3"/>
  <c r="G1180" i="3" s="1"/>
  <c r="F1181" i="3"/>
  <c r="G1181" i="3" s="1"/>
  <c r="F1182" i="3"/>
  <c r="G1182" i="3" s="1"/>
  <c r="F1183" i="3"/>
  <c r="G1183" i="3" s="1"/>
  <c r="F1184" i="3"/>
  <c r="G1184" i="3" s="1"/>
  <c r="F1185" i="3"/>
  <c r="G1185" i="3" s="1"/>
  <c r="F1186" i="3"/>
  <c r="G1186" i="3" s="1"/>
  <c r="F1187" i="3"/>
  <c r="G1187" i="3" s="1"/>
  <c r="F1188" i="3"/>
  <c r="G1188" i="3" s="1"/>
  <c r="F1189" i="3"/>
  <c r="G1189" i="3" s="1"/>
  <c r="F1190" i="3"/>
  <c r="G1190" i="3"/>
  <c r="F1191" i="3"/>
  <c r="G1191" i="3" s="1"/>
  <c r="F1192" i="3"/>
  <c r="G1192" i="3" s="1"/>
  <c r="F1193" i="3"/>
  <c r="G1193" i="3" s="1"/>
  <c r="F1194" i="3"/>
  <c r="G1194" i="3" s="1"/>
  <c r="F1195" i="3"/>
  <c r="G1195" i="3" s="1"/>
  <c r="F1196" i="3"/>
  <c r="G1196" i="3" s="1"/>
  <c r="F1197" i="3"/>
  <c r="G1197" i="3" s="1"/>
  <c r="F1198" i="3"/>
  <c r="G1198" i="3" s="1"/>
  <c r="F1199" i="3"/>
  <c r="G1199" i="3" s="1"/>
  <c r="F1200" i="3"/>
  <c r="G1200" i="3" s="1"/>
  <c r="F1201" i="3"/>
  <c r="G1201" i="3" s="1"/>
  <c r="F1202" i="3"/>
  <c r="G1202" i="3" s="1"/>
  <c r="F1203" i="3"/>
  <c r="G1203" i="3" s="1"/>
  <c r="F1204" i="3"/>
  <c r="G1204" i="3" s="1"/>
  <c r="F1205" i="3"/>
  <c r="G1205" i="3" s="1"/>
  <c r="F1206" i="3"/>
  <c r="G1206" i="3" s="1"/>
  <c r="F1207" i="3"/>
  <c r="G1207" i="3" s="1"/>
  <c r="F1208" i="3"/>
  <c r="G1208" i="3" s="1"/>
  <c r="F1209" i="3"/>
  <c r="G1209" i="3" s="1"/>
  <c r="F1210" i="3"/>
  <c r="G1210" i="3" s="1"/>
  <c r="F1211" i="3"/>
  <c r="G1211" i="3" s="1"/>
  <c r="F1212" i="3"/>
  <c r="G1212" i="3" s="1"/>
  <c r="F1213" i="3"/>
  <c r="G1213" i="3" s="1"/>
  <c r="F1214" i="3"/>
  <c r="G1214" i="3" s="1"/>
  <c r="F1215" i="3"/>
  <c r="G1215" i="3" s="1"/>
  <c r="F1216" i="3"/>
  <c r="G1216" i="3" s="1"/>
  <c r="F1217" i="3"/>
  <c r="G1217" i="3" s="1"/>
  <c r="F1218" i="3"/>
  <c r="G1218" i="3"/>
  <c r="F1219" i="3"/>
  <c r="G1219" i="3" s="1"/>
  <c r="F1220" i="3"/>
  <c r="G1220" i="3" s="1"/>
  <c r="F1221" i="3"/>
  <c r="G1221" i="3" s="1"/>
  <c r="F1222" i="3"/>
  <c r="G1222" i="3"/>
  <c r="F1223" i="3"/>
  <c r="G1223" i="3" s="1"/>
  <c r="F1224" i="3"/>
  <c r="G1224" i="3" s="1"/>
  <c r="F1225" i="3"/>
  <c r="G1225" i="3" s="1"/>
  <c r="F1226" i="3"/>
  <c r="G1226" i="3"/>
  <c r="F1227" i="3"/>
  <c r="G1227" i="3" s="1"/>
  <c r="F1228" i="3"/>
  <c r="G1228" i="3" s="1"/>
  <c r="F1229" i="3"/>
  <c r="G1229" i="3" s="1"/>
  <c r="F1230" i="3"/>
  <c r="G1230" i="3"/>
  <c r="F1231" i="3"/>
  <c r="G1231" i="3" s="1"/>
  <c r="F1232" i="3"/>
  <c r="G1232" i="3" s="1"/>
  <c r="F1233" i="3"/>
  <c r="G1233" i="3" s="1"/>
  <c r="F1234" i="3"/>
  <c r="G1234" i="3"/>
  <c r="F1235" i="3"/>
  <c r="G1235" i="3" s="1"/>
  <c r="F1236" i="3"/>
  <c r="G1236" i="3" s="1"/>
  <c r="F1237" i="3"/>
  <c r="G1237" i="3" s="1"/>
  <c r="F1238" i="3"/>
  <c r="G1238" i="3"/>
  <c r="F1239" i="3"/>
  <c r="G1239" i="3" s="1"/>
  <c r="F1240" i="3"/>
  <c r="G1240" i="3" s="1"/>
  <c r="F1241" i="3"/>
  <c r="G1241" i="3" s="1"/>
  <c r="F1242" i="3"/>
  <c r="G1242" i="3"/>
  <c r="F1243" i="3"/>
  <c r="G1243" i="3" s="1"/>
  <c r="F1244" i="3"/>
  <c r="G1244" i="3" s="1"/>
  <c r="F1245" i="3"/>
  <c r="G1245" i="3" s="1"/>
  <c r="F1246" i="3"/>
  <c r="G1246" i="3"/>
  <c r="F1247" i="3"/>
  <c r="G1247" i="3" s="1"/>
  <c r="F1248" i="3"/>
  <c r="G1248" i="3" s="1"/>
  <c r="F1249" i="3"/>
  <c r="G1249" i="3" s="1"/>
  <c r="F1250" i="3"/>
  <c r="G1250" i="3"/>
  <c r="F1251" i="3"/>
  <c r="G1251" i="3" s="1"/>
  <c r="F1252" i="3"/>
  <c r="G1252" i="3" s="1"/>
  <c r="F1253" i="3"/>
  <c r="G1253" i="3" s="1"/>
  <c r="F1254" i="3"/>
  <c r="G1254" i="3"/>
  <c r="F1255" i="3"/>
  <c r="G1255" i="3" s="1"/>
  <c r="F1256" i="3"/>
  <c r="G1256" i="3" s="1"/>
  <c r="F1257" i="3"/>
  <c r="G1257" i="3" s="1"/>
  <c r="F1258" i="3"/>
  <c r="G1258" i="3"/>
  <c r="F1259" i="3"/>
  <c r="G1259" i="3" s="1"/>
  <c r="F1260" i="3"/>
  <c r="G1260" i="3" s="1"/>
  <c r="F1261" i="3"/>
  <c r="G1261" i="3" s="1"/>
  <c r="F1262" i="3"/>
  <c r="G1262" i="3"/>
  <c r="F1263" i="3"/>
  <c r="G1263" i="3" s="1"/>
  <c r="F1264" i="3"/>
  <c r="G1264" i="3" s="1"/>
  <c r="F1265" i="3"/>
  <c r="G1265" i="3" s="1"/>
  <c r="F1266" i="3"/>
  <c r="G1266" i="3"/>
  <c r="F1267" i="3"/>
  <c r="G1267" i="3" s="1"/>
  <c r="F1268" i="3"/>
  <c r="G1268" i="3" s="1"/>
  <c r="F1269" i="3"/>
  <c r="G1269" i="3" s="1"/>
  <c r="F1270" i="3"/>
  <c r="G1270" i="3"/>
  <c r="F1271" i="3"/>
  <c r="G1271" i="3" s="1"/>
  <c r="F1272" i="3"/>
  <c r="G1272" i="3" s="1"/>
  <c r="F1273" i="3"/>
  <c r="G1273" i="3" s="1"/>
  <c r="F1274" i="3"/>
  <c r="G1274" i="3"/>
  <c r="F1275" i="3"/>
  <c r="G1275" i="3" s="1"/>
  <c r="F1276" i="3"/>
  <c r="G1276" i="3" s="1"/>
  <c r="F1277" i="3"/>
  <c r="G1277" i="3" s="1"/>
  <c r="F1278" i="3"/>
  <c r="G1278" i="3"/>
  <c r="F1279" i="3"/>
  <c r="G1279" i="3" s="1"/>
  <c r="F1280" i="3"/>
  <c r="G1280" i="3" s="1"/>
  <c r="F1281" i="3"/>
  <c r="G1281" i="3" s="1"/>
  <c r="F1282" i="3"/>
  <c r="G1282" i="3"/>
  <c r="F1283" i="3"/>
  <c r="G1283" i="3" s="1"/>
  <c r="F1284" i="3"/>
  <c r="G1284" i="3" s="1"/>
  <c r="F1285" i="3"/>
  <c r="G1285" i="3" s="1"/>
  <c r="F1286" i="3"/>
  <c r="G1286" i="3"/>
  <c r="F1287" i="3"/>
  <c r="G1287" i="3" s="1"/>
  <c r="F1288" i="3"/>
  <c r="G1288" i="3" s="1"/>
  <c r="F1289" i="3"/>
  <c r="G1289" i="3" s="1"/>
  <c r="F1290" i="3"/>
  <c r="G1290" i="3"/>
  <c r="F1291" i="3"/>
  <c r="G1291" i="3" s="1"/>
  <c r="F1292" i="3"/>
  <c r="G1292" i="3" s="1"/>
  <c r="F1293" i="3"/>
  <c r="G1293" i="3" s="1"/>
  <c r="F1294" i="3"/>
  <c r="G1294" i="3"/>
  <c r="F1295" i="3"/>
  <c r="G1295" i="3" s="1"/>
  <c r="F1296" i="3"/>
  <c r="G1296" i="3" s="1"/>
  <c r="F1297" i="3"/>
  <c r="G1297" i="3" s="1"/>
  <c r="F1298" i="3"/>
  <c r="G1298" i="3"/>
  <c r="F1299" i="3"/>
  <c r="G1299" i="3" s="1"/>
  <c r="F1300" i="3"/>
  <c r="G1300" i="3" s="1"/>
  <c r="F1301" i="3"/>
  <c r="G1301" i="3" s="1"/>
  <c r="F1302" i="3"/>
  <c r="G1302" i="3"/>
  <c r="F1303" i="3"/>
  <c r="G1303" i="3" s="1"/>
  <c r="F1304" i="3"/>
  <c r="G1304" i="3" s="1"/>
  <c r="F1305" i="3"/>
  <c r="G1305" i="3" s="1"/>
  <c r="F1306" i="3"/>
  <c r="G1306" i="3"/>
  <c r="F1307" i="3"/>
  <c r="G1307" i="3" s="1"/>
  <c r="F1308" i="3"/>
  <c r="G1308" i="3" s="1"/>
  <c r="F1309" i="3"/>
  <c r="G1309" i="3" s="1"/>
  <c r="F1310" i="3"/>
  <c r="G1310" i="3"/>
  <c r="F1311" i="3"/>
  <c r="G1311" i="3" s="1"/>
  <c r="F1312" i="3"/>
  <c r="G1312" i="3" s="1"/>
  <c r="F1313" i="3"/>
  <c r="G1313" i="3" s="1"/>
  <c r="F1314" i="3"/>
  <c r="G1314" i="3"/>
  <c r="F1315" i="3"/>
  <c r="G1315" i="3" s="1"/>
  <c r="F1316" i="3"/>
  <c r="G1316" i="3" s="1"/>
  <c r="F1317" i="3"/>
  <c r="G1317" i="3" s="1"/>
  <c r="F1318" i="3"/>
  <c r="G1318" i="3"/>
  <c r="F1319" i="3"/>
  <c r="G1319" i="3" s="1"/>
  <c r="F1320" i="3"/>
  <c r="G1320" i="3" s="1"/>
  <c r="F1321" i="3"/>
  <c r="G1321" i="3" s="1"/>
  <c r="F1322" i="3"/>
  <c r="G1322" i="3"/>
  <c r="F1323" i="3"/>
  <c r="G1323" i="3" s="1"/>
  <c r="F1324" i="3"/>
  <c r="G1324" i="3" s="1"/>
  <c r="F1325" i="3"/>
  <c r="G1325" i="3" s="1"/>
  <c r="F1326" i="3"/>
  <c r="G1326" i="3"/>
  <c r="F1327" i="3"/>
  <c r="G1327" i="3" s="1"/>
  <c r="F1328" i="3"/>
  <c r="G1328" i="3" s="1"/>
  <c r="F1329" i="3"/>
  <c r="G1329" i="3" s="1"/>
  <c r="F1330" i="3"/>
  <c r="G1330" i="3"/>
  <c r="F1331" i="3"/>
  <c r="G1331" i="3" s="1"/>
  <c r="F1332" i="3"/>
  <c r="G1332" i="3" s="1"/>
  <c r="F1333" i="3"/>
  <c r="G1333" i="3" s="1"/>
  <c r="F1334" i="3"/>
  <c r="G1334" i="3"/>
  <c r="F1335" i="3"/>
  <c r="G1335" i="3" s="1"/>
  <c r="F1336" i="3"/>
  <c r="G1336" i="3" s="1"/>
  <c r="F1337" i="3"/>
  <c r="G1337" i="3" s="1"/>
  <c r="F1338" i="3"/>
  <c r="G1338" i="3"/>
  <c r="F1339" i="3"/>
  <c r="G1339" i="3" s="1"/>
  <c r="F1340" i="3"/>
  <c r="G1340" i="3" s="1"/>
  <c r="F1341" i="3"/>
  <c r="G1341" i="3" s="1"/>
  <c r="F1342" i="3"/>
  <c r="G1342" i="3"/>
  <c r="F1343" i="3"/>
  <c r="G1343" i="3" s="1"/>
  <c r="F1344" i="3"/>
  <c r="G1344" i="3" s="1"/>
  <c r="F1345" i="3"/>
  <c r="G1345" i="3" s="1"/>
  <c r="F1346" i="3"/>
  <c r="G1346" i="3"/>
  <c r="F1347" i="3"/>
  <c r="G1347" i="3" s="1"/>
  <c r="F1348" i="3"/>
  <c r="G1348" i="3" s="1"/>
  <c r="F1349" i="3"/>
  <c r="G1349" i="3" s="1"/>
  <c r="F1350" i="3"/>
  <c r="G1350" i="3"/>
  <c r="F1351" i="3"/>
  <c r="G1351" i="3" s="1"/>
  <c r="F1352" i="3"/>
  <c r="G1352" i="3" s="1"/>
  <c r="F1353" i="3"/>
  <c r="G1353" i="3" s="1"/>
  <c r="F1354" i="3"/>
  <c r="G1354" i="3"/>
  <c r="F1355" i="3"/>
  <c r="G1355" i="3" s="1"/>
  <c r="F1356" i="3"/>
  <c r="G1356" i="3" s="1"/>
  <c r="F1357" i="3"/>
  <c r="G1357" i="3" s="1"/>
  <c r="F1358" i="3"/>
  <c r="G1358" i="3"/>
  <c r="F1359" i="3"/>
  <c r="G1359" i="3" s="1"/>
  <c r="F1360" i="3"/>
  <c r="G1360" i="3" s="1"/>
  <c r="F1361" i="3"/>
  <c r="G1361" i="3" s="1"/>
  <c r="F1362" i="3"/>
  <c r="G1362" i="3" s="1"/>
  <c r="F1363" i="3"/>
  <c r="G1363" i="3" s="1"/>
  <c r="F1364" i="3"/>
  <c r="G1364" i="3"/>
  <c r="F1365" i="3"/>
  <c r="G1365" i="3"/>
  <c r="F1366" i="3"/>
  <c r="G1366" i="3"/>
  <c r="F1367" i="3"/>
  <c r="G1367" i="3"/>
  <c r="F1368" i="3"/>
  <c r="G1368" i="3"/>
  <c r="F1369" i="3"/>
  <c r="G1369" i="3"/>
  <c r="F1370" i="3"/>
  <c r="G1370" i="3"/>
  <c r="F1371" i="3"/>
  <c r="G1371" i="3"/>
  <c r="F1372" i="3"/>
  <c r="G1372" i="3"/>
  <c r="F1373" i="3"/>
  <c r="G1373" i="3"/>
  <c r="F1374" i="3"/>
  <c r="G1374" i="3"/>
  <c r="F1375" i="3"/>
  <c r="G1375" i="3"/>
  <c r="F1376" i="3"/>
  <c r="G1376" i="3"/>
  <c r="F1377" i="3"/>
  <c r="G1377" i="3"/>
  <c r="F1378" i="3"/>
  <c r="G1378" i="3"/>
  <c r="F1379" i="3"/>
  <c r="G1379" i="3"/>
  <c r="F1380" i="3"/>
  <c r="G1380" i="3"/>
  <c r="F1381" i="3"/>
  <c r="G1381" i="3"/>
  <c r="F1382" i="3"/>
  <c r="G1382" i="3"/>
  <c r="F1383" i="3"/>
  <c r="G1383" i="3"/>
  <c r="F1384" i="3"/>
  <c r="G1384" i="3"/>
  <c r="F1385" i="3"/>
  <c r="G1385" i="3"/>
  <c r="F1386" i="3"/>
  <c r="G1386" i="3"/>
  <c r="F1387" i="3"/>
  <c r="G1387" i="3"/>
  <c r="F1388" i="3"/>
  <c r="G1388" i="3"/>
  <c r="F1389" i="3"/>
  <c r="G1389" i="3"/>
  <c r="F1390" i="3"/>
  <c r="G1390" i="3"/>
  <c r="F1391" i="3"/>
  <c r="G1391" i="3"/>
  <c r="F1392" i="3"/>
  <c r="G1392" i="3"/>
  <c r="F1393" i="3"/>
  <c r="G1393" i="3"/>
  <c r="F1394" i="3"/>
  <c r="G1394" i="3"/>
  <c r="F1395" i="3"/>
  <c r="G1395" i="3"/>
  <c r="F1396" i="3"/>
  <c r="G1396" i="3"/>
  <c r="F1397" i="3"/>
  <c r="G1397" i="3"/>
  <c r="F1398" i="3"/>
  <c r="G1398" i="3"/>
  <c r="F1399" i="3"/>
  <c r="G1399" i="3"/>
  <c r="F1400" i="3"/>
  <c r="G1400" i="3"/>
  <c r="F1401" i="3"/>
  <c r="G1401" i="3"/>
  <c r="F1402" i="3"/>
  <c r="G1402" i="3"/>
  <c r="F1403" i="3"/>
  <c r="G1403" i="3"/>
  <c r="F1404" i="3"/>
  <c r="G1404" i="3"/>
  <c r="F1405" i="3"/>
  <c r="G1405" i="3"/>
  <c r="F1406" i="3"/>
  <c r="G1406" i="3"/>
  <c r="F1407" i="3"/>
  <c r="G1407" i="3"/>
  <c r="F1408" i="3"/>
  <c r="G1408" i="3"/>
  <c r="F1409" i="3"/>
  <c r="G1409" i="3"/>
  <c r="F1410" i="3"/>
  <c r="G1410" i="3"/>
  <c r="F1411" i="3"/>
  <c r="G1411" i="3"/>
  <c r="F1412" i="3"/>
  <c r="G1412" i="3"/>
  <c r="F1413" i="3"/>
  <c r="G1413" i="3"/>
  <c r="F1414" i="3"/>
  <c r="G1414" i="3"/>
  <c r="F1415" i="3"/>
  <c r="G1415" i="3"/>
  <c r="F1416" i="3"/>
  <c r="G1416" i="3"/>
  <c r="F1417" i="3"/>
  <c r="G1417" i="3"/>
  <c r="F1418" i="3"/>
  <c r="G1418" i="3"/>
  <c r="F1419" i="3"/>
  <c r="G1419" i="3"/>
  <c r="F1420" i="3"/>
  <c r="G1420" i="3"/>
  <c r="F1421" i="3"/>
  <c r="G1421" i="3"/>
  <c r="F1422" i="3"/>
  <c r="G1422" i="3"/>
  <c r="F1423" i="3"/>
  <c r="G1423" i="3"/>
  <c r="F1424" i="3"/>
  <c r="G1424" i="3"/>
  <c r="F1425" i="3"/>
  <c r="G1425" i="3"/>
  <c r="F1426" i="3"/>
  <c r="G1426" i="3"/>
  <c r="F1427" i="3"/>
  <c r="G1427" i="3"/>
  <c r="F1428" i="3"/>
  <c r="G1428" i="3"/>
  <c r="F1429" i="3"/>
  <c r="G1429" i="3"/>
  <c r="F1430" i="3"/>
  <c r="G1430" i="3"/>
  <c r="F1431" i="3"/>
  <c r="G1431" i="3"/>
  <c r="F1432" i="3"/>
  <c r="G1432" i="3"/>
  <c r="F1433" i="3"/>
  <c r="G1433" i="3"/>
  <c r="F1434" i="3"/>
  <c r="G1434" i="3"/>
  <c r="F1435" i="3"/>
  <c r="G1435" i="3"/>
  <c r="F1436" i="3"/>
  <c r="G1436" i="3"/>
  <c r="F1437" i="3"/>
  <c r="G1437" i="3"/>
  <c r="F1438" i="3"/>
  <c r="G1438" i="3"/>
  <c r="F1439" i="3"/>
  <c r="G1439" i="3"/>
  <c r="F1440" i="3"/>
  <c r="G1440" i="3"/>
  <c r="F1441" i="3"/>
  <c r="G1441" i="3"/>
  <c r="F1442" i="3"/>
  <c r="G1442" i="3"/>
  <c r="F1443" i="3"/>
  <c r="G1443" i="3"/>
  <c r="F1444" i="3"/>
  <c r="G1444" i="3"/>
  <c r="F1445" i="3"/>
  <c r="G1445" i="3"/>
  <c r="F1446" i="3"/>
  <c r="G1446" i="3"/>
  <c r="F1447" i="3"/>
  <c r="G1447" i="3"/>
  <c r="F1448" i="3"/>
  <c r="G1448" i="3"/>
  <c r="F1449" i="3"/>
  <c r="G1449" i="3"/>
  <c r="F1450" i="3"/>
  <c r="G1450" i="3"/>
  <c r="F1451" i="3"/>
  <c r="G1451" i="3"/>
  <c r="F1452" i="3"/>
  <c r="G1452" i="3"/>
  <c r="F1453" i="3"/>
  <c r="G1453" i="3"/>
  <c r="F1454" i="3"/>
  <c r="G1454" i="3"/>
  <c r="F1455" i="3"/>
  <c r="G1455" i="3"/>
  <c r="F1456" i="3"/>
  <c r="G1456" i="3"/>
  <c r="F1457" i="3"/>
  <c r="G1457" i="3"/>
  <c r="F1458" i="3"/>
  <c r="G1458" i="3"/>
  <c r="F1459" i="3"/>
  <c r="G1459" i="3"/>
  <c r="F1460" i="3"/>
  <c r="G1460" i="3"/>
  <c r="F1461" i="3"/>
  <c r="G1461" i="3"/>
  <c r="F1462" i="3"/>
  <c r="G1462" i="3"/>
  <c r="F1463" i="3"/>
  <c r="G1463" i="3"/>
  <c r="F1464" i="3"/>
  <c r="G1464" i="3"/>
  <c r="F1465" i="3"/>
  <c r="G1465" i="3"/>
  <c r="F1466" i="3"/>
  <c r="G1466" i="3"/>
  <c r="F1467" i="3"/>
  <c r="G1467" i="3"/>
  <c r="F1468" i="3"/>
  <c r="G1468" i="3"/>
  <c r="F1469" i="3"/>
  <c r="G1469" i="3"/>
  <c r="F1470" i="3"/>
  <c r="G1470" i="3"/>
  <c r="F1471" i="3"/>
  <c r="G1471" i="3"/>
  <c r="F1472" i="3"/>
  <c r="G1472" i="3"/>
  <c r="F1473" i="3"/>
  <c r="G1473" i="3"/>
  <c r="F1474" i="3"/>
  <c r="G1474" i="3"/>
  <c r="F1475" i="3"/>
  <c r="G1475" i="3"/>
  <c r="F1476" i="3"/>
  <c r="G1476" i="3"/>
  <c r="F1477" i="3"/>
  <c r="G1477" i="3"/>
  <c r="F1478" i="3"/>
  <c r="G1478" i="3"/>
  <c r="F1479" i="3"/>
  <c r="G1479" i="3"/>
  <c r="F1480" i="3"/>
  <c r="G1480" i="3"/>
  <c r="F1481" i="3"/>
  <c r="G1481" i="3"/>
  <c r="F1482" i="3"/>
  <c r="G1482" i="3"/>
  <c r="F1483" i="3"/>
  <c r="G1483" i="3"/>
  <c r="F1484" i="3"/>
  <c r="G1484" i="3"/>
  <c r="F1485" i="3"/>
  <c r="G1485" i="3"/>
  <c r="F1486" i="3"/>
  <c r="G1486" i="3"/>
  <c r="F1487" i="3"/>
  <c r="G1487" i="3"/>
  <c r="F1488" i="3"/>
  <c r="G1488" i="3"/>
  <c r="F1489" i="3"/>
  <c r="G1489" i="3"/>
  <c r="F1490" i="3"/>
  <c r="G1490" i="3"/>
  <c r="F1491" i="3"/>
  <c r="G1491" i="3"/>
  <c r="F1492" i="3"/>
  <c r="G1492" i="3"/>
  <c r="F1493" i="3"/>
  <c r="G1493" i="3"/>
  <c r="F1494" i="3"/>
  <c r="G1494" i="3"/>
  <c r="F1495" i="3"/>
  <c r="G1495" i="3"/>
  <c r="F1496" i="3"/>
  <c r="G1496" i="3"/>
  <c r="F1497" i="3"/>
  <c r="G1497" i="3"/>
  <c r="F1498" i="3"/>
  <c r="G1498" i="3"/>
  <c r="F1499" i="3"/>
  <c r="G1499" i="3"/>
  <c r="F1500" i="3"/>
  <c r="G1500" i="3"/>
  <c r="F1501" i="3"/>
  <c r="G1501" i="3"/>
  <c r="F1502" i="3"/>
  <c r="G1502" i="3"/>
  <c r="F1503" i="3"/>
  <c r="G1503" i="3"/>
  <c r="F1504" i="3"/>
  <c r="G1504" i="3"/>
  <c r="F1505" i="3"/>
  <c r="G1505" i="3"/>
  <c r="F1506" i="3"/>
  <c r="G1506" i="3"/>
  <c r="F1507" i="3"/>
  <c r="G1507" i="3"/>
  <c r="F1508" i="3"/>
  <c r="G1508" i="3"/>
  <c r="F1509" i="3"/>
  <c r="G1509" i="3"/>
  <c r="F1510" i="3"/>
  <c r="G1510" i="3"/>
  <c r="F1511" i="3"/>
  <c r="G1511" i="3"/>
  <c r="F1512" i="3"/>
  <c r="G1512" i="3"/>
  <c r="F1513" i="3"/>
  <c r="G1513" i="3"/>
  <c r="F1514" i="3"/>
  <c r="G1514" i="3"/>
  <c r="F1515" i="3"/>
  <c r="G1515" i="3"/>
  <c r="F1516" i="3"/>
  <c r="G1516" i="3"/>
  <c r="F1517" i="3"/>
  <c r="G1517" i="3"/>
  <c r="F1518" i="3"/>
  <c r="G1518" i="3"/>
  <c r="F1519" i="3"/>
  <c r="G1519" i="3"/>
  <c r="F1520" i="3"/>
  <c r="G1520" i="3"/>
  <c r="F1521" i="3"/>
  <c r="G1521" i="3"/>
  <c r="F1522" i="3"/>
  <c r="G1522" i="3"/>
  <c r="F1523" i="3"/>
  <c r="G1523" i="3"/>
  <c r="F1524" i="3"/>
  <c r="G1524" i="3"/>
  <c r="F1525" i="3"/>
  <c r="G1525" i="3"/>
  <c r="F1526" i="3"/>
  <c r="G1526" i="3"/>
  <c r="F1527" i="3"/>
  <c r="G1527" i="3"/>
  <c r="F1528" i="3"/>
  <c r="G1528" i="3"/>
  <c r="F1529" i="3"/>
  <c r="G1529" i="3"/>
  <c r="F1530" i="3"/>
  <c r="G1530" i="3"/>
  <c r="F1531" i="3"/>
  <c r="G1531" i="3"/>
  <c r="F1532" i="3"/>
  <c r="G1532" i="3"/>
  <c r="F1533" i="3"/>
  <c r="G1533" i="3"/>
  <c r="F1534" i="3"/>
  <c r="G1534" i="3"/>
  <c r="F1535" i="3"/>
  <c r="G1535" i="3"/>
  <c r="F1536" i="3"/>
  <c r="G1536" i="3"/>
  <c r="F1537" i="3"/>
  <c r="G1537" i="3"/>
  <c r="F1538" i="3"/>
  <c r="G1538" i="3"/>
  <c r="F1539" i="3"/>
  <c r="G1539" i="3"/>
  <c r="F1540" i="3"/>
  <c r="G1540" i="3"/>
  <c r="F1541" i="3"/>
  <c r="G1541" i="3"/>
  <c r="F1542" i="3"/>
  <c r="G1542" i="3"/>
  <c r="F1543" i="3"/>
  <c r="G1543" i="3"/>
  <c r="F1544" i="3"/>
  <c r="G1544" i="3"/>
  <c r="F1545" i="3"/>
  <c r="G1545" i="3"/>
  <c r="F1546" i="3"/>
  <c r="G1546" i="3"/>
  <c r="F1547" i="3"/>
  <c r="G1547" i="3"/>
  <c r="F1548" i="3"/>
  <c r="G1548" i="3"/>
  <c r="F1549" i="3"/>
  <c r="G1549" i="3"/>
  <c r="F1550" i="3"/>
  <c r="G1550" i="3"/>
  <c r="F1551" i="3"/>
  <c r="G1551" i="3"/>
  <c r="F1552" i="3"/>
  <c r="G1552" i="3"/>
  <c r="F1553" i="3"/>
  <c r="G1553" i="3"/>
  <c r="F1554" i="3"/>
  <c r="G1554" i="3"/>
  <c r="F1555" i="3"/>
  <c r="G1555" i="3"/>
  <c r="F1556" i="3"/>
  <c r="G1556" i="3"/>
  <c r="F1557" i="3"/>
  <c r="G1557" i="3"/>
  <c r="F1558" i="3"/>
  <c r="G1558" i="3"/>
  <c r="F1559" i="3"/>
  <c r="G1559" i="3"/>
  <c r="F1560" i="3"/>
  <c r="G1560" i="3"/>
  <c r="F1561" i="3"/>
  <c r="G1561" i="3"/>
  <c r="F1562" i="3"/>
  <c r="G1562" i="3"/>
  <c r="F1563" i="3"/>
  <c r="G1563" i="3"/>
  <c r="F1564" i="3"/>
  <c r="G1564" i="3"/>
  <c r="F1565" i="3"/>
  <c r="G1565" i="3"/>
  <c r="F1566" i="3"/>
  <c r="G1566" i="3"/>
  <c r="F1567" i="3"/>
  <c r="G1567" i="3"/>
  <c r="F1568" i="3"/>
  <c r="G1568" i="3"/>
  <c r="F1569" i="3"/>
  <c r="G1569" i="3"/>
  <c r="F1570" i="3"/>
  <c r="G1570" i="3"/>
  <c r="F1571" i="3"/>
  <c r="G1571" i="3"/>
  <c r="F1572" i="3"/>
  <c r="G1572" i="3"/>
  <c r="F1573" i="3"/>
  <c r="G1573" i="3"/>
  <c r="F1574" i="3"/>
  <c r="G1574" i="3"/>
  <c r="F1575" i="3"/>
  <c r="G1575" i="3"/>
  <c r="F1576" i="3"/>
  <c r="G1576" i="3"/>
  <c r="F1577" i="3"/>
  <c r="G1577" i="3"/>
  <c r="F1578" i="3"/>
  <c r="G1578" i="3"/>
  <c r="F1579" i="3"/>
  <c r="G1579" i="3"/>
  <c r="F1580" i="3"/>
  <c r="G1580" i="3"/>
  <c r="F1581" i="3"/>
  <c r="G1581" i="3"/>
  <c r="F1582" i="3"/>
  <c r="G1582" i="3"/>
  <c r="F1583" i="3"/>
  <c r="G1583" i="3"/>
  <c r="F1584" i="3"/>
  <c r="G1584" i="3"/>
  <c r="F1585" i="3"/>
  <c r="G1585" i="3"/>
  <c r="F1586" i="3"/>
  <c r="G1586" i="3"/>
  <c r="F1587" i="3"/>
  <c r="G1587" i="3"/>
  <c r="F1588" i="3"/>
  <c r="G1588" i="3"/>
  <c r="F1589" i="3"/>
  <c r="G1589" i="3"/>
  <c r="F1590" i="3"/>
  <c r="G1590" i="3"/>
  <c r="F1591" i="3"/>
  <c r="G1591" i="3"/>
  <c r="F1592" i="3"/>
  <c r="G1592" i="3"/>
  <c r="F1593" i="3"/>
  <c r="G1593" i="3"/>
  <c r="F1594" i="3"/>
  <c r="G1594" i="3"/>
  <c r="F1595" i="3"/>
  <c r="G1595" i="3"/>
  <c r="F1596" i="3"/>
  <c r="G1596" i="3"/>
  <c r="F1597" i="3"/>
  <c r="G1597" i="3"/>
  <c r="F1598" i="3"/>
  <c r="G1598" i="3"/>
  <c r="F1599" i="3"/>
  <c r="G1599" i="3"/>
  <c r="F1600" i="3"/>
  <c r="G1600" i="3"/>
  <c r="F1601" i="3"/>
  <c r="G1601" i="3"/>
  <c r="F1602" i="3"/>
  <c r="G1602" i="3"/>
  <c r="F1603" i="3"/>
  <c r="G1603" i="3"/>
  <c r="F1604" i="3"/>
  <c r="G1604" i="3"/>
  <c r="F1605" i="3"/>
  <c r="G1605" i="3"/>
  <c r="F1606" i="3"/>
  <c r="G1606" i="3"/>
  <c r="F1607" i="3"/>
  <c r="G1607" i="3"/>
  <c r="F1608" i="3"/>
  <c r="G1608" i="3"/>
  <c r="F1609" i="3"/>
  <c r="G1609" i="3"/>
  <c r="F1610" i="3"/>
  <c r="G1610" i="3"/>
  <c r="F1611" i="3"/>
  <c r="G1611" i="3"/>
  <c r="F1612" i="3"/>
  <c r="G1612" i="3"/>
  <c r="F1613" i="3"/>
  <c r="G1613" i="3"/>
  <c r="F1614" i="3"/>
  <c r="G1614" i="3"/>
  <c r="F1615" i="3"/>
  <c r="G1615" i="3"/>
  <c r="F1616" i="3"/>
  <c r="G1616" i="3"/>
  <c r="F1617" i="3"/>
  <c r="G1617" i="3"/>
  <c r="F1618" i="3"/>
  <c r="G1618" i="3"/>
  <c r="F1619" i="3"/>
  <c r="G1619" i="3"/>
  <c r="F1620" i="3"/>
  <c r="G1620" i="3"/>
  <c r="F1621" i="3"/>
  <c r="G1621" i="3"/>
  <c r="F1622" i="3"/>
  <c r="G1622" i="3"/>
  <c r="F1623" i="3"/>
  <c r="G1623" i="3"/>
  <c r="F1624" i="3"/>
  <c r="G1624" i="3"/>
  <c r="F1625" i="3"/>
  <c r="G1625" i="3"/>
  <c r="F1626" i="3"/>
  <c r="G1626" i="3"/>
  <c r="F1627" i="3"/>
  <c r="G1627" i="3"/>
  <c r="F1628" i="3"/>
  <c r="G1628" i="3"/>
  <c r="F1629" i="3"/>
  <c r="G1629" i="3"/>
  <c r="F1630" i="3"/>
  <c r="G1630" i="3"/>
  <c r="F1631" i="3"/>
  <c r="G1631" i="3"/>
  <c r="F1632" i="3"/>
  <c r="G1632" i="3"/>
  <c r="F1633" i="3"/>
  <c r="G1633" i="3"/>
  <c r="F1634" i="3"/>
  <c r="G1634" i="3"/>
  <c r="F1635" i="3"/>
  <c r="G1635" i="3"/>
  <c r="F1636" i="3"/>
  <c r="G1636" i="3"/>
  <c r="F1637" i="3"/>
  <c r="G1637" i="3"/>
  <c r="F1638" i="3"/>
  <c r="G1638" i="3"/>
  <c r="F1639" i="3"/>
  <c r="G1639" i="3"/>
  <c r="F1640" i="3"/>
  <c r="G1640" i="3"/>
  <c r="F1641" i="3"/>
  <c r="G1641" i="3"/>
  <c r="F1642" i="3"/>
  <c r="G1642" i="3"/>
  <c r="F1643" i="3"/>
  <c r="G1643" i="3"/>
  <c r="F1644" i="3"/>
  <c r="G1644" i="3"/>
  <c r="F1645" i="3"/>
  <c r="G1645" i="3"/>
  <c r="F1646" i="3"/>
  <c r="G1646" i="3"/>
  <c r="F1647" i="3"/>
  <c r="G1647" i="3"/>
  <c r="F1648" i="3"/>
  <c r="G1648" i="3"/>
  <c r="F1649" i="3"/>
  <c r="G1649" i="3"/>
  <c r="F1650" i="3"/>
  <c r="G1650" i="3"/>
  <c r="F1651" i="3"/>
  <c r="G1651" i="3"/>
  <c r="F1652" i="3"/>
  <c r="G1652" i="3"/>
  <c r="F1653" i="3"/>
  <c r="G1653" i="3"/>
  <c r="F1654" i="3"/>
  <c r="G1654" i="3"/>
  <c r="F1655" i="3"/>
  <c r="G1655" i="3"/>
  <c r="F1656" i="3"/>
  <c r="G1656" i="3"/>
  <c r="F1657" i="3"/>
  <c r="G1657" i="3"/>
  <c r="F1658" i="3"/>
  <c r="G1658" i="3"/>
  <c r="F1659" i="3"/>
  <c r="G1659" i="3"/>
  <c r="F1660" i="3"/>
  <c r="G1660" i="3"/>
  <c r="F1661" i="3"/>
  <c r="G1661" i="3"/>
  <c r="F1662" i="3"/>
  <c r="G1662" i="3"/>
  <c r="F1663" i="3"/>
  <c r="G1663" i="3"/>
  <c r="F1664" i="3"/>
  <c r="G1664" i="3"/>
  <c r="F1665" i="3"/>
  <c r="G1665" i="3"/>
  <c r="F1666" i="3"/>
  <c r="G1666" i="3"/>
  <c r="F1667" i="3"/>
  <c r="G1667" i="3"/>
  <c r="F1668" i="3"/>
  <c r="G1668" i="3"/>
  <c r="F1669" i="3"/>
  <c r="G1669" i="3"/>
  <c r="F1670" i="3"/>
  <c r="G1670" i="3"/>
  <c r="F1671" i="3"/>
  <c r="G1671" i="3"/>
  <c r="F1672" i="3"/>
  <c r="G1672" i="3"/>
  <c r="F1673" i="3"/>
  <c r="G1673" i="3"/>
  <c r="F1674" i="3"/>
  <c r="G1674" i="3"/>
  <c r="F1675" i="3"/>
  <c r="G1675" i="3"/>
  <c r="F1676" i="3"/>
  <c r="G1676" i="3"/>
  <c r="F1677" i="3"/>
  <c r="G1677" i="3"/>
  <c r="F1678" i="3"/>
  <c r="G1678" i="3"/>
  <c r="F1679" i="3"/>
  <c r="G1679" i="3"/>
  <c r="F1680" i="3"/>
  <c r="G1680" i="3"/>
  <c r="F1681" i="3"/>
  <c r="G1681" i="3"/>
  <c r="F1682" i="3"/>
  <c r="G1682" i="3"/>
  <c r="F1683" i="3"/>
  <c r="G1683" i="3"/>
  <c r="F1684" i="3"/>
  <c r="G1684" i="3"/>
  <c r="F1685" i="3"/>
  <c r="G1685" i="3"/>
  <c r="F1686" i="3"/>
  <c r="G1686" i="3"/>
  <c r="F1687" i="3"/>
  <c r="G1687" i="3"/>
  <c r="F1688" i="3"/>
  <c r="G1688" i="3"/>
  <c r="F1689" i="3"/>
  <c r="G1689" i="3"/>
  <c r="F1690" i="3"/>
  <c r="G1690" i="3"/>
  <c r="F1691" i="3"/>
  <c r="G1691" i="3"/>
  <c r="F1692" i="3"/>
  <c r="G1692" i="3"/>
  <c r="F1693" i="3"/>
  <c r="G1693" i="3"/>
  <c r="F1694" i="3"/>
  <c r="G1694" i="3"/>
  <c r="F1695" i="3"/>
  <c r="G1695" i="3"/>
  <c r="F1696" i="3"/>
  <c r="G1696" i="3"/>
  <c r="F1697" i="3"/>
  <c r="G1697" i="3"/>
  <c r="F1698" i="3"/>
  <c r="G1698" i="3"/>
  <c r="F1699" i="3"/>
  <c r="G1699" i="3"/>
  <c r="F1700" i="3"/>
  <c r="G1700" i="3"/>
  <c r="F1701" i="3"/>
  <c r="G1701" i="3"/>
  <c r="F1702" i="3"/>
  <c r="G1702" i="3"/>
  <c r="F1703" i="3"/>
  <c r="G1703" i="3"/>
  <c r="F1704" i="3"/>
  <c r="G1704" i="3"/>
  <c r="F1705" i="3"/>
  <c r="G1705" i="3"/>
  <c r="F1706" i="3"/>
  <c r="G1706" i="3"/>
  <c r="F1707" i="3"/>
  <c r="G1707" i="3"/>
  <c r="F1708" i="3"/>
  <c r="G1708" i="3"/>
  <c r="F1709" i="3"/>
  <c r="G1709" i="3"/>
  <c r="F1710" i="3"/>
  <c r="G1710" i="3"/>
  <c r="F1711" i="3"/>
  <c r="G1711" i="3"/>
  <c r="F1712" i="3"/>
  <c r="G1712" i="3"/>
  <c r="F1713" i="3"/>
  <c r="G1713" i="3"/>
  <c r="F1714" i="3"/>
  <c r="G1714" i="3"/>
  <c r="F1715" i="3"/>
  <c r="G1715" i="3"/>
  <c r="F1716" i="3"/>
  <c r="G1716" i="3"/>
  <c r="F1717" i="3"/>
  <c r="G1717" i="3"/>
  <c r="F1718" i="3"/>
  <c r="G1718" i="3"/>
  <c r="F1719" i="3"/>
  <c r="G1719" i="3"/>
  <c r="F1720" i="3"/>
  <c r="G1720" i="3"/>
  <c r="F1721" i="3"/>
  <c r="G1721" i="3"/>
  <c r="F1722" i="3"/>
  <c r="G1722" i="3"/>
  <c r="F1723" i="3"/>
  <c r="G1723" i="3"/>
  <c r="F1724" i="3"/>
  <c r="G1724" i="3"/>
  <c r="F1725" i="3"/>
  <c r="G1725" i="3"/>
  <c r="F1726" i="3"/>
  <c r="G1726" i="3"/>
  <c r="F1727" i="3"/>
  <c r="G1727" i="3"/>
  <c r="F1728" i="3"/>
  <c r="G1728" i="3"/>
  <c r="F1729" i="3"/>
  <c r="G1729" i="3"/>
  <c r="F1730" i="3"/>
  <c r="G1730" i="3"/>
  <c r="F1731" i="3"/>
  <c r="G1731" i="3"/>
  <c r="F1732" i="3"/>
  <c r="G1732" i="3"/>
  <c r="F1733" i="3"/>
  <c r="G1733" i="3"/>
  <c r="F1734" i="3"/>
  <c r="G1734" i="3"/>
  <c r="F1735" i="3"/>
  <c r="G1735" i="3"/>
  <c r="F1736" i="3"/>
  <c r="G1736" i="3"/>
  <c r="F1737" i="3"/>
  <c r="G1737" i="3"/>
  <c r="F1738" i="3"/>
  <c r="G1738" i="3"/>
  <c r="F1739" i="3"/>
  <c r="G1739" i="3"/>
  <c r="F1740" i="3"/>
  <c r="G1740" i="3"/>
  <c r="F1741" i="3"/>
  <c r="G1741" i="3"/>
  <c r="F1742" i="3"/>
  <c r="G1742" i="3"/>
  <c r="F1743" i="3"/>
  <c r="G1743" i="3"/>
  <c r="F1744" i="3"/>
  <c r="G1744" i="3"/>
  <c r="F1745" i="3"/>
  <c r="G1745" i="3"/>
  <c r="F1746" i="3"/>
  <c r="G1746" i="3"/>
  <c r="F1747" i="3"/>
  <c r="G1747" i="3"/>
  <c r="F1748" i="3"/>
  <c r="G1748" i="3"/>
  <c r="F1749" i="3"/>
  <c r="G1749" i="3"/>
  <c r="F1750" i="3"/>
  <c r="G1750" i="3"/>
  <c r="F1751" i="3"/>
  <c r="G1751" i="3"/>
  <c r="F1752" i="3"/>
  <c r="G1752" i="3"/>
  <c r="F1753" i="3"/>
  <c r="G1753" i="3"/>
  <c r="F1754" i="3"/>
  <c r="G1754" i="3"/>
  <c r="F1755" i="3"/>
  <c r="G1755" i="3"/>
  <c r="F1756" i="3"/>
  <c r="G1756" i="3"/>
  <c r="F1757" i="3"/>
  <c r="G1757" i="3"/>
  <c r="F1758" i="3"/>
  <c r="G1758" i="3"/>
  <c r="F1759" i="3"/>
  <c r="G1759" i="3"/>
  <c r="F1760" i="3"/>
  <c r="G1760" i="3"/>
  <c r="F1761" i="3"/>
  <c r="G1761" i="3"/>
  <c r="F1762" i="3"/>
  <c r="G1762" i="3"/>
  <c r="F1763" i="3"/>
  <c r="G1763" i="3"/>
  <c r="F1764" i="3"/>
  <c r="G1764" i="3"/>
  <c r="F1765" i="3"/>
  <c r="G1765" i="3"/>
  <c r="F1766" i="3"/>
  <c r="G1766" i="3"/>
  <c r="F1767" i="3"/>
  <c r="G1767" i="3"/>
  <c r="F1768" i="3"/>
  <c r="G1768" i="3"/>
  <c r="F1769" i="3"/>
  <c r="G1769" i="3"/>
  <c r="F1770" i="3"/>
  <c r="G1770" i="3"/>
  <c r="F1771" i="3"/>
  <c r="G1771" i="3"/>
  <c r="F1772" i="3"/>
  <c r="G1772" i="3"/>
  <c r="F1773" i="3"/>
  <c r="G1773" i="3"/>
  <c r="F1774" i="3"/>
  <c r="G1774" i="3"/>
  <c r="F1775" i="3"/>
  <c r="G1775" i="3"/>
  <c r="F1776" i="3"/>
  <c r="G1776" i="3"/>
  <c r="F1777" i="3"/>
  <c r="G1777" i="3"/>
  <c r="F1778" i="3"/>
  <c r="G1778" i="3"/>
  <c r="F1779" i="3"/>
  <c r="G1779" i="3"/>
  <c r="F1780" i="3"/>
  <c r="G1780" i="3"/>
  <c r="F1781" i="3"/>
  <c r="G1781" i="3"/>
  <c r="F1782" i="3"/>
  <c r="G1782" i="3"/>
  <c r="F1783" i="3"/>
  <c r="G1783" i="3"/>
  <c r="F1784" i="3"/>
  <c r="G1784" i="3"/>
  <c r="F1785" i="3"/>
  <c r="G1785" i="3"/>
  <c r="F1786" i="3"/>
  <c r="G1786" i="3"/>
  <c r="F1787" i="3"/>
  <c r="G1787" i="3"/>
  <c r="F1788" i="3"/>
  <c r="G1788" i="3"/>
  <c r="F1789" i="3"/>
  <c r="G1789" i="3"/>
  <c r="F1790" i="3"/>
  <c r="G1790" i="3"/>
  <c r="F1791" i="3"/>
  <c r="G1791" i="3"/>
  <c r="F1792" i="3"/>
  <c r="G1792" i="3"/>
  <c r="F1793" i="3"/>
  <c r="G1793" i="3"/>
  <c r="F1794" i="3"/>
  <c r="G1794" i="3"/>
  <c r="F1795" i="3"/>
  <c r="G1795" i="3"/>
  <c r="F1796" i="3"/>
  <c r="G1796" i="3"/>
  <c r="F1797" i="3"/>
  <c r="G1797" i="3"/>
  <c r="F1798" i="3"/>
  <c r="G1798" i="3"/>
  <c r="F1799" i="3"/>
  <c r="G1799" i="3"/>
  <c r="F1800" i="3"/>
  <c r="G1800" i="3"/>
  <c r="F1801" i="3"/>
  <c r="G1801" i="3"/>
  <c r="F1802" i="3"/>
  <c r="G1802" i="3"/>
  <c r="F1803" i="3"/>
  <c r="G1803" i="3"/>
  <c r="F1804" i="3"/>
  <c r="G1804" i="3"/>
  <c r="F1805" i="3"/>
  <c r="G1805" i="3"/>
  <c r="F1806" i="3"/>
  <c r="G1806" i="3"/>
  <c r="F1807" i="3"/>
  <c r="G1807" i="3"/>
  <c r="F1808" i="3"/>
  <c r="G1808" i="3"/>
  <c r="F1809" i="3"/>
  <c r="G1809" i="3"/>
  <c r="F1810" i="3"/>
  <c r="G1810" i="3"/>
  <c r="F1811" i="3"/>
  <c r="G1811" i="3"/>
  <c r="F1812" i="3"/>
  <c r="G1812" i="3"/>
  <c r="F1813" i="3"/>
  <c r="G1813" i="3"/>
  <c r="F1814" i="3"/>
  <c r="G1814" i="3"/>
  <c r="F1815" i="3"/>
  <c r="G1815" i="3"/>
  <c r="F1816" i="3"/>
  <c r="G1816" i="3"/>
  <c r="F1817" i="3"/>
  <c r="G1817" i="3"/>
  <c r="F1818" i="3"/>
  <c r="G1818" i="3"/>
  <c r="F1819" i="3"/>
  <c r="G1819" i="3"/>
  <c r="F1820" i="3"/>
  <c r="G1820" i="3"/>
  <c r="F1821" i="3"/>
  <c r="G1821" i="3"/>
  <c r="F1822" i="3"/>
  <c r="G1822" i="3"/>
  <c r="F1823" i="3"/>
  <c r="G1823" i="3"/>
  <c r="F1824" i="3"/>
  <c r="G1824" i="3"/>
  <c r="F1825" i="3"/>
  <c r="G1825" i="3"/>
  <c r="F1826" i="3"/>
  <c r="G1826" i="3"/>
  <c r="F1827" i="3"/>
  <c r="G1827" i="3"/>
  <c r="F1828" i="3"/>
  <c r="G1828" i="3"/>
  <c r="F1829" i="3"/>
  <c r="G1829" i="3"/>
  <c r="F1830" i="3"/>
  <c r="G1830" i="3"/>
  <c r="F1831" i="3"/>
  <c r="G1831" i="3"/>
  <c r="F1832" i="3"/>
  <c r="G1832" i="3"/>
  <c r="F1833" i="3"/>
  <c r="G1833" i="3"/>
  <c r="F1834" i="3"/>
  <c r="G1834" i="3"/>
  <c r="F1835" i="3"/>
  <c r="G1835" i="3"/>
  <c r="F1836" i="3"/>
  <c r="G1836" i="3"/>
  <c r="F1837" i="3"/>
  <c r="G1837" i="3"/>
  <c r="F1838" i="3"/>
  <c r="G1838" i="3"/>
  <c r="F1839" i="3"/>
  <c r="G1839" i="3"/>
  <c r="F1840" i="3"/>
  <c r="G1840" i="3"/>
  <c r="F1841" i="3"/>
  <c r="G1841" i="3"/>
  <c r="F1842" i="3"/>
  <c r="G1842" i="3"/>
  <c r="F1843" i="3"/>
  <c r="G1843" i="3"/>
  <c r="F1844" i="3"/>
  <c r="G1844" i="3"/>
  <c r="F1845" i="3"/>
  <c r="G1845" i="3"/>
  <c r="F1846" i="3"/>
  <c r="G1846" i="3"/>
  <c r="F1847" i="3"/>
  <c r="G1847" i="3"/>
  <c r="F1848" i="3"/>
  <c r="G1848" i="3"/>
  <c r="F1849" i="3"/>
  <c r="G1849" i="3"/>
  <c r="F1850" i="3"/>
  <c r="G1850" i="3"/>
  <c r="F1851" i="3"/>
  <c r="G1851" i="3"/>
  <c r="F1852" i="3"/>
  <c r="G1852" i="3"/>
  <c r="F1853" i="3"/>
  <c r="G1853" i="3"/>
  <c r="F1854" i="3"/>
  <c r="G1854" i="3"/>
  <c r="F1855" i="3"/>
  <c r="G1855" i="3"/>
  <c r="F1856" i="3"/>
  <c r="G1856" i="3"/>
  <c r="F1857" i="3"/>
  <c r="G1857" i="3"/>
  <c r="F1858" i="3"/>
  <c r="G1858" i="3"/>
  <c r="F1859" i="3"/>
  <c r="G1859" i="3"/>
  <c r="F1860" i="3"/>
  <c r="G1860" i="3"/>
  <c r="F1861" i="3"/>
  <c r="G1861" i="3"/>
  <c r="F1862" i="3"/>
  <c r="G1862" i="3"/>
  <c r="F1863" i="3"/>
  <c r="G1863" i="3"/>
  <c r="F1864" i="3"/>
  <c r="G1864" i="3"/>
  <c r="F1865" i="3"/>
  <c r="G1865" i="3"/>
  <c r="F1866" i="3"/>
  <c r="G1866" i="3"/>
  <c r="F1867" i="3"/>
  <c r="G1867" i="3"/>
  <c r="F1868" i="3"/>
  <c r="G1868" i="3"/>
  <c r="F1869" i="3"/>
  <c r="G1869" i="3"/>
  <c r="F1870" i="3"/>
  <c r="G1870" i="3"/>
  <c r="F1871" i="3"/>
  <c r="G1871" i="3"/>
  <c r="F1872" i="3"/>
  <c r="G1872" i="3"/>
  <c r="F1873" i="3"/>
  <c r="G1873" i="3"/>
  <c r="F1874" i="3"/>
  <c r="G1874" i="3"/>
  <c r="F1875" i="3"/>
  <c r="G1875" i="3"/>
  <c r="F1876" i="3"/>
  <c r="G1876" i="3"/>
  <c r="F1877" i="3"/>
  <c r="G1877" i="3"/>
  <c r="F1878" i="3"/>
  <c r="G1878" i="3"/>
  <c r="F1879" i="3"/>
  <c r="G1879" i="3"/>
  <c r="F1880" i="3"/>
  <c r="G1880" i="3"/>
  <c r="F1881" i="3"/>
  <c r="G1881" i="3"/>
  <c r="F1882" i="3"/>
  <c r="G1882" i="3"/>
  <c r="F1883" i="3"/>
  <c r="G1883" i="3"/>
  <c r="F1884" i="3"/>
  <c r="G1884" i="3"/>
  <c r="F1885" i="3"/>
  <c r="G1885" i="3"/>
  <c r="F1886" i="3"/>
  <c r="G1886" i="3"/>
  <c r="F1887" i="3"/>
  <c r="G1887" i="3"/>
  <c r="F1888" i="3"/>
  <c r="G1888" i="3"/>
  <c r="F1889" i="3"/>
  <c r="G1889" i="3"/>
  <c r="F1890" i="3"/>
  <c r="G1890" i="3"/>
  <c r="F1891" i="3"/>
  <c r="G1891" i="3"/>
  <c r="F1892" i="3"/>
  <c r="G1892" i="3"/>
  <c r="F1893" i="3"/>
  <c r="G1893" i="3"/>
  <c r="F1894" i="3"/>
  <c r="G1894" i="3"/>
  <c r="F1895" i="3"/>
  <c r="G1895" i="3"/>
  <c r="F1896" i="3"/>
  <c r="G1896" i="3"/>
  <c r="F1897" i="3"/>
  <c r="G1897" i="3"/>
  <c r="F1898" i="3"/>
  <c r="G1898" i="3"/>
  <c r="F1899" i="3"/>
  <c r="G1899" i="3"/>
  <c r="F1900" i="3"/>
  <c r="G1900" i="3"/>
  <c r="F1901" i="3"/>
  <c r="G1901" i="3"/>
  <c r="F1902" i="3"/>
  <c r="G1902" i="3"/>
  <c r="F1903" i="3"/>
  <c r="G1903" i="3"/>
  <c r="F1904" i="3"/>
  <c r="G1904" i="3"/>
  <c r="F1905" i="3"/>
  <c r="G1905" i="3"/>
  <c r="F1906" i="3"/>
  <c r="G1906" i="3"/>
  <c r="F1907" i="3"/>
  <c r="G1907" i="3"/>
  <c r="F1908" i="3"/>
  <c r="G1908" i="3"/>
  <c r="F1909" i="3"/>
  <c r="G1909" i="3"/>
  <c r="F1910" i="3"/>
  <c r="G1910" i="3"/>
  <c r="F1911" i="3"/>
  <c r="G1911" i="3"/>
  <c r="F1912" i="3"/>
  <c r="G1912" i="3"/>
  <c r="F1913" i="3"/>
  <c r="G1913" i="3"/>
  <c r="F1914" i="3"/>
  <c r="G1914" i="3"/>
  <c r="F1915" i="3"/>
  <c r="G1915" i="3"/>
  <c r="F1916" i="3"/>
  <c r="G1916" i="3"/>
  <c r="F1917" i="3"/>
  <c r="G1917" i="3"/>
  <c r="F1918" i="3"/>
  <c r="G1918" i="3"/>
  <c r="F1919" i="3"/>
  <c r="G1919" i="3"/>
  <c r="F1920" i="3"/>
  <c r="G1920" i="3"/>
  <c r="F1921" i="3"/>
  <c r="G1921" i="3"/>
  <c r="F1922" i="3"/>
  <c r="G1922" i="3"/>
  <c r="F1923" i="3"/>
  <c r="G1923" i="3"/>
  <c r="F1924" i="3"/>
  <c r="G1924" i="3"/>
  <c r="F1925" i="3"/>
  <c r="G1925" i="3"/>
  <c r="F1926" i="3"/>
  <c r="G1926" i="3"/>
  <c r="F1927" i="3"/>
  <c r="G1927" i="3"/>
  <c r="F1928" i="3"/>
  <c r="G1928" i="3"/>
  <c r="F1929" i="3"/>
  <c r="G1929" i="3"/>
  <c r="F1930" i="3"/>
  <c r="G1930" i="3"/>
  <c r="F1931" i="3"/>
  <c r="G1931" i="3"/>
  <c r="F1932" i="3"/>
  <c r="G1932" i="3"/>
  <c r="F1933" i="3"/>
  <c r="G1933" i="3"/>
  <c r="F1934" i="3"/>
  <c r="G1934" i="3"/>
  <c r="F1935" i="3"/>
  <c r="G1935" i="3"/>
  <c r="F1936" i="3"/>
  <c r="G1936" i="3"/>
  <c r="F1937" i="3"/>
  <c r="G1937" i="3"/>
  <c r="F1938" i="3"/>
  <c r="G1938" i="3"/>
  <c r="F1939" i="3"/>
  <c r="G1939" i="3"/>
  <c r="F1940" i="3"/>
  <c r="G1940" i="3"/>
  <c r="F1941" i="3"/>
  <c r="G1941" i="3"/>
  <c r="F1942" i="3"/>
  <c r="G1942" i="3"/>
  <c r="F1943" i="3"/>
  <c r="G1943" i="3"/>
  <c r="F1944" i="3"/>
  <c r="G1944" i="3"/>
  <c r="F1945" i="3"/>
  <c r="G1945" i="3"/>
  <c r="F1946" i="3"/>
  <c r="G1946" i="3"/>
  <c r="F1947" i="3"/>
  <c r="G1947" i="3"/>
  <c r="F1948" i="3"/>
  <c r="G1948" i="3"/>
  <c r="F1949" i="3"/>
  <c r="G1949" i="3"/>
  <c r="F1950" i="3"/>
  <c r="G1950" i="3"/>
  <c r="F1951" i="3"/>
  <c r="G1951" i="3"/>
  <c r="F1952" i="3"/>
  <c r="G1952" i="3"/>
  <c r="F1953" i="3"/>
  <c r="G1953" i="3"/>
  <c r="F1954" i="3"/>
  <c r="G1954" i="3"/>
  <c r="F1955" i="3"/>
  <c r="G1955" i="3"/>
  <c r="F1956" i="3"/>
  <c r="G1956" i="3"/>
  <c r="F1957" i="3"/>
  <c r="G1957" i="3"/>
  <c r="F1958" i="3"/>
  <c r="G1958" i="3"/>
  <c r="F1959" i="3"/>
  <c r="G1959" i="3"/>
  <c r="F1960" i="3"/>
  <c r="G1960" i="3"/>
  <c r="F1961" i="3"/>
  <c r="G1961" i="3"/>
  <c r="F1962" i="3"/>
  <c r="G1962" i="3"/>
  <c r="F1963" i="3"/>
  <c r="G1963" i="3"/>
  <c r="F1964" i="3"/>
  <c r="G1964" i="3"/>
  <c r="F1965" i="3"/>
  <c r="G1965" i="3"/>
  <c r="F1966" i="3"/>
  <c r="G1966" i="3"/>
  <c r="F1967" i="3"/>
  <c r="G1967" i="3"/>
  <c r="F1968" i="3"/>
  <c r="G1968" i="3"/>
  <c r="F1969" i="3"/>
  <c r="G1969" i="3"/>
  <c r="F1970" i="3"/>
  <c r="G1970" i="3"/>
  <c r="F1971" i="3"/>
  <c r="G1971" i="3"/>
  <c r="F1972" i="3"/>
  <c r="G1972" i="3"/>
  <c r="F1973" i="3"/>
  <c r="G1973" i="3"/>
  <c r="F1974" i="3"/>
  <c r="G1974" i="3"/>
  <c r="F1975" i="3"/>
  <c r="G1975" i="3"/>
  <c r="F1976" i="3"/>
  <c r="G1976" i="3"/>
  <c r="F1977" i="3"/>
  <c r="G1977" i="3"/>
  <c r="F1978" i="3"/>
  <c r="G1978" i="3"/>
  <c r="F1979" i="3"/>
  <c r="G1979" i="3"/>
  <c r="F1980" i="3"/>
  <c r="G1980" i="3"/>
  <c r="F1981" i="3"/>
  <c r="G1981" i="3"/>
  <c r="F1982" i="3"/>
  <c r="G1982" i="3"/>
  <c r="F1983" i="3"/>
  <c r="G1983" i="3"/>
  <c r="F1984" i="3"/>
  <c r="G1984" i="3"/>
  <c r="F1985" i="3"/>
  <c r="G1985" i="3"/>
  <c r="F1986" i="3"/>
  <c r="G1986" i="3"/>
  <c r="F1987" i="3"/>
  <c r="G1987" i="3"/>
  <c r="F1988" i="3"/>
  <c r="G1988" i="3"/>
  <c r="F1989" i="3"/>
  <c r="G1989" i="3"/>
  <c r="F1990" i="3"/>
  <c r="G1990" i="3"/>
  <c r="F1991" i="3"/>
  <c r="G1991" i="3"/>
  <c r="F1992" i="3"/>
  <c r="G1992" i="3"/>
  <c r="F1993" i="3"/>
  <c r="G1993" i="3"/>
  <c r="F1994" i="3"/>
  <c r="G1994" i="3"/>
  <c r="F1995" i="3"/>
  <c r="G1995" i="3"/>
  <c r="F1996" i="3"/>
  <c r="G1996" i="3"/>
  <c r="F1997" i="3"/>
  <c r="G1997" i="3"/>
  <c r="F1998" i="3"/>
  <c r="G1998" i="3"/>
  <c r="F1999" i="3"/>
  <c r="G1999" i="3"/>
  <c r="F2000" i="3"/>
  <c r="G2000" i="3"/>
  <c r="F2001" i="3"/>
  <c r="G2001" i="3"/>
  <c r="F2002" i="3"/>
  <c r="G2002" i="3"/>
  <c r="F2003" i="3"/>
  <c r="G2003" i="3"/>
  <c r="F2004" i="3"/>
  <c r="G2004" i="3"/>
  <c r="F2005" i="3"/>
  <c r="G2005" i="3"/>
  <c r="F2006" i="3"/>
  <c r="G2006" i="3"/>
  <c r="F2007" i="3"/>
  <c r="G2007" i="3"/>
  <c r="F2008" i="3"/>
  <c r="G2008" i="3"/>
  <c r="F2009" i="3"/>
  <c r="G2009" i="3"/>
  <c r="F2010" i="3"/>
  <c r="G2010" i="3"/>
  <c r="F2011" i="3"/>
  <c r="G2011" i="3"/>
  <c r="F2012" i="3"/>
  <c r="G2012" i="3"/>
  <c r="F2013" i="3"/>
  <c r="G2013" i="3"/>
  <c r="F2014" i="3"/>
  <c r="G2014" i="3"/>
  <c r="F2015" i="3"/>
  <c r="G2015" i="3"/>
  <c r="F2016" i="3"/>
  <c r="G2016" i="3"/>
  <c r="F2017" i="3"/>
  <c r="G2017" i="3"/>
  <c r="F2018" i="3"/>
  <c r="G2018" i="3"/>
  <c r="F2019" i="3"/>
  <c r="G2019" i="3"/>
  <c r="F2020" i="3"/>
  <c r="G2020" i="3"/>
  <c r="F2021" i="3"/>
  <c r="G2021" i="3"/>
  <c r="F2022" i="3"/>
  <c r="G2022" i="3"/>
  <c r="F2023" i="3"/>
  <c r="G2023" i="3"/>
  <c r="F2024" i="3"/>
  <c r="G2024" i="3"/>
  <c r="F2025" i="3"/>
  <c r="G2025" i="3"/>
  <c r="F2026" i="3"/>
  <c r="G2026" i="3"/>
  <c r="F2027" i="3"/>
  <c r="G2027" i="3"/>
  <c r="F2028" i="3"/>
  <c r="G2028" i="3"/>
  <c r="F2029" i="3"/>
  <c r="G2029" i="3"/>
  <c r="F2030" i="3"/>
  <c r="G2030" i="3"/>
  <c r="F2031" i="3"/>
  <c r="G2031" i="3"/>
  <c r="F2032" i="3"/>
  <c r="G2032" i="3"/>
  <c r="F2033" i="3"/>
  <c r="G2033" i="3"/>
  <c r="F2034" i="3"/>
  <c r="G2034" i="3"/>
  <c r="F2035" i="3"/>
  <c r="G2035" i="3"/>
  <c r="F2036" i="3"/>
  <c r="G2036" i="3"/>
  <c r="F2037" i="3"/>
  <c r="G2037" i="3"/>
  <c r="F2038" i="3"/>
  <c r="G2038" i="3"/>
  <c r="F2039" i="3"/>
  <c r="G2039" i="3"/>
  <c r="F2040" i="3"/>
  <c r="G2040" i="3"/>
  <c r="F2041" i="3"/>
  <c r="G2041" i="3"/>
  <c r="F2042" i="3"/>
  <c r="G2042" i="3"/>
  <c r="F2043" i="3"/>
  <c r="G2043" i="3"/>
  <c r="F2044" i="3"/>
  <c r="G2044" i="3"/>
  <c r="F2045" i="3"/>
  <c r="G2045" i="3"/>
  <c r="F2046" i="3"/>
  <c r="G2046" i="3"/>
  <c r="F2047" i="3"/>
  <c r="G2047" i="3"/>
  <c r="F2048" i="3"/>
  <c r="G2048" i="3"/>
  <c r="F2049" i="3"/>
  <c r="G2049" i="3"/>
  <c r="F2050" i="3"/>
  <c r="G2050" i="3"/>
  <c r="F2051" i="3"/>
  <c r="G2051" i="3"/>
  <c r="F2052" i="3"/>
  <c r="G2052" i="3"/>
  <c r="F2053" i="3"/>
  <c r="G2053" i="3"/>
  <c r="F2054" i="3"/>
  <c r="G2054" i="3"/>
  <c r="F2055" i="3"/>
  <c r="G2055" i="3"/>
  <c r="F2056" i="3"/>
  <c r="G2056" i="3"/>
  <c r="F2057" i="3"/>
  <c r="G2057" i="3"/>
  <c r="F2058" i="3"/>
  <c r="G2058" i="3"/>
  <c r="F2059" i="3"/>
  <c r="G2059" i="3"/>
  <c r="F2060" i="3"/>
  <c r="G2060" i="3"/>
  <c r="F2061" i="3"/>
  <c r="G2061" i="3"/>
  <c r="F2062" i="3"/>
  <c r="G2062" i="3"/>
  <c r="F2063" i="3"/>
  <c r="G2063" i="3"/>
  <c r="F2064" i="3"/>
  <c r="G2064" i="3"/>
  <c r="F2065" i="3"/>
  <c r="G2065" i="3"/>
  <c r="F2066" i="3"/>
  <c r="G2066" i="3"/>
  <c r="F2067" i="3"/>
  <c r="G2067" i="3"/>
  <c r="F2068" i="3"/>
  <c r="G2068" i="3"/>
  <c r="F2069" i="3"/>
  <c r="G2069" i="3"/>
  <c r="F2070" i="3"/>
  <c r="G2070" i="3"/>
  <c r="F2071" i="3"/>
  <c r="G2071" i="3"/>
  <c r="F2072" i="3"/>
  <c r="G2072" i="3"/>
  <c r="F2073" i="3"/>
  <c r="G2073" i="3"/>
  <c r="F2074" i="3"/>
  <c r="G2074" i="3"/>
  <c r="F2075" i="3"/>
  <c r="G2075" i="3"/>
  <c r="F2076" i="3"/>
  <c r="G2076" i="3"/>
  <c r="F2077" i="3"/>
  <c r="G2077" i="3"/>
  <c r="F2078" i="3"/>
  <c r="G2078" i="3"/>
  <c r="F2079" i="3"/>
  <c r="G2079" i="3"/>
  <c r="F2080" i="3"/>
  <c r="G2080" i="3"/>
  <c r="F2081" i="3"/>
  <c r="G2081" i="3"/>
  <c r="F2082" i="3"/>
  <c r="G2082" i="3"/>
  <c r="F2083" i="3"/>
  <c r="G2083" i="3"/>
  <c r="F2084" i="3"/>
  <c r="G2084" i="3"/>
  <c r="F2085" i="3"/>
  <c r="G2085" i="3"/>
  <c r="F2086" i="3"/>
  <c r="G2086" i="3"/>
  <c r="F2087" i="3"/>
  <c r="G2087" i="3"/>
  <c r="F2088" i="3"/>
  <c r="G2088" i="3"/>
  <c r="F2089" i="3"/>
  <c r="G2089" i="3"/>
  <c r="F2090" i="3"/>
  <c r="G2090" i="3"/>
  <c r="F2091" i="3"/>
  <c r="G2091" i="3"/>
  <c r="F2092" i="3"/>
  <c r="G2092" i="3"/>
  <c r="F2093" i="3"/>
  <c r="G2093" i="3"/>
  <c r="F2094" i="3"/>
  <c r="G2094" i="3"/>
  <c r="F2095" i="3"/>
  <c r="G2095" i="3"/>
  <c r="F2096" i="3"/>
  <c r="G2096" i="3"/>
  <c r="F2097" i="3"/>
  <c r="G2097" i="3"/>
  <c r="F2098" i="3"/>
  <c r="G2098" i="3"/>
  <c r="F2099" i="3"/>
  <c r="G2099" i="3"/>
  <c r="F2100" i="3"/>
  <c r="G2100" i="3"/>
  <c r="F2101" i="3"/>
  <c r="G2101" i="3"/>
  <c r="F2102" i="3"/>
  <c r="G2102" i="3"/>
  <c r="F2103" i="3"/>
  <c r="G2103" i="3"/>
  <c r="F2104" i="3"/>
  <c r="G2104" i="3"/>
  <c r="F2105" i="3"/>
  <c r="G2105" i="3"/>
  <c r="F2106" i="3"/>
  <c r="G2106" i="3"/>
  <c r="F2107" i="3"/>
  <c r="G2107" i="3"/>
  <c r="F2108" i="3"/>
  <c r="G2108" i="3"/>
  <c r="F2109" i="3"/>
  <c r="G2109" i="3"/>
  <c r="F2110" i="3"/>
  <c r="G2110" i="3"/>
  <c r="F2111" i="3"/>
  <c r="G2111" i="3"/>
  <c r="F2112" i="3"/>
  <c r="G2112" i="3"/>
  <c r="F2113" i="3"/>
  <c r="G2113" i="3"/>
  <c r="F2114" i="3"/>
  <c r="G2114" i="3"/>
  <c r="F2115" i="3"/>
  <c r="G2115" i="3"/>
  <c r="F2116" i="3"/>
  <c r="G2116" i="3"/>
  <c r="F2117" i="3"/>
  <c r="G2117" i="3"/>
  <c r="F2118" i="3"/>
  <c r="G2118" i="3"/>
  <c r="F2119" i="3"/>
  <c r="G2119" i="3"/>
  <c r="F2120" i="3"/>
  <c r="G2120" i="3"/>
  <c r="F2121" i="3"/>
  <c r="G2121" i="3"/>
  <c r="F2122" i="3"/>
  <c r="G2122" i="3"/>
  <c r="F2123" i="3"/>
  <c r="G2123" i="3"/>
  <c r="F2124" i="3"/>
  <c r="G2124" i="3"/>
  <c r="F2125" i="3"/>
  <c r="G2125" i="3"/>
  <c r="F2126" i="3"/>
  <c r="G2126" i="3"/>
  <c r="F2127" i="3"/>
  <c r="G2127" i="3"/>
  <c r="F2128" i="3"/>
  <c r="G2128" i="3"/>
  <c r="F2129" i="3"/>
  <c r="G2129" i="3"/>
  <c r="F2130" i="3"/>
  <c r="G2130" i="3"/>
  <c r="F2131" i="3"/>
  <c r="G2131" i="3"/>
  <c r="F2132" i="3"/>
  <c r="G2132" i="3"/>
  <c r="F2133" i="3"/>
  <c r="G2133" i="3"/>
  <c r="F2134" i="3"/>
  <c r="G2134" i="3"/>
  <c r="F2135" i="3"/>
  <c r="G2135" i="3"/>
  <c r="F2136" i="3"/>
  <c r="G2136" i="3"/>
  <c r="F2137" i="3"/>
  <c r="G2137" i="3"/>
  <c r="F2138" i="3"/>
  <c r="G2138" i="3"/>
  <c r="F2139" i="3"/>
  <c r="G2139" i="3"/>
  <c r="F2140" i="3"/>
  <c r="G2140" i="3"/>
  <c r="F2141" i="3"/>
  <c r="G2141" i="3"/>
  <c r="F2142" i="3"/>
  <c r="G2142" i="3"/>
  <c r="F2143" i="3"/>
  <c r="G2143" i="3"/>
  <c r="F2144" i="3"/>
  <c r="G2144" i="3"/>
  <c r="F2145" i="3"/>
  <c r="G2145" i="3"/>
  <c r="F2146" i="3"/>
  <c r="G2146" i="3"/>
  <c r="F2147" i="3"/>
  <c r="G2147" i="3"/>
  <c r="F2148" i="3"/>
  <c r="G2148" i="3"/>
  <c r="F2149" i="3"/>
  <c r="G2149" i="3"/>
  <c r="F2150" i="3"/>
  <c r="G2150" i="3"/>
  <c r="F2151" i="3"/>
  <c r="G2151" i="3"/>
  <c r="F2152" i="3"/>
  <c r="G2152" i="3"/>
  <c r="F2153" i="3"/>
  <c r="G2153" i="3"/>
  <c r="F2154" i="3"/>
  <c r="G2154" i="3"/>
  <c r="F2155" i="3"/>
  <c r="G2155" i="3"/>
  <c r="F2156" i="3"/>
  <c r="G2156" i="3"/>
  <c r="F2157" i="3"/>
  <c r="G2157" i="3"/>
  <c r="F2158" i="3"/>
  <c r="G2158" i="3"/>
  <c r="F2159" i="3"/>
  <c r="G2159" i="3"/>
  <c r="F2160" i="3"/>
  <c r="G2160" i="3"/>
  <c r="F2161" i="3"/>
  <c r="G2161" i="3"/>
  <c r="F2162" i="3"/>
  <c r="G2162" i="3"/>
  <c r="F2163" i="3"/>
  <c r="G2163" i="3"/>
  <c r="F2164" i="3"/>
  <c r="G2164" i="3"/>
  <c r="F2165" i="3"/>
  <c r="G2165" i="3"/>
  <c r="F2166" i="3"/>
  <c r="G2166" i="3"/>
  <c r="F2167" i="3"/>
  <c r="G2167" i="3"/>
  <c r="F2168" i="3"/>
  <c r="G2168" i="3"/>
  <c r="F2169" i="3"/>
  <c r="G2169" i="3"/>
  <c r="F2170" i="3"/>
  <c r="G2170" i="3"/>
  <c r="F2171" i="3"/>
  <c r="G2171" i="3"/>
  <c r="F2172" i="3"/>
  <c r="G2172" i="3"/>
  <c r="F2173" i="3"/>
  <c r="G2173" i="3"/>
  <c r="F2174" i="3"/>
  <c r="G2174" i="3"/>
  <c r="F2175" i="3"/>
  <c r="G2175" i="3"/>
  <c r="F2176" i="3"/>
  <c r="G2176" i="3"/>
  <c r="F2177" i="3"/>
  <c r="G2177" i="3"/>
  <c r="F2178" i="3"/>
  <c r="G2178" i="3"/>
  <c r="F2179" i="3"/>
  <c r="G2179" i="3"/>
  <c r="P13" i="1" l="1"/>
  <c r="B6" i="7"/>
  <c r="C6" i="7" s="1"/>
  <c r="B10" i="7" l="1"/>
  <c r="B8" i="7" l="1"/>
  <c r="E10" i="7" l="1"/>
  <c r="F10" i="7" s="1"/>
  <c r="E11" i="7" l="1"/>
  <c r="F11" i="7" s="1"/>
  <c r="E15" i="7" l="1"/>
  <c r="E5" i="7"/>
  <c r="F5" i="7" s="1"/>
  <c r="E21" i="7" l="1"/>
  <c r="F21" i="7" s="1"/>
  <c r="E16" i="7"/>
  <c r="F16" i="7" s="1"/>
  <c r="E18" i="7" l="1"/>
  <c r="F18" i="7" s="1"/>
  <c r="E22" i="7"/>
  <c r="F22" i="7" s="1"/>
  <c r="E25" i="7"/>
  <c r="F25" i="7" s="1"/>
  <c r="F26" i="7" s="1"/>
  <c r="E26" i="7" l="1"/>
  <c r="B24" i="1" l="1"/>
  <c r="D5" i="1"/>
  <c r="D7" i="1" l="1"/>
  <c r="B25" i="1"/>
  <c r="D8" i="1" l="1"/>
  <c r="D16" i="1" s="1"/>
  <c r="E5" i="1" s="1"/>
  <c r="C28" i="1"/>
  <c r="D10" i="1" l="1"/>
  <c r="D12" i="1" s="1"/>
  <c r="D9" i="1"/>
  <c r="D11" i="1" s="1"/>
  <c r="E7" i="1"/>
  <c r="C25" i="1"/>
  <c r="C29" i="1" s="1"/>
  <c r="C30" i="1" s="1"/>
  <c r="D17" i="1" l="1"/>
  <c r="E8" i="1"/>
  <c r="E16" i="1" s="1"/>
  <c r="F5" i="1" s="1"/>
  <c r="D20" i="1" l="1"/>
  <c r="D24" i="1" s="1"/>
  <c r="D19" i="1"/>
  <c r="D21" i="1"/>
  <c r="D23" i="1"/>
  <c r="E10" i="1"/>
  <c r="E12" i="1" s="1"/>
  <c r="E9" i="1"/>
  <c r="E11" i="1" s="1"/>
  <c r="F7" i="1"/>
  <c r="E17" i="1" l="1"/>
  <c r="F8" i="1"/>
  <c r="F16" i="1" s="1"/>
  <c r="G5" i="1" s="1"/>
  <c r="E21" i="1" l="1"/>
  <c r="E23" i="1"/>
  <c r="E19" i="1"/>
  <c r="E20" i="1"/>
  <c r="E24" i="1" s="1"/>
  <c r="D27" i="1"/>
  <c r="D28" i="1" s="1"/>
  <c r="D25" i="1"/>
  <c r="D29" i="1" s="1"/>
  <c r="D30" i="1" s="1"/>
  <c r="F9" i="1"/>
  <c r="F11" i="1" s="1"/>
  <c r="F10" i="1"/>
  <c r="F12" i="1" s="1"/>
  <c r="G7" i="1"/>
  <c r="E25" i="1" l="1"/>
  <c r="E29" i="1" s="1"/>
  <c r="E30" i="1" s="1"/>
  <c r="F17" i="1"/>
  <c r="G8" i="1"/>
  <c r="G16" i="1" s="1"/>
  <c r="H5" i="1" s="1"/>
  <c r="E27" i="1" l="1"/>
  <c r="E28" i="1" s="1"/>
  <c r="F23" i="1"/>
  <c r="F19" i="1"/>
  <c r="F20" i="1"/>
  <c r="F24" i="1" s="1"/>
  <c r="F21" i="1"/>
  <c r="G9" i="1"/>
  <c r="G11" i="1" s="1"/>
  <c r="G10" i="1"/>
  <c r="G12" i="1" s="1"/>
  <c r="H7" i="1"/>
  <c r="G17" i="1" l="1"/>
  <c r="H8" i="1"/>
  <c r="H16" i="1" s="1"/>
  <c r="I5" i="1" s="1"/>
  <c r="F25" i="1" l="1"/>
  <c r="F29" i="1" s="1"/>
  <c r="F30" i="1" s="1"/>
  <c r="F27" i="1"/>
  <c r="F28" i="1" s="1"/>
  <c r="G19" i="1"/>
  <c r="G20" i="1"/>
  <c r="G24" i="1" s="1"/>
  <c r="G21" i="1"/>
  <c r="G23" i="1"/>
  <c r="H10" i="1"/>
  <c r="H12" i="1" s="1"/>
  <c r="H9" i="1"/>
  <c r="H11" i="1" s="1"/>
  <c r="I7" i="1"/>
  <c r="G25" i="1" l="1"/>
  <c r="G29" i="1" s="1"/>
  <c r="G30" i="1" s="1"/>
  <c r="H17" i="1"/>
  <c r="I8" i="1"/>
  <c r="I16" i="1" s="1"/>
  <c r="J5" i="1" s="1"/>
  <c r="J7" i="1" s="1"/>
  <c r="G27" i="1" l="1"/>
  <c r="G28" i="1" s="1"/>
  <c r="H20" i="1"/>
  <c r="H24" i="1" s="1"/>
  <c r="H21" i="1"/>
  <c r="H23" i="1"/>
  <c r="H19" i="1"/>
  <c r="I9" i="1"/>
  <c r="I11" i="1" s="1"/>
  <c r="I10" i="1"/>
  <c r="I12" i="1" s="1"/>
  <c r="J8" i="1"/>
  <c r="J16" i="1" s="1"/>
  <c r="K5" i="1" s="1"/>
  <c r="K7" i="1" s="1"/>
  <c r="I17" i="1" l="1"/>
  <c r="J9" i="1"/>
  <c r="J11" i="1" s="1"/>
  <c r="J10" i="1"/>
  <c r="J12" i="1" s="1"/>
  <c r="K8" i="1"/>
  <c r="K16" i="1" s="1"/>
  <c r="L5" i="1" s="1"/>
  <c r="L7" i="1" s="1"/>
  <c r="H25" i="1" l="1"/>
  <c r="H27" i="1"/>
  <c r="H28" i="1" s="1"/>
  <c r="I21" i="1"/>
  <c r="I20" i="1"/>
  <c r="I24" i="1" s="1"/>
  <c r="I23" i="1"/>
  <c r="I19" i="1"/>
  <c r="K9" i="1"/>
  <c r="K11" i="1" s="1"/>
  <c r="K10" i="1"/>
  <c r="K12" i="1" s="1"/>
  <c r="J17" i="1"/>
  <c r="L8" i="1"/>
  <c r="L16" i="1" s="1"/>
  <c r="M5" i="1" s="1"/>
  <c r="M7" i="1" s="1"/>
  <c r="K17" i="1" l="1"/>
  <c r="K19" i="1" s="1"/>
  <c r="I27" i="1"/>
  <c r="I28" i="1" s="1"/>
  <c r="J23" i="1"/>
  <c r="J19" i="1"/>
  <c r="J20" i="1"/>
  <c r="J24" i="1" s="1"/>
  <c r="J21" i="1"/>
  <c r="H29" i="1"/>
  <c r="H30" i="1" s="1"/>
  <c r="L10" i="1"/>
  <c r="L12" i="1" s="1"/>
  <c r="L9" i="1"/>
  <c r="L11" i="1" s="1"/>
  <c r="M8" i="1"/>
  <c r="M16" i="1" s="1"/>
  <c r="N5" i="1" s="1"/>
  <c r="O5" i="1" s="1"/>
  <c r="P5" i="1" s="1"/>
  <c r="K23" i="1" l="1"/>
  <c r="K21" i="1"/>
  <c r="K20" i="1"/>
  <c r="K24" i="1" s="1"/>
  <c r="I25" i="1"/>
  <c r="I29" i="1" s="1"/>
  <c r="I30" i="1" s="1"/>
  <c r="L17" i="1"/>
  <c r="L19" i="1" s="1"/>
  <c r="M10" i="1"/>
  <c r="M12" i="1" s="1"/>
  <c r="M9" i="1"/>
  <c r="M11" i="1" s="1"/>
  <c r="N7" i="1"/>
  <c r="K27" i="1" l="1"/>
  <c r="K28" i="1" s="1"/>
  <c r="L23" i="1"/>
  <c r="J25" i="1"/>
  <c r="J29" i="1" s="1"/>
  <c r="J30" i="1" s="1"/>
  <c r="J27" i="1"/>
  <c r="J28" i="1" s="1"/>
  <c r="L21" i="1"/>
  <c r="L20" i="1"/>
  <c r="L24" i="1" s="1"/>
  <c r="M17" i="1"/>
  <c r="M21" i="1" s="1"/>
  <c r="O7" i="1"/>
  <c r="N8" i="1"/>
  <c r="N16" i="1" s="1"/>
  <c r="O16" i="1" s="1"/>
  <c r="B15" i="7" s="1"/>
  <c r="M20" i="1" l="1"/>
  <c r="M24" i="1" s="1"/>
  <c r="L27" i="1"/>
  <c r="L28" i="1" s="1"/>
  <c r="K25" i="1"/>
  <c r="K29" i="1" s="1"/>
  <c r="K30" i="1" s="1"/>
  <c r="M23" i="1"/>
  <c r="M19" i="1"/>
  <c r="N9" i="1"/>
  <c r="N10" i="1"/>
  <c r="N12" i="1" s="1"/>
  <c r="O12" i="1" s="1"/>
  <c r="P12" i="1" s="1"/>
  <c r="P16" i="1"/>
  <c r="P7" i="1"/>
  <c r="B5" i="7"/>
  <c r="C5" i="7" s="1"/>
  <c r="L25" i="1" l="1"/>
  <c r="L29" i="1" s="1"/>
  <c r="L30" i="1" s="1"/>
  <c r="M27" i="1"/>
  <c r="M28" i="1" s="1"/>
  <c r="B11" i="7"/>
  <c r="N11" i="1"/>
  <c r="O11" i="1" s="1"/>
  <c r="P11" i="1" s="1"/>
  <c r="O9" i="1"/>
  <c r="M25" i="1" l="1"/>
  <c r="M29" i="1" s="1"/>
  <c r="M30" i="1" s="1"/>
  <c r="N17" i="1"/>
  <c r="B7" i="7"/>
  <c r="C7" i="7" s="1"/>
  <c r="P9" i="1"/>
  <c r="N23" i="1" l="1"/>
  <c r="O23" i="1" s="1"/>
  <c r="N21" i="1"/>
  <c r="O21" i="1" s="1"/>
  <c r="N19" i="1"/>
  <c r="N20" i="1"/>
  <c r="B9" i="7"/>
  <c r="O17" i="1"/>
  <c r="O20" i="1" l="1"/>
  <c r="N24" i="1"/>
  <c r="N27" i="1" s="1"/>
  <c r="O19" i="1"/>
  <c r="B20" i="7"/>
  <c r="C20" i="7" s="1"/>
  <c r="P21" i="1"/>
  <c r="P23" i="1"/>
  <c r="B21" i="7"/>
  <c r="C21" i="7" s="1"/>
  <c r="B19" i="7"/>
  <c r="C19" i="7" s="1"/>
  <c r="P20" i="1"/>
  <c r="P17" i="1"/>
  <c r="B16" i="7"/>
  <c r="C16" i="7" s="1"/>
  <c r="O24" i="1" l="1"/>
  <c r="N25" i="1"/>
  <c r="N29" i="1" s="1"/>
  <c r="N30" i="1" s="1"/>
  <c r="N28" i="1"/>
  <c r="P19" i="1"/>
  <c r="B18" i="7"/>
  <c r="C18" i="7" s="1"/>
  <c r="B22" i="7" l="1"/>
  <c r="C22" i="7" s="1"/>
  <c r="P24" i="1"/>
  <c r="O27" i="1"/>
  <c r="O28" i="1" l="1"/>
  <c r="B26" i="7" s="1"/>
  <c r="P27" i="1"/>
  <c r="P28" i="1" s="1"/>
  <c r="B25" i="7"/>
  <c r="C25" i="7" s="1"/>
  <c r="C26" i="7" s="1"/>
</calcChain>
</file>

<file path=xl/sharedStrings.xml><?xml version="1.0" encoding="utf-8"?>
<sst xmlns="http://schemas.openxmlformats.org/spreadsheetml/2006/main" count="12701" uniqueCount="4965">
  <si>
    <t>Valor</t>
  </si>
  <si>
    <t>Clientes</t>
  </si>
  <si>
    <t>Mes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</si>
  <si>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</si>
  <si>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</si>
  <si>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</si>
  <si>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</si>
  <si>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</si>
  <si>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</si>
  <si>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</si>
  <si>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</si>
  <si>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</si>
  <si>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Ingresos</t>
  </si>
  <si>
    <t>Tasa de Clientes</t>
  </si>
  <si>
    <t>Venta por unidad</t>
  </si>
  <si>
    <t>Costo por unidad</t>
  </si>
  <si>
    <t>Confort por Paquete</t>
  </si>
  <si>
    <t>Cantidad de paquetes</t>
  </si>
  <si>
    <t>Paquetes por cliente</t>
  </si>
  <si>
    <t>Mes 10</t>
  </si>
  <si>
    <t>Mes 11</t>
  </si>
  <si>
    <t>Mes 12</t>
  </si>
  <si>
    <t>YTD</t>
  </si>
  <si>
    <t>Costo por paquete</t>
  </si>
  <si>
    <t>Venta por paquete</t>
  </si>
  <si>
    <t>Tasa Aumento de Clientes</t>
  </si>
  <si>
    <t>Churn Clientes</t>
  </si>
  <si>
    <t>Costos Directos</t>
  </si>
  <si>
    <t>Costos Productos</t>
  </si>
  <si>
    <t>Costos MKT</t>
  </si>
  <si>
    <t>Costos Despachos</t>
  </si>
  <si>
    <t>Confort Elite</t>
  </si>
  <si>
    <t>Mts</t>
  </si>
  <si>
    <t>Q Rollos</t>
  </si>
  <si>
    <t>Lider</t>
  </si>
  <si>
    <t>Valor x Mt</t>
  </si>
  <si>
    <t>Valor x rollo</t>
  </si>
  <si>
    <t>Tottus</t>
  </si>
  <si>
    <t>Unimarc</t>
  </si>
  <si>
    <t>VeCo</t>
  </si>
  <si>
    <t>Dim de la hoja</t>
  </si>
  <si>
    <t>TT Costos</t>
  </si>
  <si>
    <t>MB $</t>
  </si>
  <si>
    <t>MB %</t>
  </si>
  <si>
    <t>Costos Acumulados</t>
  </si>
  <si>
    <t xml:space="preserve"> 0.0</t>
  </si>
  <si>
    <t xml:space="preserve"> Población de 65 años o mas</t>
  </si>
  <si>
    <t>Región De Magallanes Y De La Antártica Chilena</t>
  </si>
  <si>
    <t>Antártica</t>
  </si>
  <si>
    <t xml:space="preserve"> 132.0</t>
  </si>
  <si>
    <t xml:space="preserve"> Población  de 15 a 64 años</t>
  </si>
  <si>
    <t xml:space="preserve"> 19.0</t>
  </si>
  <si>
    <t xml:space="preserve"> Población  de 0 a 14 años</t>
  </si>
  <si>
    <t xml:space="preserve"> 151.0</t>
  </si>
  <si>
    <t xml:space="preserve"> Población total</t>
  </si>
  <si>
    <t xml:space="preserve"> 52.0</t>
  </si>
  <si>
    <t xml:space="preserve"> Mujer</t>
  </si>
  <si>
    <t xml:space="preserve"> 99.0</t>
  </si>
  <si>
    <t xml:space="preserve"> Hombre</t>
  </si>
  <si>
    <t xml:space="preserve"> 85.0</t>
  </si>
  <si>
    <t>Cabo De Hornos</t>
  </si>
  <si>
    <t xml:space="preserve"> 1379.0</t>
  </si>
  <si>
    <t xml:space="preserve"> 504.0</t>
  </si>
  <si>
    <t xml:space="preserve"> 1968.0</t>
  </si>
  <si>
    <t xml:space="preserve"> 952.0</t>
  </si>
  <si>
    <t xml:space="preserve"> 1016.0</t>
  </si>
  <si>
    <t xml:space="preserve"> 21.0</t>
  </si>
  <si>
    <t>Timaukel</t>
  </si>
  <si>
    <t xml:space="preserve"> 220.0</t>
  </si>
  <si>
    <t xml:space="preserve"> 35.0</t>
  </si>
  <si>
    <t xml:space="preserve"> 276.0</t>
  </si>
  <si>
    <t xml:space="preserve"> 100.0</t>
  </si>
  <si>
    <t xml:space="preserve"> 176.0</t>
  </si>
  <si>
    <t xml:space="preserve"> 941.0</t>
  </si>
  <si>
    <t>Porvenir</t>
  </si>
  <si>
    <t xml:space="preserve"> 5381.0</t>
  </si>
  <si>
    <t xml:space="preserve"> 1315.0</t>
  </si>
  <si>
    <t xml:space="preserve"> 7637.0</t>
  </si>
  <si>
    <t xml:space="preserve"> 3511.0</t>
  </si>
  <si>
    <t xml:space="preserve"> 4126.0</t>
  </si>
  <si>
    <t xml:space="preserve"> 20858.0</t>
  </si>
  <si>
    <t>Punta Arenas</t>
  </si>
  <si>
    <t xml:space="preserve"> 100162.0</t>
  </si>
  <si>
    <t xml:space="preserve"> 24693.0</t>
  </si>
  <si>
    <t xml:space="preserve"> 145713.0</t>
  </si>
  <si>
    <t xml:space="preserve"> 72031.0</t>
  </si>
  <si>
    <t xml:space="preserve"> 73682.0</t>
  </si>
  <si>
    <t xml:space="preserve"> 63.0</t>
  </si>
  <si>
    <t>Primavera</t>
  </si>
  <si>
    <t xml:space="preserve"> 506.0</t>
  </si>
  <si>
    <t xml:space="preserve"> 105.0</t>
  </si>
  <si>
    <t xml:space="preserve"> 674.0</t>
  </si>
  <si>
    <t xml:space="preserve"> 298.0</t>
  </si>
  <si>
    <t xml:space="preserve"> 376.0</t>
  </si>
  <si>
    <t xml:space="preserve"> 39.0</t>
  </si>
  <si>
    <t>Río Verde</t>
  </si>
  <si>
    <t xml:space="preserve"> 153.0</t>
  </si>
  <si>
    <t xml:space="preserve"> 13.0</t>
  </si>
  <si>
    <t xml:space="preserve"> 205.0</t>
  </si>
  <si>
    <t xml:space="preserve"> 77.0</t>
  </si>
  <si>
    <t xml:space="preserve"> 128.0</t>
  </si>
  <si>
    <t xml:space="preserve"> 75.0</t>
  </si>
  <si>
    <t>San Gregorio</t>
  </si>
  <si>
    <t xml:space="preserve"> 469.0</t>
  </si>
  <si>
    <t xml:space="preserve"> 107.0</t>
  </si>
  <si>
    <t xml:space="preserve"> 651.0</t>
  </si>
  <si>
    <t xml:space="preserve"> 289.0</t>
  </si>
  <si>
    <t xml:space="preserve"> 362.0</t>
  </si>
  <si>
    <t xml:space="preserve"> 36.0</t>
  </si>
  <si>
    <t>Laguna Blanca</t>
  </si>
  <si>
    <t xml:space="preserve"> 172.0</t>
  </si>
  <si>
    <t xml:space="preserve"> 40.0</t>
  </si>
  <si>
    <t xml:space="preserve"> 248.0</t>
  </si>
  <si>
    <t xml:space="preserve"> 101.0</t>
  </si>
  <si>
    <t xml:space="preserve"> 147.0</t>
  </si>
  <si>
    <t xml:space="preserve"> 3954.0</t>
  </si>
  <si>
    <t>Natales</t>
  </si>
  <si>
    <t xml:space="preserve"> 16481.0</t>
  </si>
  <si>
    <t xml:space="preserve"> 4196.0</t>
  </si>
  <si>
    <t xml:space="preserve"> 24631.0</t>
  </si>
  <si>
    <t xml:space="preserve"> 12117.0</t>
  </si>
  <si>
    <t xml:space="preserve"> 12514.0</t>
  </si>
  <si>
    <t xml:space="preserve"> 82.0</t>
  </si>
  <si>
    <t>Torres Del Paine</t>
  </si>
  <si>
    <t xml:space="preserve"> 932.0</t>
  </si>
  <si>
    <t xml:space="preserve"> 67.0</t>
  </si>
  <si>
    <t xml:space="preserve"> 1081.0</t>
  </si>
  <si>
    <t xml:space="preserve"> 481.0</t>
  </si>
  <si>
    <t xml:space="preserve"> 600.0</t>
  </si>
  <si>
    <t xml:space="preserve"> 26154.0</t>
  </si>
  <si>
    <t xml:space="preserve"> 125987.0</t>
  </si>
  <si>
    <t xml:space="preserve"> 31094.0</t>
  </si>
  <si>
    <t xml:space="preserve"> 183235.0</t>
  </si>
  <si>
    <t xml:space="preserve"> 90009.0</t>
  </si>
  <si>
    <t xml:space="preserve"> 93226.0</t>
  </si>
  <si>
    <t xml:space="preserve"> 60.0</t>
  </si>
  <si>
    <t>Región De Aysén Del Gral. Carlos Ibáñez Del Campo</t>
  </si>
  <si>
    <t>O’higgins</t>
  </si>
  <si>
    <t xml:space="preserve"> 485.0</t>
  </si>
  <si>
    <t xml:space="preserve"> 130.0</t>
  </si>
  <si>
    <t xml:space="preserve"> 675.0</t>
  </si>
  <si>
    <t xml:space="preserve"> 321.0</t>
  </si>
  <si>
    <t xml:space="preserve"> 354.0</t>
  </si>
  <si>
    <t>Tortel</t>
  </si>
  <si>
    <t xml:space="preserve"> 399.0</t>
  </si>
  <si>
    <t xml:space="preserve"> 126.0</t>
  </si>
  <si>
    <t xml:space="preserve"> 585.0</t>
  </si>
  <si>
    <t xml:space="preserve"> 287.0</t>
  </si>
  <si>
    <t xml:space="preserve"> 494.0</t>
  </si>
  <si>
    <t>Cochrane</t>
  </si>
  <si>
    <t xml:space="preserve"> 2540.0</t>
  </si>
  <si>
    <t xml:space="preserve"> 707.0</t>
  </si>
  <si>
    <t xml:space="preserve"> 3741.0</t>
  </si>
  <si>
    <t xml:space="preserve"> 1815.0</t>
  </si>
  <si>
    <t xml:space="preserve"> 1926.0</t>
  </si>
  <si>
    <t xml:space="preserve"> 815.0</t>
  </si>
  <si>
    <t>Chile Chico</t>
  </si>
  <si>
    <t xml:space="preserve"> 3448.0</t>
  </si>
  <si>
    <t xml:space="preserve"> 900.0</t>
  </si>
  <si>
    <t xml:space="preserve"> 5163.0</t>
  </si>
  <si>
    <t xml:space="preserve"> 2526.0</t>
  </si>
  <si>
    <t xml:space="preserve"> 2637.0</t>
  </si>
  <si>
    <t xml:space="preserve"> 582.0</t>
  </si>
  <si>
    <t>Río Ibáñez</t>
  </si>
  <si>
    <t xml:space="preserve"> 1743.0</t>
  </si>
  <si>
    <t xml:space="preserve"> 388.0</t>
  </si>
  <si>
    <t xml:space="preserve"> 2713.0</t>
  </si>
  <si>
    <t xml:space="preserve"> 1305.0</t>
  </si>
  <si>
    <t xml:space="preserve"> 1408.0</t>
  </si>
  <si>
    <t xml:space="preserve"> 7480.0</t>
  </si>
  <si>
    <t>Coyhaique</t>
  </si>
  <si>
    <t xml:space="preserve"> 41938.0</t>
  </si>
  <si>
    <t xml:space="preserve"> 12628.0</t>
  </si>
  <si>
    <t xml:space="preserve"> 62046.0</t>
  </si>
  <si>
    <t xml:space="preserve"> 31224.0</t>
  </si>
  <si>
    <t xml:space="preserve"> 30822.0</t>
  </si>
  <si>
    <t xml:space="preserve"> 3006.0</t>
  </si>
  <si>
    <t>Aysén</t>
  </si>
  <si>
    <t xml:space="preserve"> 17006.0</t>
  </si>
  <si>
    <t xml:space="preserve"> 5206.0</t>
  </si>
  <si>
    <t xml:space="preserve"> 25218.0</t>
  </si>
  <si>
    <t xml:space="preserve"> 12371.0</t>
  </si>
  <si>
    <t xml:space="preserve"> 12847.0</t>
  </si>
  <si>
    <t xml:space="preserve"> 667.0</t>
  </si>
  <si>
    <t>Cisnes</t>
  </si>
  <si>
    <t xml:space="preserve"> 4047.0</t>
  </si>
  <si>
    <t xml:space="preserve"> 1158.0</t>
  </si>
  <si>
    <t xml:space="preserve"> 5872.0</t>
  </si>
  <si>
    <t xml:space="preserve"> 2839.0</t>
  </si>
  <si>
    <t xml:space="preserve"> 3033.0</t>
  </si>
  <si>
    <t xml:space="preserve"> 171.0</t>
  </si>
  <si>
    <t>Lago Verde</t>
  </si>
  <si>
    <t xml:space="preserve"> 607.0</t>
  </si>
  <si>
    <t xml:space="preserve"> 136.0</t>
  </si>
  <si>
    <t xml:space="preserve"> 914.0</t>
  </si>
  <si>
    <t xml:space="preserve"> 430.0</t>
  </si>
  <si>
    <t xml:space="preserve"> 484.0</t>
  </si>
  <si>
    <t xml:space="preserve"> 160.0</t>
  </si>
  <si>
    <t>Guaitecas</t>
  </si>
  <si>
    <t xml:space="preserve"> 1128.0</t>
  </si>
  <si>
    <t xml:space="preserve"> 323.0</t>
  </si>
  <si>
    <t xml:space="preserve"> 1611.0</t>
  </si>
  <si>
    <t xml:space="preserve"> 769.0</t>
  </si>
  <si>
    <t xml:space="preserve"> 842.0</t>
  </si>
  <si>
    <t xml:space="preserve"> 13495.0</t>
  </si>
  <si>
    <t xml:space="preserve"> 73341.0</t>
  </si>
  <si>
    <t xml:space="preserve"> 21702.0</t>
  </si>
  <si>
    <t xml:space="preserve"> 108538.0</t>
  </si>
  <si>
    <t xml:space="preserve"> 53887.0</t>
  </si>
  <si>
    <t xml:space="preserve"> 54651.0</t>
  </si>
  <si>
    <t xml:space="preserve"> 348.0</t>
  </si>
  <si>
    <t>Región De Los Lagos</t>
  </si>
  <si>
    <t>Palena</t>
  </si>
  <si>
    <t xml:space="preserve"> 1202.0</t>
  </si>
  <si>
    <t xml:space="preserve"> 1826.0</t>
  </si>
  <si>
    <t xml:space="preserve"> 909.0</t>
  </si>
  <si>
    <t xml:space="preserve"> 917.0</t>
  </si>
  <si>
    <t xml:space="preserve"> 460.0</t>
  </si>
  <si>
    <t>Futaleufú</t>
  </si>
  <si>
    <t xml:space="preserve"> 1967.0</t>
  </si>
  <si>
    <t xml:space="preserve"> 2912.0</t>
  </si>
  <si>
    <t xml:space="preserve"> 1446.0</t>
  </si>
  <si>
    <t xml:space="preserve"> 1466.0</t>
  </si>
  <si>
    <t xml:space="preserve"> 2807.0</t>
  </si>
  <si>
    <t>Quellón</t>
  </si>
  <si>
    <t xml:space="preserve"> 21137.0</t>
  </si>
  <si>
    <t xml:space="preserve"> 6192.0</t>
  </si>
  <si>
    <t xml:space="preserve"> 30136.0</t>
  </si>
  <si>
    <t xml:space="preserve"> 14951.0</t>
  </si>
  <si>
    <t xml:space="preserve"> 15185.0</t>
  </si>
  <si>
    <t xml:space="preserve"> 729.0</t>
  </si>
  <si>
    <t>Chaitén</t>
  </si>
  <si>
    <t xml:space="preserve"> 3509.0</t>
  </si>
  <si>
    <t xml:space="preserve"> 840.0</t>
  </si>
  <si>
    <t xml:space="preserve"> 5078.0</t>
  </si>
  <si>
    <t xml:space="preserve"> 2445.0</t>
  </si>
  <si>
    <t xml:space="preserve"> 2633.0</t>
  </si>
  <si>
    <t xml:space="preserve"> 913.0</t>
  </si>
  <si>
    <t>Queilén</t>
  </si>
  <si>
    <t xml:space="preserve"> 3661.0</t>
  </si>
  <si>
    <t xml:space="preserve"> 968.0</t>
  </si>
  <si>
    <t xml:space="preserve"> 5542.0</t>
  </si>
  <si>
    <t xml:space="preserve"> 2745.0</t>
  </si>
  <si>
    <t xml:space="preserve"> 2797.0</t>
  </si>
  <si>
    <t xml:space="preserve"> 2383.0</t>
  </si>
  <si>
    <t>Chonchi</t>
  </si>
  <si>
    <t xml:space="preserve"> 11089.0</t>
  </si>
  <si>
    <t xml:space="preserve"> 2795.0</t>
  </si>
  <si>
    <t xml:space="preserve"> 16267.0</t>
  </si>
  <si>
    <t xml:space="preserve"> 8182.0</t>
  </si>
  <si>
    <t xml:space="preserve"> 8085.0</t>
  </si>
  <si>
    <t xml:space="preserve"> 853.0</t>
  </si>
  <si>
    <t>Puqueldón</t>
  </si>
  <si>
    <t xml:space="preserve"> 2691.0</t>
  </si>
  <si>
    <t xml:space="preserve"> 644.0</t>
  </si>
  <si>
    <t xml:space="preserve"> 4188.0</t>
  </si>
  <si>
    <t xml:space="preserve"> 2080.0</t>
  </si>
  <si>
    <t xml:space="preserve"> 2108.0</t>
  </si>
  <si>
    <t xml:space="preserve"> 6633.0</t>
  </si>
  <si>
    <t>Castro</t>
  </si>
  <si>
    <t xml:space="preserve"> 33198.0</t>
  </si>
  <si>
    <t xml:space="preserve"> 8896.0</t>
  </si>
  <si>
    <t xml:space="preserve"> 48727.0</t>
  </si>
  <si>
    <t xml:space="preserve"> 24642.0</t>
  </si>
  <si>
    <t xml:space="preserve"> 24085.0</t>
  </si>
  <si>
    <t xml:space="preserve"> 1526.0</t>
  </si>
  <si>
    <t>Quinchao</t>
  </si>
  <si>
    <t xml:space="preserve"> 5290.0</t>
  </si>
  <si>
    <t xml:space="preserve"> 1370.0</t>
  </si>
  <si>
    <t xml:space="preserve"> 8186.0</t>
  </si>
  <si>
    <t xml:space="preserve"> 4152.0</t>
  </si>
  <si>
    <t xml:space="preserve"> 4034.0</t>
  </si>
  <si>
    <t xml:space="preserve"> 789.0</t>
  </si>
  <si>
    <t>Curaco De Vélez</t>
  </si>
  <si>
    <t xml:space="preserve"> 2612.0</t>
  </si>
  <si>
    <t xml:space="preserve"> 734.0</t>
  </si>
  <si>
    <t xml:space="preserve"> 4135.0</t>
  </si>
  <si>
    <t xml:space="preserve"> 2098.0</t>
  </si>
  <si>
    <t xml:space="preserve"> 2037.0</t>
  </si>
  <si>
    <t xml:space="preserve"> 2232.0</t>
  </si>
  <si>
    <t>Dalcahue</t>
  </si>
  <si>
    <t xml:space="preserve"> 10341.0</t>
  </si>
  <si>
    <t xml:space="preserve"> 2883.0</t>
  </si>
  <si>
    <t xml:space="preserve"> 15456.0</t>
  </si>
  <si>
    <t xml:space="preserve"> 7726.0</t>
  </si>
  <si>
    <t xml:space="preserve"> 7730.0</t>
  </si>
  <si>
    <t xml:space="preserve"> 1697.0</t>
  </si>
  <si>
    <t>Quemchi</t>
  </si>
  <si>
    <t xml:space="preserve"> 5620.0</t>
  </si>
  <si>
    <t xml:space="preserve"> 1437.0</t>
  </si>
  <si>
    <t xml:space="preserve"> 8754.0</t>
  </si>
  <si>
    <t xml:space="preserve"> 4343.0</t>
  </si>
  <si>
    <t xml:space="preserve"> 4411.0</t>
  </si>
  <si>
    <t xml:space="preserve"> 1366.0</t>
  </si>
  <si>
    <t>Hualaihué</t>
  </si>
  <si>
    <t xml:space="preserve"> 6376.0</t>
  </si>
  <si>
    <t xml:space="preserve"> 1844.0</t>
  </si>
  <si>
    <t xml:space="preserve"> 9586.0</t>
  </si>
  <si>
    <t xml:space="preserve"> 4713.0</t>
  </si>
  <si>
    <t xml:space="preserve"> 4873.0</t>
  </si>
  <si>
    <t xml:space="preserve"> 6928.0</t>
  </si>
  <si>
    <t>Ancud</t>
  </si>
  <si>
    <t xml:space="preserve"> 28368.0</t>
  </si>
  <si>
    <t xml:space="preserve"> 7228.0</t>
  </si>
  <si>
    <t xml:space="preserve"> 42524.0</t>
  </si>
  <si>
    <t xml:space="preserve"> 21355.0</t>
  </si>
  <si>
    <t xml:space="preserve"> 21169.0</t>
  </si>
  <si>
    <t xml:space="preserve"> 6047.0</t>
  </si>
  <si>
    <t>Calbuco</t>
  </si>
  <si>
    <t xml:space="preserve"> 24728.0</t>
  </si>
  <si>
    <t xml:space="preserve"> 6851.0</t>
  </si>
  <si>
    <t xml:space="preserve"> 37626.0</t>
  </si>
  <si>
    <t xml:space="preserve"> 18717.0</t>
  </si>
  <si>
    <t xml:space="preserve"> 18909.0</t>
  </si>
  <si>
    <t>Cochamó</t>
  </si>
  <si>
    <t xml:space="preserve"> 2563.0</t>
  </si>
  <si>
    <t xml:space="preserve"> 569.0</t>
  </si>
  <si>
    <t xml:space="preserve"> 3947.0</t>
  </si>
  <si>
    <t xml:space="preserve"> 1916.0</t>
  </si>
  <si>
    <t xml:space="preserve"> 2031.0</t>
  </si>
  <si>
    <t xml:space="preserve"> 2975.0</t>
  </si>
  <si>
    <t>Maullín</t>
  </si>
  <si>
    <t xml:space="preserve"> 9531.0</t>
  </si>
  <si>
    <t xml:space="preserve"> 2229.0</t>
  </si>
  <si>
    <t xml:space="preserve"> 14735.0</t>
  </si>
  <si>
    <t xml:space="preserve"> 7284.0</t>
  </si>
  <si>
    <t xml:space="preserve"> 7451.0</t>
  </si>
  <si>
    <t xml:space="preserve"> 30251.0</t>
  </si>
  <si>
    <t>Puerto Montt</t>
  </si>
  <si>
    <t xml:space="preserve"> 196816.0</t>
  </si>
  <si>
    <t xml:space="preserve"> 53888.0</t>
  </si>
  <si>
    <t xml:space="preserve"> 280955.0</t>
  </si>
  <si>
    <t xml:space="preserve"> 141496.0</t>
  </si>
  <si>
    <t xml:space="preserve"> 139459.0</t>
  </si>
  <si>
    <t xml:space="preserve"> 3299.0</t>
  </si>
  <si>
    <t>Los Muermos</t>
  </si>
  <si>
    <t xml:space="preserve"> 11516.0</t>
  </si>
  <si>
    <t xml:space="preserve"> 3017.0</t>
  </si>
  <si>
    <t xml:space="preserve"> 17832.0</t>
  </si>
  <si>
    <t xml:space="preserve"> 8836.0</t>
  </si>
  <si>
    <t xml:space="preserve"> 8996.0</t>
  </si>
  <si>
    <t xml:space="preserve"> 6320.0</t>
  </si>
  <si>
    <t>Puerto Varas</t>
  </si>
  <si>
    <t xml:space="preserve"> 35029.0</t>
  </si>
  <si>
    <t xml:space="preserve"> 9967.0</t>
  </si>
  <si>
    <t xml:space="preserve"> 51316.0</t>
  </si>
  <si>
    <t xml:space="preserve"> 25901.0</t>
  </si>
  <si>
    <t xml:space="preserve"> 25415.0</t>
  </si>
  <si>
    <t xml:space="preserve"> 2791.0</t>
  </si>
  <si>
    <t>Llanquihue</t>
  </si>
  <si>
    <t xml:space="preserve"> 12786.0</t>
  </si>
  <si>
    <t xml:space="preserve"> 3286.0</t>
  </si>
  <si>
    <t xml:space="preserve"> 18863.0</t>
  </si>
  <si>
    <t xml:space="preserve"> 9498.0</t>
  </si>
  <si>
    <t xml:space="preserve"> 9365.0</t>
  </si>
  <si>
    <t xml:space="preserve"> 2342.0</t>
  </si>
  <si>
    <t>Fresia</t>
  </si>
  <si>
    <t xml:space="preserve"> 8220.0</t>
  </si>
  <si>
    <t xml:space="preserve"> 2009.0</t>
  </si>
  <si>
    <t xml:space="preserve"> 12571.0</t>
  </si>
  <si>
    <t xml:space="preserve"> 6260.0</t>
  </si>
  <si>
    <t xml:space="preserve"> 6311.0</t>
  </si>
  <si>
    <t xml:space="preserve"> 3082.0</t>
  </si>
  <si>
    <t>Frutillar</t>
  </si>
  <si>
    <t xml:space="preserve"> 13978.0</t>
  </si>
  <si>
    <t xml:space="preserve"> 3757.0</t>
  </si>
  <si>
    <t xml:space="preserve"> 20817.0</t>
  </si>
  <si>
    <t xml:space="preserve"> 10433.0</t>
  </si>
  <si>
    <t xml:space="preserve"> 10384.0</t>
  </si>
  <si>
    <t xml:space="preserve"> 1422.0</t>
  </si>
  <si>
    <t>Puerto Octay</t>
  </si>
  <si>
    <t xml:space="preserve"> 6120.0</t>
  </si>
  <si>
    <t xml:space="preserve"> 1514.0</t>
  </si>
  <si>
    <t xml:space="preserve"> 9056.0</t>
  </si>
  <si>
    <t xml:space="preserve"> 4453.0</t>
  </si>
  <si>
    <t xml:space="preserve"> 4603.0</t>
  </si>
  <si>
    <t xml:space="preserve"> 3927.0</t>
  </si>
  <si>
    <t>Purranque</t>
  </si>
  <si>
    <t xml:space="preserve"> 13457.0</t>
  </si>
  <si>
    <t xml:space="preserve"> 3584.0</t>
  </si>
  <si>
    <t xml:space="preserve"> 20968.0</t>
  </si>
  <si>
    <t xml:space="preserve"> 10556.0</t>
  </si>
  <si>
    <t xml:space="preserve"> 10412.0</t>
  </si>
  <si>
    <t xml:space="preserve"> 2756.0</t>
  </si>
  <si>
    <t>Río Negro</t>
  </si>
  <si>
    <t xml:space="preserve"> 9045.0</t>
  </si>
  <si>
    <t xml:space="preserve"> 2284.0</t>
  </si>
  <si>
    <t xml:space="preserve"> 14085.0</t>
  </si>
  <si>
    <t xml:space="preserve"> 7030.0</t>
  </si>
  <si>
    <t xml:space="preserve"> 7055.0</t>
  </si>
  <si>
    <t>Puyehue</t>
  </si>
  <si>
    <t xml:space="preserve"> 7771.0</t>
  </si>
  <si>
    <t xml:space="preserve"> 1949.0</t>
  </si>
  <si>
    <t xml:space="preserve"> 11818.0</t>
  </si>
  <si>
    <t xml:space="preserve"> 5883.0</t>
  </si>
  <si>
    <t xml:space="preserve"> 5935.0</t>
  </si>
  <si>
    <t xml:space="preserve"> 1680.0</t>
  </si>
  <si>
    <t>San Juan De La Costa</t>
  </si>
  <si>
    <t xml:space="preserve"> 4670.0</t>
  </si>
  <si>
    <t xml:space="preserve"> 1074.0</t>
  </si>
  <si>
    <t xml:space="preserve"> 7424.0</t>
  </si>
  <si>
    <t xml:space="preserve"> 3609.0</t>
  </si>
  <si>
    <t xml:space="preserve"> 3815.0</t>
  </si>
  <si>
    <t xml:space="preserve"> 25903.0</t>
  </si>
  <si>
    <t>Osorno</t>
  </si>
  <si>
    <t xml:space="preserve"> 119379.0</t>
  </si>
  <si>
    <t xml:space="preserve"> 31022.0</t>
  </si>
  <si>
    <t xml:space="preserve"> 176304.0</t>
  </si>
  <si>
    <t xml:space="preserve"> 89831.0</t>
  </si>
  <si>
    <t xml:space="preserve"> 86473.0</t>
  </si>
  <si>
    <t xml:space="preserve"> 2204.0</t>
  </si>
  <si>
    <t>San Pablo</t>
  </si>
  <si>
    <t xml:space="preserve"> 6679.0</t>
  </si>
  <si>
    <t xml:space="preserve"> 1654.0</t>
  </si>
  <si>
    <t xml:space="preserve"> 10537.0</t>
  </si>
  <si>
    <t xml:space="preserve"> 5268.0</t>
  </si>
  <si>
    <t xml:space="preserve"> 5269.0</t>
  </si>
  <si>
    <t xml:space="preserve"> 127576.0</t>
  </si>
  <si>
    <t xml:space="preserve"> 619349.0</t>
  </si>
  <si>
    <t xml:space="preserve"> 165246.0</t>
  </si>
  <si>
    <t xml:space="preserve"> 912171.0</t>
  </si>
  <si>
    <t xml:space="preserve"> 458758.0</t>
  </si>
  <si>
    <t xml:space="preserve"> 453413.0</t>
  </si>
  <si>
    <t xml:space="preserve"> 6026.0</t>
  </si>
  <si>
    <t>Región De Los Ríos</t>
  </si>
  <si>
    <t xml:space="preserve"> 21326.0</t>
  </si>
  <si>
    <t xml:space="preserve"> 5646.0</t>
  </si>
  <si>
    <t xml:space="preserve"> 32998.0</t>
  </si>
  <si>
    <t xml:space="preserve"> 16746.0</t>
  </si>
  <si>
    <t xml:space="preserve"> 16252.0</t>
  </si>
  <si>
    <t xml:space="preserve"> 1877.0</t>
  </si>
  <si>
    <t xml:space="preserve"> 6525.0</t>
  </si>
  <si>
    <t xml:space="preserve"> 1870.0</t>
  </si>
  <si>
    <t xml:space="preserve"> 10272.0</t>
  </si>
  <si>
    <t xml:space="preserve"> 5146.0</t>
  </si>
  <si>
    <t xml:space="preserve"> 5126.0</t>
  </si>
  <si>
    <t xml:space="preserve"> 6918.0</t>
  </si>
  <si>
    <t xml:space="preserve"> 25655.0</t>
  </si>
  <si>
    <t xml:space="preserve"> 7132.0</t>
  </si>
  <si>
    <t xml:space="preserve"> 39705.0</t>
  </si>
  <si>
    <t xml:space="preserve"> 20236.0</t>
  </si>
  <si>
    <t xml:space="preserve"> 19469.0</t>
  </si>
  <si>
    <t xml:space="preserve"> 2286.0</t>
  </si>
  <si>
    <t xml:space="preserve"> 9876.0</t>
  </si>
  <si>
    <t xml:space="preserve"> 3026.0</t>
  </si>
  <si>
    <t xml:space="preserve"> 15188.0</t>
  </si>
  <si>
    <t xml:space="preserve"> 7710.0</t>
  </si>
  <si>
    <t xml:space="preserve"> 7478.0</t>
  </si>
  <si>
    <t xml:space="preserve"> 3570.0</t>
  </si>
  <si>
    <t xml:space="preserve"> 13516.0</t>
  </si>
  <si>
    <t xml:space="preserve"> 3856.0</t>
  </si>
  <si>
    <t xml:space="preserve"> 20942.0</t>
  </si>
  <si>
    <t xml:space="preserve"> 10667.0</t>
  </si>
  <si>
    <t xml:space="preserve"> 10275.0</t>
  </si>
  <si>
    <t xml:space="preserve"> 1044.0</t>
  </si>
  <si>
    <t xml:space="preserve"> 3484.0</t>
  </si>
  <si>
    <t xml:space="preserve"> 896.0</t>
  </si>
  <si>
    <t xml:space="preserve"> 5424.0</t>
  </si>
  <si>
    <t xml:space="preserve"> 2736.0</t>
  </si>
  <si>
    <t xml:space="preserve"> 2688.0</t>
  </si>
  <si>
    <t xml:space="preserve"> 3283.0</t>
  </si>
  <si>
    <t xml:space="preserve"> 13400.0</t>
  </si>
  <si>
    <t xml:space="preserve"> 3837.0</t>
  </si>
  <si>
    <t xml:space="preserve"> 20520.0</t>
  </si>
  <si>
    <t xml:space="preserve"> 10372.0</t>
  </si>
  <si>
    <t xml:space="preserve"> 10148.0</t>
  </si>
  <si>
    <t xml:space="preserve"> 25441.0</t>
  </si>
  <si>
    <t xml:space="preserve"> 126057.0</t>
  </si>
  <si>
    <t xml:space="preserve"> 30588.0</t>
  </si>
  <si>
    <t xml:space="preserve"> 182086.0</t>
  </si>
  <si>
    <t xml:space="preserve"> 94058.0</t>
  </si>
  <si>
    <t xml:space="preserve"> 88028.0</t>
  </si>
  <si>
    <t xml:space="preserve"> 1279.0</t>
  </si>
  <si>
    <t xml:space="preserve"> 4697.0</t>
  </si>
  <si>
    <t xml:space="preserve"> 1399.0</t>
  </si>
  <si>
    <t xml:space="preserve"> 7375.0</t>
  </si>
  <si>
    <t xml:space="preserve"> 3748.0</t>
  </si>
  <si>
    <t xml:space="preserve"> 3627.0</t>
  </si>
  <si>
    <t xml:space="preserve"> 5742.0</t>
  </si>
  <si>
    <t xml:space="preserve"> 23607.0</t>
  </si>
  <si>
    <t xml:space="preserve"> 6871.0</t>
  </si>
  <si>
    <t xml:space="preserve"> 36220.0</t>
  </si>
  <si>
    <t xml:space="preserve"> 18348.0</t>
  </si>
  <si>
    <t xml:space="preserve"> 17872.0</t>
  </si>
  <si>
    <t xml:space="preserve"> 2956.0</t>
  </si>
  <si>
    <t xml:space="preserve"> 11591.0</t>
  </si>
  <si>
    <t xml:space="preserve"> 3503.0</t>
  </si>
  <si>
    <t xml:space="preserve"> 18050.0</t>
  </si>
  <si>
    <t xml:space="preserve"> 9235.0</t>
  </si>
  <si>
    <t xml:space="preserve"> 8815.0</t>
  </si>
  <si>
    <t xml:space="preserve"> 15392.0</t>
  </si>
  <si>
    <t xml:space="preserve"> 5030.0</t>
  </si>
  <si>
    <t xml:space="preserve"> 24006.0</t>
  </si>
  <si>
    <t xml:space="preserve"> 12244.0</t>
  </si>
  <si>
    <t xml:space="preserve"> 11762.0</t>
  </si>
  <si>
    <t xml:space="preserve"> 64006.0</t>
  </si>
  <si>
    <t xml:space="preserve"> 275126.0</t>
  </si>
  <si>
    <t xml:space="preserve"> 73654.0</t>
  </si>
  <si>
    <t xml:space="preserve"> 412786.0</t>
  </si>
  <si>
    <t xml:space="preserve"> 211246.0</t>
  </si>
  <si>
    <t xml:space="preserve"> 201540.0</t>
  </si>
  <si>
    <t xml:space="preserve"> 4496.0</t>
  </si>
  <si>
    <t>Región De La Araucanía</t>
  </si>
  <si>
    <t>Loncoche</t>
  </si>
  <si>
    <t xml:space="preserve"> 15557.0</t>
  </si>
  <si>
    <t xml:space="preserve"> 4732.0</t>
  </si>
  <si>
    <t xml:space="preserve"> 24785.0</t>
  </si>
  <si>
    <t xml:space="preserve"> 12633.0</t>
  </si>
  <si>
    <t xml:space="preserve"> 12152.0</t>
  </si>
  <si>
    <t xml:space="preserve"> 1235.0</t>
  </si>
  <si>
    <t>Curarrehue</t>
  </si>
  <si>
    <t xml:space="preserve"> 4968.0</t>
  </si>
  <si>
    <t xml:space="preserve"> 1670.0</t>
  </si>
  <si>
    <t xml:space="preserve"> 7873.0</t>
  </si>
  <si>
    <t xml:space="preserve"> 3937.0</t>
  </si>
  <si>
    <t xml:space="preserve"> 3936.0</t>
  </si>
  <si>
    <t xml:space="preserve"> 9044.0</t>
  </si>
  <si>
    <t>Villarrica</t>
  </si>
  <si>
    <t xml:space="preserve"> 39731.0</t>
  </si>
  <si>
    <t xml:space="preserve"> 11900.0</t>
  </si>
  <si>
    <t xml:space="preserve"> 60675.0</t>
  </si>
  <si>
    <t xml:space="preserve"> 30965.0</t>
  </si>
  <si>
    <t xml:space="preserve"> 29710.0</t>
  </si>
  <si>
    <t xml:space="preserve"> 4072.0</t>
  </si>
  <si>
    <t>Pucón</t>
  </si>
  <si>
    <t xml:space="preserve"> 20539.0</t>
  </si>
  <si>
    <t xml:space="preserve"> 6101.0</t>
  </si>
  <si>
    <t xml:space="preserve"> 30712.0</t>
  </si>
  <si>
    <t xml:space="preserve"> 15605.0</t>
  </si>
  <si>
    <t xml:space="preserve"> 15107.0</t>
  </si>
  <si>
    <t>Toltén</t>
  </si>
  <si>
    <t xml:space="preserve"> 6190.0</t>
  </si>
  <si>
    <t xml:space="preserve"> 1831.0</t>
  </si>
  <si>
    <t xml:space="preserve"> 9937.0</t>
  </si>
  <si>
    <t xml:space="preserve"> 4988.0</t>
  </si>
  <si>
    <t xml:space="preserve"> 4949.0</t>
  </si>
  <si>
    <t xml:space="preserve"> 3094.0</t>
  </si>
  <si>
    <t>Gorbea</t>
  </si>
  <si>
    <t xml:space="preserve"> 9535.0</t>
  </si>
  <si>
    <t xml:space="preserve"> 2447.0</t>
  </si>
  <si>
    <t xml:space="preserve"> 15076.0</t>
  </si>
  <si>
    <t xml:space="preserve"> 7717.0</t>
  </si>
  <si>
    <t xml:space="preserve"> 7359.0</t>
  </si>
  <si>
    <t xml:space="preserve"> 3234.0</t>
  </si>
  <si>
    <t>Teodoro Schmidt</t>
  </si>
  <si>
    <t xml:space="preserve"> 9685.0</t>
  </si>
  <si>
    <t xml:space="preserve"> 2825.0</t>
  </si>
  <si>
    <t xml:space="preserve"> 15744.0</t>
  </si>
  <si>
    <t xml:space="preserve"> 7942.0</t>
  </si>
  <si>
    <t xml:space="preserve"> 7802.0</t>
  </si>
  <si>
    <t xml:space="preserve"> 4969.0</t>
  </si>
  <si>
    <t>Pitrufquén</t>
  </si>
  <si>
    <t xml:space="preserve"> 16872.0</t>
  </si>
  <si>
    <t xml:space="preserve"> 4776.0</t>
  </si>
  <si>
    <t xml:space="preserve"> 26617.0</t>
  </si>
  <si>
    <t xml:space="preserve"> 13707.0</t>
  </si>
  <si>
    <t xml:space="preserve"> 12910.0</t>
  </si>
  <si>
    <t xml:space="preserve"> 4484.0</t>
  </si>
  <si>
    <t>Freire</t>
  </si>
  <si>
    <t xml:space="preserve"> 16459.0</t>
  </si>
  <si>
    <t xml:space="preserve"> 4545.0</t>
  </si>
  <si>
    <t xml:space="preserve"> 25488.0</t>
  </si>
  <si>
    <t xml:space="preserve"> 12819.0</t>
  </si>
  <si>
    <t xml:space="preserve"> 12669.0</t>
  </si>
  <si>
    <t xml:space="preserve"> 3859.0</t>
  </si>
  <si>
    <t>Cunco</t>
  </si>
  <si>
    <t xml:space="preserve"> 11070.0</t>
  </si>
  <si>
    <t xml:space="preserve"> 3139.0</t>
  </si>
  <si>
    <t xml:space="preserve"> 18068.0</t>
  </si>
  <si>
    <t xml:space="preserve"> 9095.0</t>
  </si>
  <si>
    <t xml:space="preserve"> 8973.0</t>
  </si>
  <si>
    <t xml:space="preserve"> 1357.0</t>
  </si>
  <si>
    <t>Melipeuco</t>
  </si>
  <si>
    <t xml:space="preserve"> 3830.0</t>
  </si>
  <si>
    <t xml:space="preserve"> 1132.0</t>
  </si>
  <si>
    <t xml:space="preserve"> 6319.0</t>
  </si>
  <si>
    <t xml:space="preserve"> 3187.0</t>
  </si>
  <si>
    <t xml:space="preserve"> 3132.0</t>
  </si>
  <si>
    <t xml:space="preserve"> 2523.0</t>
  </si>
  <si>
    <t>Saavedra</t>
  </si>
  <si>
    <t xml:space="preserve"> 7679.0</t>
  </si>
  <si>
    <t xml:space="preserve"> 2458.0</t>
  </si>
  <si>
    <t xml:space="preserve"> 12660.0</t>
  </si>
  <si>
    <t xml:space="preserve"> 6426.0</t>
  </si>
  <si>
    <t xml:space="preserve"> 6234.0</t>
  </si>
  <si>
    <t xml:space="preserve"> 10392.0</t>
  </si>
  <si>
    <t>Padre Las Casas</t>
  </si>
  <si>
    <t xml:space="preserve"> 57044.0</t>
  </si>
  <si>
    <t xml:space="preserve"> 17937.0</t>
  </si>
  <si>
    <t xml:space="preserve"> 85373.0</t>
  </si>
  <si>
    <t xml:space="preserve"> 43812.0</t>
  </si>
  <si>
    <t xml:space="preserve"> 41561.0</t>
  </si>
  <si>
    <t xml:space="preserve"> 5984.0</t>
  </si>
  <si>
    <t>Nueva Imperial</t>
  </si>
  <si>
    <t xml:space="preserve"> 21461.0</t>
  </si>
  <si>
    <t xml:space="preserve"> 6706.0</t>
  </si>
  <si>
    <t xml:space="preserve"> 34151.0</t>
  </si>
  <si>
    <t xml:space="preserve"> 17468.0</t>
  </si>
  <si>
    <t xml:space="preserve"> 16683.0</t>
  </si>
  <si>
    <t xml:space="preserve"> 41512.0</t>
  </si>
  <si>
    <t>Temuco</t>
  </si>
  <si>
    <t xml:space="preserve"> 212401.0</t>
  </si>
  <si>
    <t xml:space="preserve"> 55783.0</t>
  </si>
  <si>
    <t xml:space="preserve"> 309696.0</t>
  </si>
  <si>
    <t xml:space="preserve"> 160093.0</t>
  </si>
  <si>
    <t xml:space="preserve"> 149603.0</t>
  </si>
  <si>
    <t xml:space="preserve"> 4710.0</t>
  </si>
  <si>
    <t>Carahue</t>
  </si>
  <si>
    <t xml:space="preserve"> 15880.0</t>
  </si>
  <si>
    <t xml:space="preserve"> 4925.0</t>
  </si>
  <si>
    <t xml:space="preserve"> 25515.0</t>
  </si>
  <si>
    <t xml:space="preserve"> 12878.0</t>
  </si>
  <si>
    <t xml:space="preserve"> 12637.0</t>
  </si>
  <si>
    <t xml:space="preserve"> 4682.0</t>
  </si>
  <si>
    <t>Vilcún</t>
  </si>
  <si>
    <t xml:space="preserve"> 21336.0</t>
  </si>
  <si>
    <t xml:space="preserve"> 6724.0</t>
  </si>
  <si>
    <t xml:space="preserve"> 32742.0</t>
  </si>
  <si>
    <t xml:space="preserve"> 16737.0</t>
  </si>
  <si>
    <t xml:space="preserve"> 16005.0</t>
  </si>
  <si>
    <t xml:space="preserve"> 2231.0</t>
  </si>
  <si>
    <t>Cholchol</t>
  </si>
  <si>
    <t xml:space="preserve"> 7800.0</t>
  </si>
  <si>
    <t xml:space="preserve"> 2616.0</t>
  </si>
  <si>
    <t xml:space="preserve"> 12647.0</t>
  </si>
  <si>
    <t xml:space="preserve"> 6405.0</t>
  </si>
  <si>
    <t xml:space="preserve"> 6242.0</t>
  </si>
  <si>
    <t xml:space="preserve"> 6134.0</t>
  </si>
  <si>
    <t>Lautaro</t>
  </si>
  <si>
    <t xml:space="preserve"> 27270.0</t>
  </si>
  <si>
    <t xml:space="preserve"> 8480.0</t>
  </si>
  <si>
    <t xml:space="preserve"> 41884.0</t>
  </si>
  <si>
    <t xml:space="preserve"> 21480.0</t>
  </si>
  <si>
    <t xml:space="preserve"> 20404.0</t>
  </si>
  <si>
    <t xml:space="preserve"> 1753.0</t>
  </si>
  <si>
    <t>Lonquimay</t>
  </si>
  <si>
    <t xml:space="preserve"> 7135.0</t>
  </si>
  <si>
    <t xml:space="preserve"> 2221.0</t>
  </si>
  <si>
    <t xml:space="preserve"> 11109.0</t>
  </si>
  <si>
    <t xml:space="preserve"> 5549.0</t>
  </si>
  <si>
    <t xml:space="preserve"> 5560.0</t>
  </si>
  <si>
    <t xml:space="preserve"> 3606.0</t>
  </si>
  <si>
    <t>Curacautín</t>
  </si>
  <si>
    <t xml:space="preserve"> 11332.0</t>
  </si>
  <si>
    <t xml:space="preserve"> 3273.0</t>
  </si>
  <si>
    <t xml:space="preserve"> 18211.0</t>
  </si>
  <si>
    <t xml:space="preserve"> 9343.0</t>
  </si>
  <si>
    <t xml:space="preserve"> 8868.0</t>
  </si>
  <si>
    <t xml:space="preserve"> 1208.0</t>
  </si>
  <si>
    <t>Perquenco</t>
  </si>
  <si>
    <t xml:space="preserve"> 4650.0</t>
  </si>
  <si>
    <t xml:space="preserve"> 1411.0</t>
  </si>
  <si>
    <t xml:space="preserve"> 7269.0</t>
  </si>
  <si>
    <t xml:space="preserve"> 3693.0</t>
  </si>
  <si>
    <t xml:space="preserve"> 3576.0</t>
  </si>
  <si>
    <t>Galvarino</t>
  </si>
  <si>
    <t xml:space="preserve"> 7793.0</t>
  </si>
  <si>
    <t xml:space="preserve"> 2554.0</t>
  </si>
  <si>
    <t xml:space="preserve"> 12568.0</t>
  </si>
  <si>
    <t xml:space="preserve"> 6316.0</t>
  </si>
  <si>
    <t xml:space="preserve"> 6252.0</t>
  </si>
  <si>
    <t>Traiguén</t>
  </si>
  <si>
    <t xml:space="preserve"> 11901.0</t>
  </si>
  <si>
    <t xml:space="preserve"> 3602.0</t>
  </si>
  <si>
    <t xml:space="preserve"> 19260.0</t>
  </si>
  <si>
    <t xml:space="preserve"> 9931.0</t>
  </si>
  <si>
    <t xml:space="preserve"> 9329.0</t>
  </si>
  <si>
    <t xml:space="preserve"> 6145.0</t>
  </si>
  <si>
    <t>Victoria</t>
  </si>
  <si>
    <t xml:space="preserve"> 23038.0</t>
  </si>
  <si>
    <t xml:space="preserve"> 6371.0</t>
  </si>
  <si>
    <t xml:space="preserve"> 35554.0</t>
  </si>
  <si>
    <t xml:space="preserve"> 18257.0</t>
  </si>
  <si>
    <t xml:space="preserve"> 17297.0</t>
  </si>
  <si>
    <t xml:space="preserve"> 1797.0</t>
  </si>
  <si>
    <t>Lumaco</t>
  </si>
  <si>
    <t xml:space="preserve"> 6175.0</t>
  </si>
  <si>
    <t xml:space="preserve"> 1944.0</t>
  </si>
  <si>
    <t xml:space="preserve"> 9916.0</t>
  </si>
  <si>
    <t xml:space="preserve"> 4933.0</t>
  </si>
  <si>
    <t xml:space="preserve"> 4983.0</t>
  </si>
  <si>
    <t xml:space="preserve"> 1459.0</t>
  </si>
  <si>
    <t>Ercilla</t>
  </si>
  <si>
    <t xml:space="preserve"> 5161.0</t>
  </si>
  <si>
    <t xml:space="preserve"> 1767.0</t>
  </si>
  <si>
    <t xml:space="preserve"> 8387.0</t>
  </si>
  <si>
    <t xml:space="preserve"> 4250.0</t>
  </si>
  <si>
    <t xml:space="preserve"> 4137.0</t>
  </si>
  <si>
    <t xml:space="preserve"> 2225.0</t>
  </si>
  <si>
    <t>Purén</t>
  </si>
  <si>
    <t xml:space="preserve"> 7594.0</t>
  </si>
  <si>
    <t xml:space="preserve"> 12103.0</t>
  </si>
  <si>
    <t xml:space="preserve"> 6207.0</t>
  </si>
  <si>
    <t xml:space="preserve"> 5896.0</t>
  </si>
  <si>
    <t xml:space="preserve"> 1425.0</t>
  </si>
  <si>
    <t>Los Sauces</t>
  </si>
  <si>
    <t xml:space="preserve"> 4739.0</t>
  </si>
  <si>
    <t xml:space="preserve"> 1304.0</t>
  </si>
  <si>
    <t xml:space="preserve"> 7468.0</t>
  </si>
  <si>
    <t xml:space="preserve"> 3773.0</t>
  </si>
  <si>
    <t xml:space="preserve"> 3695.0</t>
  </si>
  <si>
    <t xml:space="preserve"> 4010.0</t>
  </si>
  <si>
    <t>Collipulli</t>
  </si>
  <si>
    <t xml:space="preserve"> 17077.0</t>
  </si>
  <si>
    <t xml:space="preserve"> 5471.0</t>
  </si>
  <si>
    <t xml:space="preserve"> 26558.0</t>
  </si>
  <si>
    <t xml:space="preserve"> 13586.0</t>
  </si>
  <si>
    <t xml:space="preserve"> 12972.0</t>
  </si>
  <si>
    <t xml:space="preserve"> 8993.0</t>
  </si>
  <si>
    <t>Angol</t>
  </si>
  <si>
    <t xml:space="preserve"> 36796.0</t>
  </si>
  <si>
    <t xml:space="preserve"> 11008.0</t>
  </si>
  <si>
    <t xml:space="preserve"> 56797.0</t>
  </si>
  <si>
    <t xml:space="preserve"> 29309.0</t>
  </si>
  <si>
    <t xml:space="preserve"> 27488.0</t>
  </si>
  <si>
    <t>Renaico</t>
  </si>
  <si>
    <t xml:space="preserve"> 7196.0</t>
  </si>
  <si>
    <t xml:space="preserve"> 2126.0</t>
  </si>
  <si>
    <t xml:space="preserve"> 11002.0</t>
  </si>
  <si>
    <t xml:space="preserve"> 5685.0</t>
  </si>
  <si>
    <t xml:space="preserve"> 5317.0</t>
  </si>
  <si>
    <t xml:space="preserve"> 160207.0</t>
  </si>
  <si>
    <t xml:space="preserve"> 675894.0</t>
  </si>
  <si>
    <t xml:space="preserve"> 196063.0</t>
  </si>
  <si>
    <t xml:space="preserve"> 1032164.0</t>
  </si>
  <si>
    <t xml:space="preserve"> 528726.0</t>
  </si>
  <si>
    <t xml:space="preserve"> 503438.0</t>
  </si>
  <si>
    <t xml:space="preserve"> 1380.0</t>
  </si>
  <si>
    <t>Región Del Biobío</t>
  </si>
  <si>
    <t>Tirúa</t>
  </si>
  <si>
    <t xml:space="preserve"> 7282.0</t>
  </si>
  <si>
    <t xml:space="preserve"> 2443.0</t>
  </si>
  <si>
    <t xml:space="preserve"> 11105.0</t>
  </si>
  <si>
    <t xml:space="preserve"> 5654.0</t>
  </si>
  <si>
    <t xml:space="preserve"> 5451.0</t>
  </si>
  <si>
    <t xml:space="preserve"> 1154.0</t>
  </si>
  <si>
    <t>Contulmo</t>
  </si>
  <si>
    <t xml:space="preserve"> 4058.0</t>
  </si>
  <si>
    <t xml:space="preserve"> 1143.0</t>
  </si>
  <si>
    <t xml:space="preserve"> 6355.0</t>
  </si>
  <si>
    <t xml:space="preserve"> 3218.0</t>
  </si>
  <si>
    <t xml:space="preserve"> 3137.0</t>
  </si>
  <si>
    <t xml:space="preserve"> 662.0</t>
  </si>
  <si>
    <t>Alto Biobío</t>
  </si>
  <si>
    <t xml:space="preserve"> 4348.0</t>
  </si>
  <si>
    <t xml:space="preserve"> 1794.0</t>
  </si>
  <si>
    <t xml:space="preserve"> 6804.0</t>
  </si>
  <si>
    <t xml:space="preserve"> 3432.0</t>
  </si>
  <si>
    <t xml:space="preserve"> 3372.0</t>
  </si>
  <si>
    <t xml:space="preserve"> 5655.0</t>
  </si>
  <si>
    <t>Cañete</t>
  </si>
  <si>
    <t xml:space="preserve"> 24024.0</t>
  </si>
  <si>
    <t xml:space="preserve"> 7764.0</t>
  </si>
  <si>
    <t xml:space="preserve"> 37443.0</t>
  </si>
  <si>
    <t xml:space="preserve"> 19276.0</t>
  </si>
  <si>
    <t xml:space="preserve"> 18167.0</t>
  </si>
  <si>
    <t xml:space="preserve"> 5165.0</t>
  </si>
  <si>
    <t>Mulchén</t>
  </si>
  <si>
    <t xml:space="preserve"> 19992.0</t>
  </si>
  <si>
    <t xml:space="preserve"> 5965.0</t>
  </si>
  <si>
    <t xml:space="preserve"> 31122.0</t>
  </si>
  <si>
    <t xml:space="preserve"> 15849.0</t>
  </si>
  <si>
    <t xml:space="preserve"> 15273.0</t>
  </si>
  <si>
    <t xml:space="preserve"> 1026.0</t>
  </si>
  <si>
    <t>Quilaco</t>
  </si>
  <si>
    <t xml:space="preserve"> 637.0</t>
  </si>
  <si>
    <t xml:space="preserve"> 4186.0</t>
  </si>
  <si>
    <t xml:space="preserve"> 2118.0</t>
  </si>
  <si>
    <t xml:space="preserve"> 2068.0</t>
  </si>
  <si>
    <t xml:space="preserve"> 2557.0</t>
  </si>
  <si>
    <t>Santa Bárbara</t>
  </si>
  <si>
    <t xml:space="preserve"> 9332.0</t>
  </si>
  <si>
    <t xml:space="preserve"> 2782.0</t>
  </si>
  <si>
    <t xml:space="preserve"> 14671.0</t>
  </si>
  <si>
    <t xml:space="preserve"> 7495.0</t>
  </si>
  <si>
    <t xml:space="preserve"> 7176.0</t>
  </si>
  <si>
    <t xml:space="preserve"> 3085.0</t>
  </si>
  <si>
    <t>Los Álamos</t>
  </si>
  <si>
    <t xml:space="preserve"> 14889.0</t>
  </si>
  <si>
    <t xml:space="preserve"> 4979.0</t>
  </si>
  <si>
    <t xml:space="preserve"> 22953.0</t>
  </si>
  <si>
    <t xml:space="preserve"> 11787.0</t>
  </si>
  <si>
    <t xml:space="preserve"> 11166.0</t>
  </si>
  <si>
    <t xml:space="preserve"> 3823.0</t>
  </si>
  <si>
    <t>Lebu</t>
  </si>
  <si>
    <t xml:space="preserve"> 17905.0</t>
  </si>
  <si>
    <t xml:space="preserve"> 27152.0</t>
  </si>
  <si>
    <t xml:space="preserve"> 13883.0</t>
  </si>
  <si>
    <t xml:space="preserve"> 13269.0</t>
  </si>
  <si>
    <t xml:space="preserve"> 1674.0</t>
  </si>
  <si>
    <t>Negrete</t>
  </si>
  <si>
    <t xml:space="preserve"> 6869.0</t>
  </si>
  <si>
    <t xml:space="preserve"> 10574.0</t>
  </si>
  <si>
    <t xml:space="preserve"> 5373.0</t>
  </si>
  <si>
    <t xml:space="preserve"> 5201.0</t>
  </si>
  <si>
    <t xml:space="preserve"> 4231.0</t>
  </si>
  <si>
    <t>Nacimiento</t>
  </si>
  <si>
    <t xml:space="preserve"> 18378.0</t>
  </si>
  <si>
    <t xml:space="preserve"> 5419.0</t>
  </si>
  <si>
    <t xml:space="preserve"> 28028.0</t>
  </si>
  <si>
    <t xml:space="preserve"> 14264.0</t>
  </si>
  <si>
    <t xml:space="preserve"> 13764.0</t>
  </si>
  <si>
    <t xml:space="preserve"> 4914.0</t>
  </si>
  <si>
    <t>Curanilahue</t>
  </si>
  <si>
    <t xml:space="preserve"> 22541.0</t>
  </si>
  <si>
    <t xml:space="preserve"> 6487.0</t>
  </si>
  <si>
    <t xml:space="preserve"> 33942.0</t>
  </si>
  <si>
    <t xml:space="preserve"> 17307.0</t>
  </si>
  <si>
    <t xml:space="preserve"> 16635.0</t>
  </si>
  <si>
    <t xml:space="preserve"> 2155.0</t>
  </si>
  <si>
    <t>Quilleco</t>
  </si>
  <si>
    <t xml:space="preserve"> 6169.0</t>
  </si>
  <si>
    <t xml:space="preserve"> 1662.0</t>
  </si>
  <si>
    <t xml:space="preserve"> 9986.0</t>
  </si>
  <si>
    <t xml:space="preserve"> 5084.0</t>
  </si>
  <si>
    <t xml:space="preserve"> 4902.0</t>
  </si>
  <si>
    <t xml:space="preserve"> 30885.0</t>
  </si>
  <si>
    <t>Los Ángeles</t>
  </si>
  <si>
    <t xml:space="preserve"> 148968.0</t>
  </si>
  <si>
    <t xml:space="preserve"> 43898.0</t>
  </si>
  <si>
    <t xml:space="preserve"> 223751.0</t>
  </si>
  <si>
    <t xml:space="preserve"> 115050.0</t>
  </si>
  <si>
    <t xml:space="preserve"> 108701.0</t>
  </si>
  <si>
    <t xml:space="preserve"> 878.0</t>
  </si>
  <si>
    <t>Antuco</t>
  </si>
  <si>
    <t xml:space="preserve"> 2723.0</t>
  </si>
  <si>
    <t xml:space="preserve"> 724.0</t>
  </si>
  <si>
    <t xml:space="preserve"> 4325.0</t>
  </si>
  <si>
    <t xml:space="preserve"> 2209.0</t>
  </si>
  <si>
    <t xml:space="preserve"> 2116.0</t>
  </si>
  <si>
    <t xml:space="preserve"> 2977.0</t>
  </si>
  <si>
    <t>Tucapel</t>
  </si>
  <si>
    <t xml:space="preserve"> 9724.0</t>
  </si>
  <si>
    <t xml:space="preserve"> 2727.0</t>
  </si>
  <si>
    <t xml:space="preserve"> 15428.0</t>
  </si>
  <si>
    <t xml:space="preserve"> 7900.0</t>
  </si>
  <si>
    <t xml:space="preserve"> 7528.0</t>
  </si>
  <si>
    <t xml:space="preserve"> 4048.0</t>
  </si>
  <si>
    <t>Laja</t>
  </si>
  <si>
    <t xml:space="preserve"> 15412.0</t>
  </si>
  <si>
    <t xml:space="preserve"> 4461.0</t>
  </si>
  <si>
    <t xml:space="preserve"> 23921.0</t>
  </si>
  <si>
    <t xml:space="preserve"> 12214.0</t>
  </si>
  <si>
    <t xml:space="preserve"> 11707.0</t>
  </si>
  <si>
    <t xml:space="preserve"> 727.0</t>
  </si>
  <si>
    <t>San Rosendo</t>
  </si>
  <si>
    <t xml:space="preserve"> 595.0</t>
  </si>
  <si>
    <t xml:space="preserve"> 3553.0</t>
  </si>
  <si>
    <t xml:space="preserve"> 1809.0</t>
  </si>
  <si>
    <t xml:space="preserve"> 1744.0</t>
  </si>
  <si>
    <t xml:space="preserve"> 5495.0</t>
  </si>
  <si>
    <t>Arauco</t>
  </si>
  <si>
    <t xml:space="preserve"> 25948.0</t>
  </si>
  <si>
    <t xml:space="preserve"> 7498.0</t>
  </si>
  <si>
    <t xml:space="preserve"> 38941.0</t>
  </si>
  <si>
    <t xml:space="preserve"> 19855.0</t>
  </si>
  <si>
    <t xml:space="preserve"> 19086.0</t>
  </si>
  <si>
    <t xml:space="preserve"> 2737.0</t>
  </si>
  <si>
    <t>Santa Juana</t>
  </si>
  <si>
    <t xml:space="preserve"> 9490.0</t>
  </si>
  <si>
    <t xml:space="preserve"> 2663.0</t>
  </si>
  <si>
    <t xml:space="preserve"> 14890.0</t>
  </si>
  <si>
    <t xml:space="preserve"> 7296.0</t>
  </si>
  <si>
    <t xml:space="preserve"> 4651.0</t>
  </si>
  <si>
    <t>Yumbel</t>
  </si>
  <si>
    <t xml:space="preserve"> 14037.0</t>
  </si>
  <si>
    <t xml:space="preserve"> 3522.0</t>
  </si>
  <si>
    <t xml:space="preserve"> 22210.0</t>
  </si>
  <si>
    <t xml:space="preserve"> 11342.0</t>
  </si>
  <si>
    <t xml:space="preserve"> 10868.0</t>
  </si>
  <si>
    <t xml:space="preserve"> 7315.0</t>
  </si>
  <si>
    <t>Lota</t>
  </si>
  <si>
    <t xml:space="preserve"> 30083.0</t>
  </si>
  <si>
    <t xml:space="preserve"> 8009.0</t>
  </si>
  <si>
    <t xml:space="preserve"> 45407.0</t>
  </si>
  <si>
    <t xml:space="preserve"> 23257.0</t>
  </si>
  <si>
    <t xml:space="preserve"> 22150.0</t>
  </si>
  <si>
    <t xml:space="preserve"> 4767.0</t>
  </si>
  <si>
    <t>Cabrero</t>
  </si>
  <si>
    <t xml:space="preserve"> 20667.0</t>
  </si>
  <si>
    <t xml:space="preserve"> 5668.0</t>
  </si>
  <si>
    <t xml:space="preserve"> 31102.0</t>
  </si>
  <si>
    <t xml:space="preserve"> 15891.0</t>
  </si>
  <si>
    <t xml:space="preserve"> 15211.0</t>
  </si>
  <si>
    <t xml:space="preserve"> 16193.0</t>
  </si>
  <si>
    <t>Coronel</t>
  </si>
  <si>
    <t xml:space="preserve"> 86933.0</t>
  </si>
  <si>
    <t xml:space="preserve"> 25815.0</t>
  </si>
  <si>
    <t xml:space="preserve"> 128941.0</t>
  </si>
  <si>
    <t xml:space="preserve"> 66445.0</t>
  </si>
  <si>
    <t xml:space="preserve"> 62496.0</t>
  </si>
  <si>
    <t xml:space="preserve"> 3804.0</t>
  </si>
  <si>
    <t>Hualqui</t>
  </si>
  <si>
    <t xml:space="preserve"> 17791.0</t>
  </si>
  <si>
    <t xml:space="preserve"> 5151.0</t>
  </si>
  <si>
    <t xml:space="preserve"> 26746.0</t>
  </si>
  <si>
    <t xml:space="preserve"> 13819.0</t>
  </si>
  <si>
    <t xml:space="preserve"> 12927.0</t>
  </si>
  <si>
    <t xml:space="preserve"> 13214.0</t>
  </si>
  <si>
    <t>Chiguayante</t>
  </si>
  <si>
    <t xml:space="preserve"> 62690.0</t>
  </si>
  <si>
    <t xml:space="preserve"> 16059.0</t>
  </si>
  <si>
    <t xml:space="preserve"> 91963.0</t>
  </si>
  <si>
    <t xml:space="preserve"> 47565.0</t>
  </si>
  <si>
    <t xml:space="preserve"> 44398.0</t>
  </si>
  <si>
    <t xml:space="preserve"> 17187.0</t>
  </si>
  <si>
    <t>San Pedro De La Paz</t>
  </si>
  <si>
    <t xml:space="preserve"> 104536.0</t>
  </si>
  <si>
    <t xml:space="preserve"> 31793.0</t>
  </si>
  <si>
    <t xml:space="preserve"> 153516.0</t>
  </si>
  <si>
    <t xml:space="preserve"> 79371.0</t>
  </si>
  <si>
    <t xml:space="preserve"> 74145.0</t>
  </si>
  <si>
    <t xml:space="preserve"> 2503.0</t>
  </si>
  <si>
    <t>Florida</t>
  </si>
  <si>
    <t xml:space="preserve"> 7592.0</t>
  </si>
  <si>
    <t xml:space="preserve"> 1778.0</t>
  </si>
  <si>
    <t xml:space="preserve"> 11873.0</t>
  </si>
  <si>
    <t xml:space="preserve"> 6012.0</t>
  </si>
  <si>
    <t xml:space="preserve"> 5861.0</t>
  </si>
  <si>
    <t xml:space="preserve"> 38157.0</t>
  </si>
  <si>
    <t>Concepción</t>
  </si>
  <si>
    <t xml:space="preserve"> 168127.0</t>
  </si>
  <si>
    <t xml:space="preserve"> 33492.0</t>
  </si>
  <si>
    <t xml:space="preserve"> 239776.0</t>
  </si>
  <si>
    <t xml:space="preserve"> 123051.0</t>
  </si>
  <si>
    <t xml:space="preserve"> 116725.0</t>
  </si>
  <si>
    <t xml:space="preserve"> 15588.0</t>
  </si>
  <si>
    <t>Hualpén</t>
  </si>
  <si>
    <t xml:space="preserve"> 65877.0</t>
  </si>
  <si>
    <t xml:space="preserve"> 16590.0</t>
  </si>
  <si>
    <t xml:space="preserve"> 98055.0</t>
  </si>
  <si>
    <t xml:space="preserve"> 50628.0</t>
  </si>
  <si>
    <t xml:space="preserve"> 47427.0</t>
  </si>
  <si>
    <t xml:space="preserve"> 24299.0</t>
  </si>
  <si>
    <t>Talcahuano</t>
  </si>
  <si>
    <t xml:space="preserve"> 107305.0</t>
  </si>
  <si>
    <t xml:space="preserve"> 26563.0</t>
  </si>
  <si>
    <t xml:space="preserve"> 158167.0</t>
  </si>
  <si>
    <t xml:space="preserve"> 81195.0</t>
  </si>
  <si>
    <t xml:space="preserve"> 76972.0</t>
  </si>
  <si>
    <t xml:space="preserve"> 7583.0</t>
  </si>
  <si>
    <t>Penco</t>
  </si>
  <si>
    <t xml:space="preserve"> 33675.0</t>
  </si>
  <si>
    <t xml:space="preserve"> 8931.0</t>
  </si>
  <si>
    <t xml:space="preserve"> 50189.0</t>
  </si>
  <si>
    <t xml:space="preserve"> 25847.0</t>
  </si>
  <si>
    <t xml:space="preserve"> 24342.0</t>
  </si>
  <si>
    <t xml:space="preserve"> 10668.0</t>
  </si>
  <si>
    <t>Tomé</t>
  </si>
  <si>
    <t xml:space="preserve"> 38473.0</t>
  </si>
  <si>
    <t xml:space="preserve"> 10009.0</t>
  </si>
  <si>
    <t xml:space="preserve"> 59150.0</t>
  </si>
  <si>
    <t xml:space="preserve"> 30509.0</t>
  </si>
  <si>
    <t xml:space="preserve"> 28641.0</t>
  </si>
  <si>
    <t xml:space="preserve"> 251157.0</t>
  </si>
  <si>
    <t xml:space="preserve"> 1130592.0</t>
  </si>
  <si>
    <t xml:space="preserve"> 304476.0</t>
  </si>
  <si>
    <t xml:space="preserve"> 1686225.0</t>
  </si>
  <si>
    <t xml:space="preserve"> 866303.0</t>
  </si>
  <si>
    <t xml:space="preserve"> 819922.0</t>
  </si>
  <si>
    <t xml:space="preserve"> 3572.0</t>
  </si>
  <si>
    <t>Región del Ñuble</t>
  </si>
  <si>
    <t xml:space="preserve"> 11993.0</t>
  </si>
  <si>
    <t xml:space="preserve"> 3270.0</t>
  </si>
  <si>
    <t xml:space="preserve"> 18835.0</t>
  </si>
  <si>
    <t xml:space="preserve"> 9584.0</t>
  </si>
  <si>
    <t xml:space="preserve"> 9251.0</t>
  </si>
  <si>
    <t xml:space="preserve"> 1553.0</t>
  </si>
  <si>
    <t xml:space="preserve"> 5521.0</t>
  </si>
  <si>
    <t xml:space="preserve"> 1509.0</t>
  </si>
  <si>
    <t xml:space="preserve"> 8583.0</t>
  </si>
  <si>
    <t xml:space="preserve"> 4351.0</t>
  </si>
  <si>
    <t xml:space="preserve"> 4232.0</t>
  </si>
  <si>
    <t xml:space="preserve"> 2456.0</t>
  </si>
  <si>
    <t xml:space="preserve"> 7697.0</t>
  </si>
  <si>
    <t xml:space="preserve"> 2044.0</t>
  </si>
  <si>
    <t xml:space="preserve"> 12197.0</t>
  </si>
  <si>
    <t xml:space="preserve"> 6216.0</t>
  </si>
  <si>
    <t xml:space="preserve"> 5981.0</t>
  </si>
  <si>
    <t xml:space="preserve"> 3159.0</t>
  </si>
  <si>
    <t xml:space="preserve"> 10680.0</t>
  </si>
  <si>
    <t xml:space="preserve"> 2761.0</t>
  </si>
  <si>
    <t xml:space="preserve"> 16600.0</t>
  </si>
  <si>
    <t xml:space="preserve"> 8486.0</t>
  </si>
  <si>
    <t xml:space="preserve"> 8114.0</t>
  </si>
  <si>
    <t xml:space="preserve"> 4207.0</t>
  </si>
  <si>
    <t xml:space="preserve"> 12015.0</t>
  </si>
  <si>
    <t xml:space="preserve"> 19304.0</t>
  </si>
  <si>
    <t xml:space="preserve"> 9902.0</t>
  </si>
  <si>
    <t xml:space="preserve"> 9402.0</t>
  </si>
  <si>
    <t xml:space="preserve"> 4092.0</t>
  </si>
  <si>
    <t xml:space="preserve"> 14650.0</t>
  </si>
  <si>
    <t xml:space="preserve"> 4012.0</t>
  </si>
  <si>
    <t xml:space="preserve"> 22754.0</t>
  </si>
  <si>
    <t xml:space="preserve"> 11728.0</t>
  </si>
  <si>
    <t xml:space="preserve"> 11026.0</t>
  </si>
  <si>
    <t xml:space="preserve"> 2336.0</t>
  </si>
  <si>
    <t xml:space="preserve"> 7871.0</t>
  </si>
  <si>
    <t xml:space="preserve"> 1972.0</t>
  </si>
  <si>
    <t xml:space="preserve"> 12179.0</t>
  </si>
  <si>
    <t xml:space="preserve"> 6261.0</t>
  </si>
  <si>
    <t xml:space="preserve"> 5918.0</t>
  </si>
  <si>
    <t xml:space="preserve"> 1502.0</t>
  </si>
  <si>
    <t xml:space="preserve"> 3813.0</t>
  </si>
  <si>
    <t xml:space="preserve"> 978.0</t>
  </si>
  <si>
    <t xml:space="preserve"> 6293.0</t>
  </si>
  <si>
    <t xml:space="preserve"> 3224.0</t>
  </si>
  <si>
    <t xml:space="preserve"> 3069.0</t>
  </si>
  <si>
    <t xml:space="preserve"> 4389.0</t>
  </si>
  <si>
    <t xml:space="preserve"> 23827.0</t>
  </si>
  <si>
    <t xml:space="preserve"> 7364.0</t>
  </si>
  <si>
    <t xml:space="preserve"> 35580.0</t>
  </si>
  <si>
    <t xml:space="preserve"> 18603.0</t>
  </si>
  <si>
    <t xml:space="preserve"> 16977.0</t>
  </si>
  <si>
    <t xml:space="preserve"> 4313.0</t>
  </si>
  <si>
    <t xml:space="preserve"> 19222.0</t>
  </si>
  <si>
    <t xml:space="preserve"> 5532.0</t>
  </si>
  <si>
    <t xml:space="preserve"> 29067.0</t>
  </si>
  <si>
    <t xml:space="preserve"> 14896.0</t>
  </si>
  <si>
    <t xml:space="preserve"> 14171.0</t>
  </si>
  <si>
    <t xml:space="preserve"> 31949.0</t>
  </si>
  <si>
    <t xml:space="preserve"> 135762.0</t>
  </si>
  <si>
    <t xml:space="preserve"> 36380.0</t>
  </si>
  <si>
    <t xml:space="preserve"> 204091.0</t>
  </si>
  <si>
    <t xml:space="preserve"> 107261.0</t>
  </si>
  <si>
    <t xml:space="preserve"> 96830.0</t>
  </si>
  <si>
    <t xml:space="preserve"> 1024.0</t>
  </si>
  <si>
    <t xml:space="preserve"> 2965.0</t>
  </si>
  <si>
    <t xml:space="preserve"> 804.0</t>
  </si>
  <si>
    <t xml:space="preserve"> 4793.0</t>
  </si>
  <si>
    <t xml:space="preserve"> 2452.0</t>
  </si>
  <si>
    <t xml:space="preserve"> 2341.0</t>
  </si>
  <si>
    <t xml:space="preserve"> 1083.0</t>
  </si>
  <si>
    <t xml:space="preserve"> 3039.0</t>
  </si>
  <si>
    <t xml:space="preserve"> 754.0</t>
  </si>
  <si>
    <t xml:space="preserve"> 4876.0</t>
  </si>
  <si>
    <t xml:space="preserve"> 2497.0</t>
  </si>
  <si>
    <t xml:space="preserve"> 2379.0</t>
  </si>
  <si>
    <t xml:space="preserve"> 2332.0</t>
  </si>
  <si>
    <t xml:space="preserve"> 8087.0</t>
  </si>
  <si>
    <t xml:space="preserve"> 12487.0</t>
  </si>
  <si>
    <t xml:space="preserve"> 6082.0</t>
  </si>
  <si>
    <t xml:space="preserve"> 3169.0</t>
  </si>
  <si>
    <t xml:space="preserve"> 10736.0</t>
  </si>
  <si>
    <t xml:space="preserve"> 2996.0</t>
  </si>
  <si>
    <t xml:space="preserve"> 16901.0</t>
  </si>
  <si>
    <t xml:space="preserve"> 8636.0</t>
  </si>
  <si>
    <t xml:space="preserve"> 8265.0</t>
  </si>
  <si>
    <t xml:space="preserve"> 1195.0</t>
  </si>
  <si>
    <t xml:space="preserve"> 3641.0</t>
  </si>
  <si>
    <t xml:space="preserve"> 930.0</t>
  </si>
  <si>
    <t xml:space="preserve"> 5766.0</t>
  </si>
  <si>
    <t xml:space="preserve"> 2924.0</t>
  </si>
  <si>
    <t xml:space="preserve"> 2842.0</t>
  </si>
  <si>
    <t xml:space="preserve"> 10390.0</t>
  </si>
  <si>
    <t xml:space="preserve"> 36732.0</t>
  </si>
  <si>
    <t xml:space="preserve"> 9939.0</t>
  </si>
  <si>
    <t xml:space="preserve"> 57061.0</t>
  </si>
  <si>
    <t xml:space="preserve"> 29547.0</t>
  </si>
  <si>
    <t xml:space="preserve"> 27514.0</t>
  </si>
  <si>
    <t xml:space="preserve"> 1272.0</t>
  </si>
  <si>
    <t xml:space="preserve"> 3298.0</t>
  </si>
  <si>
    <t xml:space="preserve"> 783.0</t>
  </si>
  <si>
    <t xml:space="preserve"> 5353.0</t>
  </si>
  <si>
    <t xml:space="preserve"> 2739.0</t>
  </si>
  <si>
    <t xml:space="preserve"> 2614.0</t>
  </si>
  <si>
    <t xml:space="preserve"> 2604.0</t>
  </si>
  <si>
    <t xml:space="preserve"> 7116.0</t>
  </si>
  <si>
    <t xml:space="preserve"> 1806.0</t>
  </si>
  <si>
    <t xml:space="preserve"> 11526.0</t>
  </si>
  <si>
    <t xml:space="preserve"> 5814.0</t>
  </si>
  <si>
    <t xml:space="preserve"> 5712.0</t>
  </si>
  <si>
    <t xml:space="preserve"> 2491.0</t>
  </si>
  <si>
    <t xml:space="preserve"> 7698.0</t>
  </si>
  <si>
    <t xml:space="preserve"> 2052.0</t>
  </si>
  <si>
    <t xml:space="preserve"> 12241.0</t>
  </si>
  <si>
    <t xml:space="preserve"> 6273.0</t>
  </si>
  <si>
    <t xml:space="preserve"> 5968.0</t>
  </si>
  <si>
    <t xml:space="preserve"> 1319.0</t>
  </si>
  <si>
    <t xml:space="preserve"> 681.0</t>
  </si>
  <si>
    <t xml:space="preserve"> 5224.0</t>
  </si>
  <si>
    <t xml:space="preserve"> 2680.0</t>
  </si>
  <si>
    <t xml:space="preserve"> 2544.0</t>
  </si>
  <si>
    <t xml:space="preserve"> 90407.0</t>
  </si>
  <si>
    <t xml:space="preserve"> 339587.0</t>
  </si>
  <si>
    <t xml:space="preserve"> 91717.0</t>
  </si>
  <si>
    <t xml:space="preserve"> 521711.0</t>
  </si>
  <si>
    <t xml:space="preserve"> 270479.0</t>
  </si>
  <si>
    <t xml:space="preserve"> 251232.0</t>
  </si>
  <si>
    <t xml:space="preserve"> 8131.0</t>
  </si>
  <si>
    <t>Región Del Maule</t>
  </si>
  <si>
    <t>Parral</t>
  </si>
  <si>
    <t xml:space="preserve"> 28795.0</t>
  </si>
  <si>
    <t xml:space="preserve"> 8657.0</t>
  </si>
  <si>
    <t xml:space="preserve"> 45583.0</t>
  </si>
  <si>
    <t xml:space="preserve"> 23343.0</t>
  </si>
  <si>
    <t xml:space="preserve"> 22240.0</t>
  </si>
  <si>
    <t xml:space="preserve"> 3816.0</t>
  </si>
  <si>
    <t>Retiro</t>
  </si>
  <si>
    <t xml:space="preserve"> 13840.0</t>
  </si>
  <si>
    <t xml:space="preserve"> 3836.0</t>
  </si>
  <si>
    <t xml:space="preserve"> 21492.0</t>
  </si>
  <si>
    <t xml:space="preserve"> 10835.0</t>
  </si>
  <si>
    <t xml:space="preserve"> 10657.0</t>
  </si>
  <si>
    <t xml:space="preserve"> 9317.0</t>
  </si>
  <si>
    <t>Cauquenes</t>
  </si>
  <si>
    <t xml:space="preserve"> 7859.0</t>
  </si>
  <si>
    <t xml:space="preserve"> 44446.0</t>
  </si>
  <si>
    <t xml:space="preserve"> 22828.0</t>
  </si>
  <si>
    <t xml:space="preserve"> 21618.0</t>
  </si>
  <si>
    <t xml:space="preserve"> 5599.0</t>
  </si>
  <si>
    <t>Longaví</t>
  </si>
  <si>
    <t xml:space="preserve"> 22080.0</t>
  </si>
  <si>
    <t xml:space="preserve"> 5987.0</t>
  </si>
  <si>
    <t xml:space="preserve"> 33666.0</t>
  </si>
  <si>
    <t xml:space="preserve"> 16882.0</t>
  </si>
  <si>
    <t xml:space="preserve"> 16784.0</t>
  </si>
  <si>
    <t xml:space="preserve"> 16646.0</t>
  </si>
  <si>
    <t>Linares</t>
  </si>
  <si>
    <t xml:space="preserve"> 67579.0</t>
  </si>
  <si>
    <t xml:space="preserve"> 19733.0</t>
  </si>
  <si>
    <t xml:space="preserve"> 103958.0</t>
  </si>
  <si>
    <t xml:space="preserve"> 53702.0</t>
  </si>
  <si>
    <t xml:space="preserve"> 50256.0</t>
  </si>
  <si>
    <t xml:space="preserve"> 1781.0</t>
  </si>
  <si>
    <t>Pelluhue</t>
  </si>
  <si>
    <t xml:space="preserve"> 5145.0</t>
  </si>
  <si>
    <t xml:space="preserve"> 1518.0</t>
  </si>
  <si>
    <t xml:space="preserve"> 8444.0</t>
  </si>
  <si>
    <t xml:space="preserve"> 4283.0</t>
  </si>
  <si>
    <t xml:space="preserve"> 4161.0</t>
  </si>
  <si>
    <t xml:space="preserve"> 3098.0</t>
  </si>
  <si>
    <t>Yerbas Buenas</t>
  </si>
  <si>
    <t xml:space="preserve"> 12937.0</t>
  </si>
  <si>
    <t xml:space="preserve"> 3765.0</t>
  </si>
  <si>
    <t xml:space="preserve"> 19800.0</t>
  </si>
  <si>
    <t xml:space="preserve"> 9971.0</t>
  </si>
  <si>
    <t xml:space="preserve"> 9829.0</t>
  </si>
  <si>
    <t xml:space="preserve"> 1834.0</t>
  </si>
  <si>
    <t>Chanco</t>
  </si>
  <si>
    <t xml:space="preserve"> 5840.0</t>
  </si>
  <si>
    <t xml:space="preserve"> 1582.0</t>
  </si>
  <si>
    <t xml:space="preserve"> 9256.0</t>
  </si>
  <si>
    <t xml:space="preserve"> 4673.0</t>
  </si>
  <si>
    <t xml:space="preserve"> 4583.0</t>
  </si>
  <si>
    <t xml:space="preserve"> 3976.0</t>
  </si>
  <si>
    <t>Colbún</t>
  </si>
  <si>
    <t xml:space="preserve"> 15129.0</t>
  </si>
  <si>
    <t xml:space="preserve"> 4374.0</t>
  </si>
  <si>
    <t xml:space="preserve"> 23479.0</t>
  </si>
  <si>
    <t xml:space="preserve"> 11938.0</t>
  </si>
  <si>
    <t xml:space="preserve"> 11541.0</t>
  </si>
  <si>
    <t xml:space="preserve"> 3387.0</t>
  </si>
  <si>
    <t>Villa Alegre</t>
  </si>
  <si>
    <t xml:space="preserve"> 11413.0</t>
  </si>
  <si>
    <t xml:space="preserve"> 3236.0</t>
  </si>
  <si>
    <t xml:space="preserve"> 18036.0</t>
  </si>
  <si>
    <t xml:space="preserve"> 9265.0</t>
  </si>
  <si>
    <t xml:space="preserve"> 8771.0</t>
  </si>
  <si>
    <t xml:space="preserve"> 8644.0</t>
  </si>
  <si>
    <t>San Javier</t>
  </si>
  <si>
    <t xml:space="preserve"> 33038.0</t>
  </si>
  <si>
    <t xml:space="preserve"> 9787.0</t>
  </si>
  <si>
    <t xml:space="preserve"> 51469.0</t>
  </si>
  <si>
    <t xml:space="preserve"> 26401.0</t>
  </si>
  <si>
    <t xml:space="preserve"> 25068.0</t>
  </si>
  <si>
    <t xml:space="preserve"> 691.0</t>
  </si>
  <si>
    <t>Empedrado</t>
  </si>
  <si>
    <t xml:space="preserve"> 2711.0</t>
  </si>
  <si>
    <t xml:space="preserve"> 774.0</t>
  </si>
  <si>
    <t xml:space="preserve"> 4176.0</t>
  </si>
  <si>
    <t xml:space="preserve"> 2059.0</t>
  </si>
  <si>
    <t xml:space="preserve"> 2117.0</t>
  </si>
  <si>
    <t xml:space="preserve"> 7638.0</t>
  </si>
  <si>
    <t>San Clemente</t>
  </si>
  <si>
    <t xml:space="preserve"> 31101.0</t>
  </si>
  <si>
    <t xml:space="preserve"> 9260.0</t>
  </si>
  <si>
    <t xml:space="preserve"> 47999.0</t>
  </si>
  <si>
    <t xml:space="preserve"> 24309.0</t>
  </si>
  <si>
    <t xml:space="preserve"> 23690.0</t>
  </si>
  <si>
    <t xml:space="preserve"> 6087.0</t>
  </si>
  <si>
    <t>Maule</t>
  </si>
  <si>
    <t xml:space="preserve"> 46207.0</t>
  </si>
  <si>
    <t xml:space="preserve"> 16681.0</t>
  </si>
  <si>
    <t xml:space="preserve"> 68975.0</t>
  </si>
  <si>
    <t xml:space="preserve"> 35328.0</t>
  </si>
  <si>
    <t xml:space="preserve"> 33647.0</t>
  </si>
  <si>
    <t xml:space="preserve"> 37263.0</t>
  </si>
  <si>
    <t>Talca</t>
  </si>
  <si>
    <t xml:space="preserve"> 162580.0</t>
  </si>
  <si>
    <t xml:space="preserve"> 42501.0</t>
  </si>
  <si>
    <t xml:space="preserve"> 242344.0</t>
  </si>
  <si>
    <t xml:space="preserve"> 124903.0</t>
  </si>
  <si>
    <t xml:space="preserve"> 117441.0</t>
  </si>
  <si>
    <t xml:space="preserve"> 1694.0</t>
  </si>
  <si>
    <t>Pencahue</t>
  </si>
  <si>
    <t xml:space="preserve"> 5539.0</t>
  </si>
  <si>
    <t xml:space="preserve"> 1393.0</t>
  </si>
  <si>
    <t xml:space="preserve"> 8626.0</t>
  </si>
  <si>
    <t xml:space="preserve"> 4309.0</t>
  </si>
  <si>
    <t xml:space="preserve"> 4317.0</t>
  </si>
  <si>
    <t xml:space="preserve"> 1759.0</t>
  </si>
  <si>
    <t>Pelarco</t>
  </si>
  <si>
    <t xml:space="preserve"> 5993.0</t>
  </si>
  <si>
    <t xml:space="preserve"> 1655.0</t>
  </si>
  <si>
    <t xml:space="preserve"> 9407.0</t>
  </si>
  <si>
    <t xml:space="preserve"> 4668.0</t>
  </si>
  <si>
    <t xml:space="preserve"> 6608.0</t>
  </si>
  <si>
    <t>Constitución</t>
  </si>
  <si>
    <t xml:space="preserve"> 33786.0</t>
  </si>
  <si>
    <t xml:space="preserve"> 10252.0</t>
  </si>
  <si>
    <t xml:space="preserve"> 50646.0</t>
  </si>
  <si>
    <t xml:space="preserve"> 25542.0</t>
  </si>
  <si>
    <t xml:space="preserve"> 25104.0</t>
  </si>
  <si>
    <t xml:space="preserve"> 1679.0</t>
  </si>
  <si>
    <t>San Rafael</t>
  </si>
  <si>
    <t xml:space="preserve"> 6667.0</t>
  </si>
  <si>
    <t xml:space="preserve"> 2053.0</t>
  </si>
  <si>
    <t xml:space="preserve"> 10399.0</t>
  </si>
  <si>
    <t xml:space="preserve"> 5250.0</t>
  </si>
  <si>
    <t xml:space="preserve"> 5149.0</t>
  </si>
  <si>
    <t>Río Claro</t>
  </si>
  <si>
    <t xml:space="preserve"> 9941.0</t>
  </si>
  <si>
    <t xml:space="preserve"> 2634.0</t>
  </si>
  <si>
    <t xml:space="preserve"> 7521.0</t>
  </si>
  <si>
    <t xml:space="preserve"> 7608.0</t>
  </si>
  <si>
    <t xml:space="preserve"> 8113.0</t>
  </si>
  <si>
    <t>Molina</t>
  </si>
  <si>
    <t xml:space="preserve"> 34238.0</t>
  </si>
  <si>
    <t xml:space="preserve"> 9737.0</t>
  </si>
  <si>
    <t xml:space="preserve"> 52088.0</t>
  </si>
  <si>
    <t xml:space="preserve"> 26538.0</t>
  </si>
  <si>
    <t xml:space="preserve"> 25550.0</t>
  </si>
  <si>
    <t xml:space="preserve"> 2337.0</t>
  </si>
  <si>
    <t>Curepto</t>
  </si>
  <si>
    <t xml:space="preserve"> 5550.0</t>
  </si>
  <si>
    <t xml:space="preserve"> 1249.0</t>
  </si>
  <si>
    <t xml:space="preserve"> 9136.0</t>
  </si>
  <si>
    <t xml:space="preserve"> 4564.0</t>
  </si>
  <si>
    <t xml:space="preserve"> 4572.0</t>
  </si>
  <si>
    <t xml:space="preserve"> 3147.0</t>
  </si>
  <si>
    <t>Sagrada Familia</t>
  </si>
  <si>
    <t xml:space="preserve"> 13188.0</t>
  </si>
  <si>
    <t xml:space="preserve"> 3419.0</t>
  </si>
  <si>
    <t xml:space="preserve"> 19754.0</t>
  </si>
  <si>
    <t xml:space="preserve"> 9815.0</t>
  </si>
  <si>
    <t xml:space="preserve"> 1303.0</t>
  </si>
  <si>
    <t>Licantén</t>
  </si>
  <si>
    <t xml:space="preserve"> 4510.0</t>
  </si>
  <si>
    <t xml:space="preserve"> 1173.0</t>
  </si>
  <si>
    <t xml:space="preserve"> 6986.0</t>
  </si>
  <si>
    <t xml:space="preserve"> 3508.0</t>
  </si>
  <si>
    <t xml:space="preserve"> 3478.0</t>
  </si>
  <si>
    <t xml:space="preserve"> 23954.0</t>
  </si>
  <si>
    <t>Curicó</t>
  </si>
  <si>
    <t xml:space="preserve"> 115147.0</t>
  </si>
  <si>
    <t xml:space="preserve"> 32488.0</t>
  </si>
  <si>
    <t xml:space="preserve"> 171589.0</t>
  </si>
  <si>
    <t xml:space="preserve"> 87469.0</t>
  </si>
  <si>
    <t xml:space="preserve"> 84120.0</t>
  </si>
  <si>
    <t xml:space="preserve"> 2159.0</t>
  </si>
  <si>
    <t>Hualañé</t>
  </si>
  <si>
    <t xml:space="preserve"> 6420.0</t>
  </si>
  <si>
    <t xml:space="preserve"> 1646.0</t>
  </si>
  <si>
    <t xml:space="preserve"> 10225.0</t>
  </si>
  <si>
    <t xml:space="preserve"> 5136.0</t>
  </si>
  <si>
    <t xml:space="preserve"> 5089.0</t>
  </si>
  <si>
    <t xml:space="preserve"> 2524.0</t>
  </si>
  <si>
    <t>Romeral</t>
  </si>
  <si>
    <t xml:space="preserve"> 11275.0</t>
  </si>
  <si>
    <t xml:space="preserve"> 3126.0</t>
  </si>
  <si>
    <t xml:space="preserve"> 16925.0</t>
  </si>
  <si>
    <t xml:space="preserve"> 8591.0</t>
  </si>
  <si>
    <t xml:space="preserve"> 8334.0</t>
  </si>
  <si>
    <t xml:space="preserve"> 2056.0</t>
  </si>
  <si>
    <t>Rauco</t>
  </si>
  <si>
    <t xml:space="preserve"> 2089.0</t>
  </si>
  <si>
    <t xml:space="preserve"> 11753.0</t>
  </si>
  <si>
    <t xml:space="preserve"> 5944.0</t>
  </si>
  <si>
    <t xml:space="preserve"> 5809.0</t>
  </si>
  <si>
    <t xml:space="preserve"> 923.0</t>
  </si>
  <si>
    <t>Vichuquén</t>
  </si>
  <si>
    <t xml:space="preserve"> 2724.0</t>
  </si>
  <si>
    <t xml:space="preserve"> 664.0</t>
  </si>
  <si>
    <t xml:space="preserve"> 4311.0</t>
  </si>
  <si>
    <t xml:space="preserve"> 2166.0</t>
  </si>
  <si>
    <t xml:space="preserve"> 2145.0</t>
  </si>
  <si>
    <t xml:space="preserve"> 5017.0</t>
  </si>
  <si>
    <t>Teno</t>
  </si>
  <si>
    <t xml:space="preserve"> 21164.0</t>
  </si>
  <si>
    <t xml:space="preserve"> 5704.0</t>
  </si>
  <si>
    <t xml:space="preserve"> 31885.0</t>
  </si>
  <si>
    <t xml:space="preserve"> 15998.0</t>
  </si>
  <si>
    <t xml:space="preserve"> 15887.0</t>
  </si>
  <si>
    <t xml:space="preserve"> 183735.0</t>
  </si>
  <si>
    <t xml:space="preserve"> 769415.0</t>
  </si>
  <si>
    <t xml:space="preserve"> 218832.0</t>
  </si>
  <si>
    <t xml:space="preserve"> 1171982.0</t>
  </si>
  <si>
    <t xml:space="preserve"> 597934.0</t>
  </si>
  <si>
    <t xml:space="preserve"> 574048.0</t>
  </si>
  <si>
    <t>Región Del Libertador Gral. Bernardo O'higgins</t>
  </si>
  <si>
    <t>Chépica</t>
  </si>
  <si>
    <t xml:space="preserve"> 10480.0</t>
  </si>
  <si>
    <t xml:space="preserve"> 2662.0</t>
  </si>
  <si>
    <t xml:space="preserve"> 16148.0</t>
  </si>
  <si>
    <t xml:space="preserve"> 8035.0</t>
  </si>
  <si>
    <t xml:space="preserve"> 1627.0</t>
  </si>
  <si>
    <t>Lolol</t>
  </si>
  <si>
    <t xml:space="preserve"> 4700.0</t>
  </si>
  <si>
    <t xml:space="preserve"> 1127.0</t>
  </si>
  <si>
    <t xml:space="preserve"> 7454.0</t>
  </si>
  <si>
    <t xml:space="preserve"> 3694.0</t>
  </si>
  <si>
    <t xml:space="preserve"> 3760.0</t>
  </si>
  <si>
    <t xml:space="preserve"> 5939.0</t>
  </si>
  <si>
    <t>Chimbarongo</t>
  </si>
  <si>
    <t xml:space="preserve"> 25552.0</t>
  </si>
  <si>
    <t xml:space="preserve"> 6960.0</t>
  </si>
  <si>
    <t xml:space="preserve"> 38451.0</t>
  </si>
  <si>
    <t xml:space="preserve"> 19129.0</t>
  </si>
  <si>
    <t xml:space="preserve"> 19322.0</t>
  </si>
  <si>
    <t xml:space="preserve"> 3210.0</t>
  </si>
  <si>
    <t>Nancagua</t>
  </si>
  <si>
    <t xml:space="preserve"> 12963.0</t>
  </si>
  <si>
    <t xml:space="preserve"> 3552.0</t>
  </si>
  <si>
    <t xml:space="preserve"> 19725.0</t>
  </si>
  <si>
    <t xml:space="preserve"> 9892.0</t>
  </si>
  <si>
    <t xml:space="preserve"> 9833.0</t>
  </si>
  <si>
    <t xml:space="preserve"> 1505.0</t>
  </si>
  <si>
    <t>Paredones</t>
  </si>
  <si>
    <t xml:space="preserve"> 3904.0</t>
  </si>
  <si>
    <t xml:space="preserve"> 850.0</t>
  </si>
  <si>
    <t xml:space="preserve"> 6259.0</t>
  </si>
  <si>
    <t xml:space="preserve"> 3072.0</t>
  </si>
  <si>
    <t xml:space="preserve"> 7051.0</t>
  </si>
  <si>
    <t>Santa Cruz</t>
  </si>
  <si>
    <t xml:space="preserve"> 28018.0</t>
  </si>
  <si>
    <t xml:space="preserve"> 7513.0</t>
  </si>
  <si>
    <t xml:space="preserve"> 42582.0</t>
  </si>
  <si>
    <t xml:space="preserve"> 21425.0</t>
  </si>
  <si>
    <t xml:space="preserve"> 21157.0</t>
  </si>
  <si>
    <t xml:space="preserve"> 1624.0</t>
  </si>
  <si>
    <t>Placilla</t>
  </si>
  <si>
    <t xml:space="preserve"> 1570.0</t>
  </si>
  <si>
    <t xml:space="preserve"> 9281.0</t>
  </si>
  <si>
    <t xml:space="preserve"> 4611.0</t>
  </si>
  <si>
    <t xml:space="preserve"> 865.0</t>
  </si>
  <si>
    <t>Pumanque</t>
  </si>
  <si>
    <t xml:space="preserve"> 2236.0</t>
  </si>
  <si>
    <t xml:space="preserve"> 415.0</t>
  </si>
  <si>
    <t xml:space="preserve"> 3516.0</t>
  </si>
  <si>
    <t xml:space="preserve"> 1734.0</t>
  </si>
  <si>
    <t xml:space="preserve"> 1782.0</t>
  </si>
  <si>
    <t xml:space="preserve"> 12357.0</t>
  </si>
  <si>
    <t>San Fernando</t>
  </si>
  <si>
    <t xml:space="preserve"> 53291.0</t>
  </si>
  <si>
    <t xml:space="preserve"> 15469.0</t>
  </si>
  <si>
    <t xml:space="preserve"> 81117.0</t>
  </si>
  <si>
    <t xml:space="preserve"> 40955.0</t>
  </si>
  <si>
    <t xml:space="preserve"> 40162.0</t>
  </si>
  <si>
    <t>Palmilla</t>
  </si>
  <si>
    <t xml:space="preserve"> 9122.0</t>
  </si>
  <si>
    <t xml:space="preserve"> 2239.0</t>
  </si>
  <si>
    <t xml:space="preserve"> 13597.0</t>
  </si>
  <si>
    <t xml:space="preserve"> 6747.0</t>
  </si>
  <si>
    <t xml:space="preserve"> 6850.0</t>
  </si>
  <si>
    <t xml:space="preserve"> 2254.0</t>
  </si>
  <si>
    <t>Peralillo</t>
  </si>
  <si>
    <t xml:space="preserve"> 7924.0</t>
  </si>
  <si>
    <t xml:space="preserve"> 1996.0</t>
  </si>
  <si>
    <t xml:space="preserve"> 12174.0</t>
  </si>
  <si>
    <t xml:space="preserve"> 6065.0</t>
  </si>
  <si>
    <t xml:space="preserve"> 6109.0</t>
  </si>
  <si>
    <t xml:space="preserve"> 2508.0</t>
  </si>
  <si>
    <t>Malloa</t>
  </si>
  <si>
    <t xml:space="preserve"> 9386.0</t>
  </si>
  <si>
    <t xml:space="preserve"> 2406.0</t>
  </si>
  <si>
    <t xml:space="preserve"> 14300.0</t>
  </si>
  <si>
    <t xml:space="preserve"> 7087.0</t>
  </si>
  <si>
    <t xml:space="preserve"> 7213.0</t>
  </si>
  <si>
    <t xml:space="preserve"> 9057.0</t>
  </si>
  <si>
    <t>San Vicente</t>
  </si>
  <si>
    <t xml:space="preserve"> 34101.0</t>
  </si>
  <si>
    <t xml:space="preserve"> 9131.0</t>
  </si>
  <si>
    <t xml:space="preserve"> 52289.0</t>
  </si>
  <si>
    <t xml:space="preserve"> 26099.0</t>
  </si>
  <si>
    <t xml:space="preserve"> 26190.0</t>
  </si>
  <si>
    <t xml:space="preserve"> 9827.0</t>
  </si>
  <si>
    <t>Rengo</t>
  </si>
  <si>
    <t xml:space="preserve"> 43441.0</t>
  </si>
  <si>
    <t xml:space="preserve"> 12518.0</t>
  </si>
  <si>
    <t xml:space="preserve"> 65786.0</t>
  </si>
  <si>
    <t xml:space="preserve"> 33033.0</t>
  </si>
  <si>
    <t xml:space="preserve"> 32753.0</t>
  </si>
  <si>
    <t xml:space="preserve"> 1635.0</t>
  </si>
  <si>
    <t>Marchihue</t>
  </si>
  <si>
    <t xml:space="preserve"> 4897.0</t>
  </si>
  <si>
    <t xml:space="preserve"> 1183.0</t>
  </si>
  <si>
    <t xml:space="preserve"> 7715.0</t>
  </si>
  <si>
    <t xml:space="preserve"> 3834.0</t>
  </si>
  <si>
    <t xml:space="preserve"> 3881.0</t>
  </si>
  <si>
    <t xml:space="preserve"> 3156.0</t>
  </si>
  <si>
    <t>Pichilemu</t>
  </si>
  <si>
    <t xml:space="preserve"> 12461.0</t>
  </si>
  <si>
    <t xml:space="preserve"> 18804.0</t>
  </si>
  <si>
    <t xml:space="preserve"> 9330.0</t>
  </si>
  <si>
    <t xml:space="preserve"> 9474.0</t>
  </si>
  <si>
    <t xml:space="preserve"> 2514.0</t>
  </si>
  <si>
    <t>Peumo</t>
  </si>
  <si>
    <t xml:space="preserve"> 9860.0</t>
  </si>
  <si>
    <t xml:space="preserve"> 2654.0</t>
  </si>
  <si>
    <t xml:space="preserve"> 15028.0</t>
  </si>
  <si>
    <t xml:space="preserve"> 7489.0</t>
  </si>
  <si>
    <t xml:space="preserve"> 7539.0</t>
  </si>
  <si>
    <t xml:space="preserve"> 3724.0</t>
  </si>
  <si>
    <t>Pichidegua</t>
  </si>
  <si>
    <t xml:space="preserve"> 13770.0</t>
  </si>
  <si>
    <t xml:space="preserve"> 3580.0</t>
  </si>
  <si>
    <t xml:space="preserve"> 21074.0</t>
  </si>
  <si>
    <t xml:space="preserve"> 10443.0</t>
  </si>
  <si>
    <t xml:space="preserve"> 10631.0</t>
  </si>
  <si>
    <t xml:space="preserve"> 2345.0</t>
  </si>
  <si>
    <t>Quinta De Tilcoco</t>
  </si>
  <si>
    <t xml:space="preserve"> 9476.0</t>
  </si>
  <si>
    <t xml:space="preserve"> 2467.0</t>
  </si>
  <si>
    <t xml:space="preserve"> 14288.0</t>
  </si>
  <si>
    <t xml:space="preserve"> 7126.0</t>
  </si>
  <si>
    <t xml:space="preserve"> 7162.0</t>
  </si>
  <si>
    <t xml:space="preserve"> 3610.0</t>
  </si>
  <si>
    <t>Coltauco</t>
  </si>
  <si>
    <t xml:space="preserve"> 14407.0</t>
  </si>
  <si>
    <t xml:space="preserve"> 22143.0</t>
  </si>
  <si>
    <t xml:space="preserve"> 11036.0</t>
  </si>
  <si>
    <t xml:space="preserve"> 11107.0</t>
  </si>
  <si>
    <t xml:space="preserve"> 4633.0</t>
  </si>
  <si>
    <t>Las Cabras</t>
  </si>
  <si>
    <t xml:space="preserve"> 18205.0</t>
  </si>
  <si>
    <t xml:space="preserve"> 4911.0</t>
  </si>
  <si>
    <t xml:space="preserve"> 27749.0</t>
  </si>
  <si>
    <t xml:space="preserve"> 13717.0</t>
  </si>
  <si>
    <t xml:space="preserve"> 14032.0</t>
  </si>
  <si>
    <t xml:space="preserve"> 4098.0</t>
  </si>
  <si>
    <t>Requínoa</t>
  </si>
  <si>
    <t xml:space="preserve"> 21364.0</t>
  </si>
  <si>
    <t xml:space="preserve"> 6262.0</t>
  </si>
  <si>
    <t xml:space="preserve"> 31724.0</t>
  </si>
  <si>
    <t xml:space="preserve"> 15794.0</t>
  </si>
  <si>
    <t xml:space="preserve"> 15930.0</t>
  </si>
  <si>
    <t>Coinco</t>
  </si>
  <si>
    <t xml:space="preserve"> 5176.0</t>
  </si>
  <si>
    <t xml:space="preserve"> 1343.0</t>
  </si>
  <si>
    <t xml:space="preserve"> 8024.0</t>
  </si>
  <si>
    <t xml:space="preserve"> 3974.0</t>
  </si>
  <si>
    <t xml:space="preserve"> 4050.0</t>
  </si>
  <si>
    <t>Olivar</t>
  </si>
  <si>
    <t xml:space="preserve"> 10142.0</t>
  </si>
  <si>
    <t xml:space="preserve"> 2806.0</t>
  </si>
  <si>
    <t xml:space="preserve"> 15007.0</t>
  </si>
  <si>
    <t xml:space="preserve"> 7465.0</t>
  </si>
  <si>
    <t xml:space="preserve"> 7542.0</t>
  </si>
  <si>
    <t xml:space="preserve"> 710.0</t>
  </si>
  <si>
    <t>La Estrella</t>
  </si>
  <si>
    <t xml:space="preserve"> 1941.0</t>
  </si>
  <si>
    <t xml:space="preserve"> 447.0</t>
  </si>
  <si>
    <t xml:space="preserve"> 1519.0</t>
  </si>
  <si>
    <t xml:space="preserve"> 1579.0</t>
  </si>
  <si>
    <t xml:space="preserve"> 3549.0</t>
  </si>
  <si>
    <t>Doñihue</t>
  </si>
  <si>
    <t xml:space="preserve"> 15522.0</t>
  </si>
  <si>
    <t xml:space="preserve"> 4576.0</t>
  </si>
  <si>
    <t xml:space="preserve"> 23647.0</t>
  </si>
  <si>
    <t xml:space="preserve"> 11797.0</t>
  </si>
  <si>
    <t xml:space="preserve"> 11850.0</t>
  </si>
  <si>
    <t xml:space="preserve"> 6865.0</t>
  </si>
  <si>
    <t>Machalí</t>
  </si>
  <si>
    <t xml:space="preserve"> 43406.0</t>
  </si>
  <si>
    <t xml:space="preserve"> 14480.0</t>
  </si>
  <si>
    <t xml:space="preserve"> 64751.0</t>
  </si>
  <si>
    <t xml:space="preserve"> 32551.0</t>
  </si>
  <si>
    <t xml:space="preserve"> 32200.0</t>
  </si>
  <si>
    <t xml:space="preserve"> 40270.0</t>
  </si>
  <si>
    <t>Rancagua</t>
  </si>
  <si>
    <t xml:space="preserve"> 182485.0</t>
  </si>
  <si>
    <t xml:space="preserve"> 51652.0</t>
  </si>
  <si>
    <t xml:space="preserve"> 274407.0</t>
  </si>
  <si>
    <t xml:space="preserve"> 137883.0</t>
  </si>
  <si>
    <t xml:space="preserve"> 136524.0</t>
  </si>
  <si>
    <t xml:space="preserve"> 1376.0</t>
  </si>
  <si>
    <t>Litueche</t>
  </si>
  <si>
    <t xml:space="preserve"> 4491.0</t>
  </si>
  <si>
    <t xml:space="preserve"> 1082.0</t>
  </si>
  <si>
    <t xml:space="preserve"> 6949.0</t>
  </si>
  <si>
    <t xml:space="preserve"> 3420.0</t>
  </si>
  <si>
    <t xml:space="preserve"> 3529.0</t>
  </si>
  <si>
    <t xml:space="preserve"> 4737.0</t>
  </si>
  <si>
    <t>Graneros</t>
  </si>
  <si>
    <t xml:space="preserve"> 25479.0</t>
  </si>
  <si>
    <t xml:space="preserve"> 7969.0</t>
  </si>
  <si>
    <t xml:space="preserve"> 38185.0</t>
  </si>
  <si>
    <t xml:space="preserve"> 19067.0</t>
  </si>
  <si>
    <t xml:space="preserve"> 19118.0</t>
  </si>
  <si>
    <t xml:space="preserve"> 2025.0</t>
  </si>
  <si>
    <t>Codegua</t>
  </si>
  <si>
    <t xml:space="preserve"> 9783.0</t>
  </si>
  <si>
    <t xml:space="preserve"> 2819.0</t>
  </si>
  <si>
    <t xml:space="preserve"> 14627.0</t>
  </si>
  <si>
    <t xml:space="preserve"> 7343.0</t>
  </si>
  <si>
    <t xml:space="preserve"> 4197.0</t>
  </si>
  <si>
    <t>Mostazal</t>
  </si>
  <si>
    <t xml:space="preserve"> 18782.0</t>
  </si>
  <si>
    <t xml:space="preserve"> 5573.0</t>
  </si>
  <si>
    <t xml:space="preserve"> 28552.0</t>
  </si>
  <si>
    <t xml:space="preserve"> 14267.0</t>
  </si>
  <si>
    <t xml:space="preserve"> 14285.0</t>
  </si>
  <si>
    <t xml:space="preserve"> 1897.0</t>
  </si>
  <si>
    <t>Navidad</t>
  </si>
  <si>
    <t xml:space="preserve"> 4246.0</t>
  </si>
  <si>
    <t xml:space="preserve"> 992.0</t>
  </si>
  <si>
    <t xml:space="preserve"> 3515.0</t>
  </si>
  <si>
    <t xml:space="preserve"> 3620.0</t>
  </si>
  <si>
    <t xml:space="preserve"> 157971.0</t>
  </si>
  <si>
    <t xml:space="preserve"> 677098.0</t>
  </si>
  <si>
    <t xml:space="preserve"> 190517.0</t>
  </si>
  <si>
    <t xml:space="preserve"> 1025586.0</t>
  </si>
  <si>
    <t xml:space="preserve"> 513089.0</t>
  </si>
  <si>
    <t xml:space="preserve"> 512497.0</t>
  </si>
  <si>
    <t>Región Metropolitana De Santiago</t>
  </si>
  <si>
    <t>Alhué</t>
  </si>
  <si>
    <t xml:space="preserve"> 5312.0</t>
  </si>
  <si>
    <t xml:space="preserve"> 1470.0</t>
  </si>
  <si>
    <t xml:space="preserve"> 7856.0</t>
  </si>
  <si>
    <t xml:space="preserve"> 3898.0</t>
  </si>
  <si>
    <t xml:space="preserve"> 3958.0</t>
  </si>
  <si>
    <t xml:space="preserve"> 2045.0</t>
  </si>
  <si>
    <t>San Pedro</t>
  </si>
  <si>
    <t xml:space="preserve"> 8091.0</t>
  </si>
  <si>
    <t xml:space="preserve"> 2408.0</t>
  </si>
  <si>
    <t xml:space="preserve"> 12544.0</t>
  </si>
  <si>
    <t xml:space="preserve"> 6226.0</t>
  </si>
  <si>
    <t xml:space="preserve"> 6318.0</t>
  </si>
  <si>
    <t xml:space="preserve"> 10105.0</t>
  </si>
  <si>
    <t>Paine</t>
  </si>
  <si>
    <t xml:space="preserve"> 60013.0</t>
  </si>
  <si>
    <t xml:space="preserve"> 18199.0</t>
  </si>
  <si>
    <t xml:space="preserve"> 88317.0</t>
  </si>
  <si>
    <t xml:space="preserve"> 44317.0</t>
  </si>
  <si>
    <t xml:space="preserve"> 44000.0</t>
  </si>
  <si>
    <t xml:space="preserve"> 5111.0</t>
  </si>
  <si>
    <t>Isla De Maipo</t>
  </si>
  <si>
    <t xml:space="preserve"> 28502.0</t>
  </si>
  <si>
    <t xml:space="preserve"> 8780.0</t>
  </si>
  <si>
    <t xml:space="preserve"> 42393.0</t>
  </si>
  <si>
    <t xml:space="preserve"> 21353.0</t>
  </si>
  <si>
    <t xml:space="preserve"> 21040.0</t>
  </si>
  <si>
    <t xml:space="preserve"> 12146.0</t>
  </si>
  <si>
    <t>Buin</t>
  </si>
  <si>
    <t xml:space="preserve"> 81081.0</t>
  </si>
  <si>
    <t xml:space="preserve"> 24755.0</t>
  </si>
  <si>
    <t xml:space="preserve"> 117982.0</t>
  </si>
  <si>
    <t xml:space="preserve"> 59451.0</t>
  </si>
  <si>
    <t xml:space="preserve"> 58531.0</t>
  </si>
  <si>
    <t xml:space="preserve"> 20086.0</t>
  </si>
  <si>
    <t>Melipilla</t>
  </si>
  <si>
    <t xml:space="preserve"> 99637.0</t>
  </si>
  <si>
    <t xml:space="preserve"> 29176.0</t>
  </si>
  <si>
    <t xml:space="preserve"> 148899.0</t>
  </si>
  <si>
    <t xml:space="preserve"> 74840.0</t>
  </si>
  <si>
    <t xml:space="preserve"> 74059.0</t>
  </si>
  <si>
    <t xml:space="preserve"> 5101.0</t>
  </si>
  <si>
    <t>El Monte</t>
  </si>
  <si>
    <t xml:space="preserve"> 28186.0</t>
  </si>
  <si>
    <t xml:space="preserve"> 8946.0</t>
  </si>
  <si>
    <t xml:space="preserve"> 42233.0</t>
  </si>
  <si>
    <t xml:space="preserve"> 21286.0</t>
  </si>
  <si>
    <t xml:space="preserve"> 20947.0</t>
  </si>
  <si>
    <t>Talagante</t>
  </si>
  <si>
    <t xml:space="preserve"> 58390.0</t>
  </si>
  <si>
    <t xml:space="preserve"> 17387.0</t>
  </si>
  <si>
    <t xml:space="preserve"> 85514.0</t>
  </si>
  <si>
    <t xml:space="preserve"> 43234.0</t>
  </si>
  <si>
    <t xml:space="preserve"> 42280.0</t>
  </si>
  <si>
    <t xml:space="preserve"> 2752.0</t>
  </si>
  <si>
    <t>San José De Maipo</t>
  </si>
  <si>
    <t xml:space="preserve"> 13154.0</t>
  </si>
  <si>
    <t xml:space="preserve"> 3613.0</t>
  </si>
  <si>
    <t xml:space="preserve"> 19519.0</t>
  </si>
  <si>
    <t xml:space="preserve"> 9804.0</t>
  </si>
  <si>
    <t xml:space="preserve"> 9715.0</t>
  </si>
  <si>
    <t xml:space="preserve"> 3959.0</t>
  </si>
  <si>
    <t>Pirque</t>
  </si>
  <si>
    <t xml:space="preserve"> 22595.0</t>
  </si>
  <si>
    <t xml:space="preserve"> 6467.0</t>
  </si>
  <si>
    <t xml:space="preserve"> 33021.0</t>
  </si>
  <si>
    <t xml:space="preserve"> 16571.0</t>
  </si>
  <si>
    <t xml:space="preserve"> 16450.0</t>
  </si>
  <si>
    <t xml:space="preserve"> 3392.0</t>
  </si>
  <si>
    <t>Calera De Tango</t>
  </si>
  <si>
    <t xml:space="preserve"> 20924.0</t>
  </si>
  <si>
    <t xml:space="preserve"> 5967.0</t>
  </si>
  <si>
    <t xml:space="preserve"> 30283.0</t>
  </si>
  <si>
    <t xml:space="preserve"> 15210.0</t>
  </si>
  <si>
    <t xml:space="preserve"> 15073.0</t>
  </si>
  <si>
    <t xml:space="preserve"> 12542.0</t>
  </si>
  <si>
    <t>Peñaflor</t>
  </si>
  <si>
    <t xml:space="preserve"> 72166.0</t>
  </si>
  <si>
    <t xml:space="preserve"> 22132.0</t>
  </si>
  <si>
    <t xml:space="preserve"> 106840.0</t>
  </si>
  <si>
    <t xml:space="preserve"> 53963.0</t>
  </si>
  <si>
    <t xml:space="preserve"> 52877.0</t>
  </si>
  <si>
    <t xml:space="preserve"> 61015.0</t>
  </si>
  <si>
    <t>Puente Alto</t>
  </si>
  <si>
    <t xml:space="preserve"> 470295.0</t>
  </si>
  <si>
    <t xml:space="preserve"> 136594.0</t>
  </si>
  <si>
    <t xml:space="preserve"> 667904.0</t>
  </si>
  <si>
    <t xml:space="preserve"> 338785.0</t>
  </si>
  <si>
    <t xml:space="preserve"> 329119.0</t>
  </si>
  <si>
    <t xml:space="preserve"> 36042.0</t>
  </si>
  <si>
    <t>San Bernardo</t>
  </si>
  <si>
    <t xml:space="preserve"> 238131.0</t>
  </si>
  <si>
    <t xml:space="preserve"> 74467.0</t>
  </si>
  <si>
    <t xml:space="preserve"> 348640.0</t>
  </si>
  <si>
    <t xml:space="preserve"> 176123.0</t>
  </si>
  <si>
    <t xml:space="preserve"> 172517.0</t>
  </si>
  <si>
    <t xml:space="preserve"> 20705.0</t>
  </si>
  <si>
    <t>La Pintana</t>
  </si>
  <si>
    <t xml:space="preserve"> 126697.0</t>
  </si>
  <si>
    <t xml:space="preserve"> 41578.0</t>
  </si>
  <si>
    <t xml:space="preserve"> 188980.0</t>
  </si>
  <si>
    <t xml:space="preserve"> 95467.0</t>
  </si>
  <si>
    <t xml:space="preserve"> 93513.0</t>
  </si>
  <si>
    <t xml:space="preserve"> 8563.0</t>
  </si>
  <si>
    <t>Padre Hurtado</t>
  </si>
  <si>
    <t xml:space="preserve"> 55974.0</t>
  </si>
  <si>
    <t xml:space="preserve"> 17206.0</t>
  </si>
  <si>
    <t xml:space="preserve"> 81743.0</t>
  </si>
  <si>
    <t xml:space="preserve"> 41231.0</t>
  </si>
  <si>
    <t xml:space="preserve"> 40512.0</t>
  </si>
  <si>
    <t xml:space="preserve"> 24514.0</t>
  </si>
  <si>
    <t>El Bosque</t>
  </si>
  <si>
    <t xml:space="preserve"> 113155.0</t>
  </si>
  <si>
    <t xml:space="preserve"> 32186.0</t>
  </si>
  <si>
    <t xml:space="preserve"> 169855.0</t>
  </si>
  <si>
    <t xml:space="preserve"> 85788.0</t>
  </si>
  <si>
    <t xml:space="preserve"> 84067.0</t>
  </si>
  <si>
    <t xml:space="preserve"> 14337.0</t>
  </si>
  <si>
    <t>San Ramón</t>
  </si>
  <si>
    <t xml:space="preserve"> 54449.0</t>
  </si>
  <si>
    <t xml:space="preserve"> 14909.0</t>
  </si>
  <si>
    <t xml:space="preserve"> 83695.0</t>
  </si>
  <si>
    <t xml:space="preserve"> 42096.0</t>
  </si>
  <si>
    <t xml:space="preserve"> 41599.0</t>
  </si>
  <si>
    <t xml:space="preserve"> 16824.0</t>
  </si>
  <si>
    <t>La Granja</t>
  </si>
  <si>
    <t xml:space="preserve"> 80974.0</t>
  </si>
  <si>
    <t xml:space="preserve"> 21523.0</t>
  </si>
  <si>
    <t xml:space="preserve"> 119321.0</t>
  </si>
  <si>
    <t xml:space="preserve"> 60058.0</t>
  </si>
  <si>
    <t xml:space="preserve"> 59263.0</t>
  </si>
  <si>
    <t xml:space="preserve"> 16884.0</t>
  </si>
  <si>
    <t>La Cisterna</t>
  </si>
  <si>
    <t xml:space="preserve"> 67831.0</t>
  </si>
  <si>
    <t xml:space="preserve"> 16686.0</t>
  </si>
  <si>
    <t xml:space="preserve"> 101401.0</t>
  </si>
  <si>
    <t xml:space="preserve"> 51270.0</t>
  </si>
  <si>
    <t xml:space="preserve"> 50131.0</t>
  </si>
  <si>
    <t xml:space="preserve"> 61144.0</t>
  </si>
  <si>
    <t>La Florida</t>
  </si>
  <si>
    <t xml:space="preserve"> 276825.0</t>
  </si>
  <si>
    <t xml:space="preserve"> 69328.0</t>
  </si>
  <si>
    <t xml:space="preserve"> 407297.0</t>
  </si>
  <si>
    <t xml:space="preserve"> 206586.0</t>
  </si>
  <si>
    <t xml:space="preserve"> 200711.0</t>
  </si>
  <si>
    <t xml:space="preserve"> 13983.0</t>
  </si>
  <si>
    <t>Lo Espejo</t>
  </si>
  <si>
    <t xml:space="preserve"> 68171.0</t>
  </si>
  <si>
    <t xml:space="preserve"> 18540.0</t>
  </si>
  <si>
    <t xml:space="preserve"> 100694.0</t>
  </si>
  <si>
    <t xml:space="preserve"> 50515.0</t>
  </si>
  <si>
    <t xml:space="preserve"> 50179.0</t>
  </si>
  <si>
    <t xml:space="preserve"> 2121.0</t>
  </si>
  <si>
    <t>María Pinto</t>
  </si>
  <si>
    <t xml:space="preserve"> 10530.0</t>
  </si>
  <si>
    <t xml:space="preserve"> 3018.0</t>
  </si>
  <si>
    <t xml:space="preserve"> 15669.0</t>
  </si>
  <si>
    <t xml:space="preserve"> 7922.0</t>
  </si>
  <si>
    <t xml:space="preserve"> 7747.0</t>
  </si>
  <si>
    <t xml:space="preserve"> 65394.0</t>
  </si>
  <si>
    <t>Maipú</t>
  </si>
  <si>
    <t xml:space="preserve"> 414462.0</t>
  </si>
  <si>
    <t xml:space="preserve"> 106956.0</t>
  </si>
  <si>
    <t xml:space="preserve"> 586812.0</t>
  </si>
  <si>
    <t xml:space="preserve"> 298284.0</t>
  </si>
  <si>
    <t xml:space="preserve"> 288528.0</t>
  </si>
  <si>
    <t xml:space="preserve"> 11919.0</t>
  </si>
  <si>
    <t>Cerrillos</t>
  </si>
  <si>
    <t xml:space="preserve"> 61191.0</t>
  </si>
  <si>
    <t xml:space="preserve"> 17072.0</t>
  </si>
  <si>
    <t xml:space="preserve"> 90182.0</t>
  </si>
  <si>
    <t xml:space="preserve"> 45579.0</t>
  </si>
  <si>
    <t xml:space="preserve"> 44603.0</t>
  </si>
  <si>
    <t xml:space="preserve"> 21136.0</t>
  </si>
  <si>
    <t>San Miguel</t>
  </si>
  <si>
    <t xml:space="preserve"> 101829.0</t>
  </si>
  <si>
    <t xml:space="preserve"> 22459.0</t>
  </si>
  <si>
    <t xml:space="preserve"> 145424.0</t>
  </si>
  <si>
    <t xml:space="preserve"> 73951.0</t>
  </si>
  <si>
    <t xml:space="preserve"> 71473.0</t>
  </si>
  <si>
    <t xml:space="preserve"> 17799.0</t>
  </si>
  <si>
    <t>San Joaquín</t>
  </si>
  <si>
    <t xml:space="preserve"> 68821.0</t>
  </si>
  <si>
    <t xml:space="preserve"> 16498.0</t>
  </si>
  <si>
    <t xml:space="preserve"> 103118.0</t>
  </si>
  <si>
    <t xml:space="preserve"> 52155.0</t>
  </si>
  <si>
    <t xml:space="preserve"> 50963.0</t>
  </si>
  <si>
    <t>Pedro Aguirre Cerda</t>
  </si>
  <si>
    <t xml:space="preserve"> 69839.0</t>
  </si>
  <si>
    <t xml:space="preserve"> 17316.0</t>
  </si>
  <si>
    <t xml:space="preserve"> 104462.0</t>
  </si>
  <si>
    <t xml:space="preserve"> 52497.0</t>
  </si>
  <si>
    <t xml:space="preserve"> 51965.0</t>
  </si>
  <si>
    <t xml:space="preserve"> 23392.0</t>
  </si>
  <si>
    <t>Macul</t>
  </si>
  <si>
    <t xml:space="preserve"> 93526.0</t>
  </si>
  <si>
    <t xml:space="preserve"> 21443.0</t>
  </si>
  <si>
    <t xml:space="preserve"> 138361.0</t>
  </si>
  <si>
    <t xml:space="preserve"> 70070.0</t>
  </si>
  <si>
    <t xml:space="preserve"> 68291.0</t>
  </si>
  <si>
    <t xml:space="preserve"> 33125.0</t>
  </si>
  <si>
    <t>Peñalolén</t>
  </si>
  <si>
    <t xml:space="preserve"> 187524.0</t>
  </si>
  <si>
    <t xml:space="preserve"> 52264.0</t>
  </si>
  <si>
    <t xml:space="preserve"> 272913.0</t>
  </si>
  <si>
    <t xml:space="preserve"> 138192.0</t>
  </si>
  <si>
    <t xml:space="preserve"> 134721.0</t>
  </si>
  <si>
    <t xml:space="preserve"> 29825.0</t>
  </si>
  <si>
    <t>Estación Central</t>
  </si>
  <si>
    <t xml:space="preserve"> 157298.0</t>
  </si>
  <si>
    <t xml:space="preserve"> 34778.0</t>
  </si>
  <si>
    <t xml:space="preserve"> 221901.0</t>
  </si>
  <si>
    <t xml:space="preserve"> 110163.0</t>
  </si>
  <si>
    <t xml:space="preserve"> 111738.0</t>
  </si>
  <si>
    <t xml:space="preserve"> 43748.0</t>
  </si>
  <si>
    <t>Ñuñoa</t>
  </si>
  <si>
    <t xml:space="preserve"> 186803.0</t>
  </si>
  <si>
    <t xml:space="preserve"> 36355.0</t>
  </si>
  <si>
    <t xml:space="preserve"> 266906.0</t>
  </si>
  <si>
    <t xml:space="preserve"> 136214.0</t>
  </si>
  <si>
    <t xml:space="preserve"> 130692.0</t>
  </si>
  <si>
    <t xml:space="preserve"> 48853.0</t>
  </si>
  <si>
    <t>Santiago</t>
  </si>
  <si>
    <t xml:space="preserve"> 434119.0</t>
  </si>
  <si>
    <t xml:space="preserve"> 61416.0</t>
  </si>
  <si>
    <t xml:space="preserve"> 544388.0</t>
  </si>
  <si>
    <t xml:space="preserve"> 269670.0</t>
  </si>
  <si>
    <t xml:space="preserve"> 274718.0</t>
  </si>
  <si>
    <t xml:space="preserve"> 17444.0</t>
  </si>
  <si>
    <t>Lo Prado</t>
  </si>
  <si>
    <t xml:space="preserve"> 67466.0</t>
  </si>
  <si>
    <t xml:space="preserve"> 17168.0</t>
  </si>
  <si>
    <t xml:space="preserve"> 102078.0</t>
  </si>
  <si>
    <t xml:space="preserve"> 51615.0</t>
  </si>
  <si>
    <t xml:space="preserve"> 50463.0</t>
  </si>
  <si>
    <t xml:space="preserve"> 16937.0</t>
  </si>
  <si>
    <t>La Reina</t>
  </si>
  <si>
    <t xml:space="preserve"> 65604.0</t>
  </si>
  <si>
    <t xml:space="preserve"> 16671.0</t>
  </si>
  <si>
    <t xml:space="preserve"> 99212.0</t>
  </si>
  <si>
    <t xml:space="preserve"> 50692.0</t>
  </si>
  <si>
    <t xml:space="preserve"> 48520.0</t>
  </si>
  <si>
    <t xml:space="preserve"> 26459.0</t>
  </si>
  <si>
    <t>Pudahuel</t>
  </si>
  <si>
    <t xml:space="preserve"> 183162.0</t>
  </si>
  <si>
    <t xml:space="preserve"> 51975.0</t>
  </si>
  <si>
    <t xml:space="preserve"> 261596.0</t>
  </si>
  <si>
    <t xml:space="preserve"> 132548.0</t>
  </si>
  <si>
    <t xml:space="preserve"> 129048.0</t>
  </si>
  <si>
    <t xml:space="preserve"> 28497.0</t>
  </si>
  <si>
    <t>Providencia</t>
  </si>
  <si>
    <t xml:space="preserve"> 116656.0</t>
  </si>
  <si>
    <t xml:space="preserve"> 18856.0</t>
  </si>
  <si>
    <t xml:space="preserve"> 164009.0</t>
  </si>
  <si>
    <t xml:space="preserve"> 83980.0</t>
  </si>
  <si>
    <t xml:space="preserve"> 80029.0</t>
  </si>
  <si>
    <t xml:space="preserve"> 21386.0</t>
  </si>
  <si>
    <t>Quinta Normal</t>
  </si>
  <si>
    <t xml:space="preserve"> 97327.0</t>
  </si>
  <si>
    <t xml:space="preserve"> 23110.0</t>
  </si>
  <si>
    <t xml:space="preserve"> 141823.0</t>
  </si>
  <si>
    <t xml:space="preserve"> 71750.0</t>
  </si>
  <si>
    <t xml:space="preserve"> 70073.0</t>
  </si>
  <si>
    <t xml:space="preserve"> 20423.0</t>
  </si>
  <si>
    <t>Cerro Navia</t>
  </si>
  <si>
    <t xml:space="preserve"> 93465.0</t>
  </si>
  <si>
    <t xml:space="preserve"> 25744.0</t>
  </si>
  <si>
    <t xml:space="preserve"> 139632.0</t>
  </si>
  <si>
    <t xml:space="preserve"> 70176.0</t>
  </si>
  <si>
    <t xml:space="preserve"> 69456.0</t>
  </si>
  <si>
    <t xml:space="preserve"> 61746.0</t>
  </si>
  <si>
    <t>Las Condes</t>
  </si>
  <si>
    <t xml:space="preserve"> 232604.0</t>
  </si>
  <si>
    <t xml:space="preserve"> 49282.0</t>
  </si>
  <si>
    <t xml:space="preserve"> 343632.0</t>
  </si>
  <si>
    <t xml:space="preserve"> 175970.0</t>
  </si>
  <si>
    <t xml:space="preserve"> 167662.0</t>
  </si>
  <si>
    <t xml:space="preserve"> 19371.0</t>
  </si>
  <si>
    <t>Independencia</t>
  </si>
  <si>
    <t xml:space="preserve"> 110149.0</t>
  </si>
  <si>
    <t xml:space="preserve"> 24104.0</t>
  </si>
  <si>
    <t xml:space="preserve"> 153624.0</t>
  </si>
  <si>
    <t xml:space="preserve"> 76181.0</t>
  </si>
  <si>
    <t xml:space="preserve"> 77443.0</t>
  </si>
  <si>
    <t xml:space="preserve"> 28955.0</t>
  </si>
  <si>
    <t>Recoleta</t>
  </si>
  <si>
    <t xml:space="preserve"> 134813.0</t>
  </si>
  <si>
    <t xml:space="preserve"> 33088.0</t>
  </si>
  <si>
    <t xml:space="preserve"> 196856.0</t>
  </si>
  <si>
    <t xml:space="preserve"> 99014.0</t>
  </si>
  <si>
    <t xml:space="preserve"> 97842.0</t>
  </si>
  <si>
    <t xml:space="preserve"> 19419.0</t>
  </si>
  <si>
    <t>Renca</t>
  </si>
  <si>
    <t xml:space="preserve"> 110313.0</t>
  </si>
  <si>
    <t xml:space="preserve"> 33370.0</t>
  </si>
  <si>
    <t xml:space="preserve"> 163102.0</t>
  </si>
  <si>
    <t xml:space="preserve"> 82434.0</t>
  </si>
  <si>
    <t xml:space="preserve"> 80668.0</t>
  </si>
  <si>
    <t xml:space="preserve"> 5362.0</t>
  </si>
  <si>
    <t>Curacaví</t>
  </si>
  <si>
    <t xml:space="preserve"> 25621.0</t>
  </si>
  <si>
    <t xml:space="preserve"> 7384.0</t>
  </si>
  <si>
    <t xml:space="preserve"> 38367.0</t>
  </si>
  <si>
    <t xml:space="preserve"> 19298.0</t>
  </si>
  <si>
    <t xml:space="preserve"> 19069.0</t>
  </si>
  <si>
    <t xml:space="preserve"> 19720.0</t>
  </si>
  <si>
    <t>Vitacura</t>
  </si>
  <si>
    <t xml:space="preserve"> 60908.0</t>
  </si>
  <si>
    <t xml:space="preserve"> 16421.0</t>
  </si>
  <si>
    <t xml:space="preserve"> 97049.0</t>
  </si>
  <si>
    <t xml:space="preserve"> 50261.0</t>
  </si>
  <si>
    <t xml:space="preserve"> 46788.0</t>
  </si>
  <si>
    <t xml:space="preserve"> 21979.0</t>
  </si>
  <si>
    <t>Conchalí</t>
  </si>
  <si>
    <t xml:space="preserve"> 91052.0</t>
  </si>
  <si>
    <t xml:space="preserve"> 23643.0</t>
  </si>
  <si>
    <t xml:space="preserve"> 136674.0</t>
  </si>
  <si>
    <t xml:space="preserve"> 68963.0</t>
  </si>
  <si>
    <t xml:space="preserve"> 67711.0</t>
  </si>
  <si>
    <t xml:space="preserve"> 13183.0</t>
  </si>
  <si>
    <t>Huechuraba</t>
  </si>
  <si>
    <t xml:space="preserve"> 79287.0</t>
  </si>
  <si>
    <t xml:space="preserve"> 25857.0</t>
  </si>
  <si>
    <t xml:space="preserve"> 118327.0</t>
  </si>
  <si>
    <t xml:space="preserve"> 59954.0</t>
  </si>
  <si>
    <t xml:space="preserve"> 58373.0</t>
  </si>
  <si>
    <t xml:space="preserve"> 17985.0</t>
  </si>
  <si>
    <t>Quilicura</t>
  </si>
  <si>
    <t xml:space="preserve"> 198070.0</t>
  </si>
  <si>
    <t xml:space="preserve"> 59689.0</t>
  </si>
  <si>
    <t xml:space="preserve"> 275744.0</t>
  </si>
  <si>
    <t xml:space="preserve"> 138468.0</t>
  </si>
  <si>
    <t xml:space="preserve"> 137276.0</t>
  </si>
  <si>
    <t xml:space="preserve"> 11981.0</t>
  </si>
  <si>
    <t>Lo Barnechea</t>
  </si>
  <si>
    <t xml:space="preserve"> 89342.0</t>
  </si>
  <si>
    <t xml:space="preserve"> 29730.0</t>
  </si>
  <si>
    <t xml:space="preserve"> 131053.0</t>
  </si>
  <si>
    <t xml:space="preserve"> 67291.0</t>
  </si>
  <si>
    <t xml:space="preserve"> 63762.0</t>
  </si>
  <si>
    <t xml:space="preserve"> 9835.0</t>
  </si>
  <si>
    <t>Lampa</t>
  </si>
  <si>
    <t xml:space="preserve"> 97805.0</t>
  </si>
  <si>
    <t xml:space="preserve"> 35392.0</t>
  </si>
  <si>
    <t xml:space="preserve"> 143032.0</t>
  </si>
  <si>
    <t xml:space="preserve"> 71812.0</t>
  </si>
  <si>
    <t xml:space="preserve"> 71220.0</t>
  </si>
  <si>
    <t xml:space="preserve"> 13868.0</t>
  </si>
  <si>
    <t>Colina</t>
  </si>
  <si>
    <t xml:space="preserve"> 134152.0</t>
  </si>
  <si>
    <t xml:space="preserve"> 49350.0</t>
  </si>
  <si>
    <t xml:space="preserve"> 197370.0</t>
  </si>
  <si>
    <t xml:space="preserve"> 99436.0</t>
  </si>
  <si>
    <t xml:space="preserve"> 97934.0</t>
  </si>
  <si>
    <t>Tiltil</t>
  </si>
  <si>
    <t xml:space="preserve"> 15197.0</t>
  </si>
  <si>
    <t xml:space="preserve"> 4524.0</t>
  </si>
  <si>
    <t xml:space="preserve"> 22482.0</t>
  </si>
  <si>
    <t xml:space="preserve"> 11273.0</t>
  </si>
  <si>
    <t xml:space="preserve"> 11209.0</t>
  </si>
  <si>
    <t xml:space="preserve"> 1053991.0</t>
  </si>
  <si>
    <t xml:space="preserve"> 5839488.0</t>
  </si>
  <si>
    <t xml:space="preserve"> 1527250.0</t>
  </si>
  <si>
    <t xml:space="preserve"> 8420729.0</t>
  </si>
  <si>
    <t xml:space="preserve"> 4253885.0</t>
  </si>
  <si>
    <t xml:space="preserve"> 4166844.0</t>
  </si>
  <si>
    <t xml:space="preserve"> 15346.0</t>
  </si>
  <si>
    <t>San Antonio</t>
  </si>
  <si>
    <t xml:space="preserve"> 64765.0</t>
  </si>
  <si>
    <t xml:space="preserve"> 18468.0</t>
  </si>
  <si>
    <t xml:space="preserve"> 98579.0</t>
  </si>
  <si>
    <t xml:space="preserve"> 50159.0</t>
  </si>
  <si>
    <t xml:space="preserve"> 48420.0</t>
  </si>
  <si>
    <t xml:space="preserve"> 2057.0</t>
  </si>
  <si>
    <t>Santo Domingo</t>
  </si>
  <si>
    <t xml:space="preserve"> 8172.0</t>
  </si>
  <si>
    <t xml:space="preserve"> 2380.0</t>
  </si>
  <si>
    <t xml:space="preserve"> 12609.0</t>
  </si>
  <si>
    <t xml:space="preserve"> 6363.0</t>
  </si>
  <si>
    <t xml:space="preserve"> 6246.0</t>
  </si>
  <si>
    <t xml:space="preserve"> 129.0</t>
  </si>
  <si>
    <t>Juan Fernández</t>
  </si>
  <si>
    <t xml:space="preserve"> 763.0</t>
  </si>
  <si>
    <t xml:space="preserve"> 212.0</t>
  </si>
  <si>
    <t xml:space="preserve"> 1104.0</t>
  </si>
  <si>
    <t xml:space="preserve"> 543.0</t>
  </si>
  <si>
    <t xml:space="preserve"> 561.0</t>
  </si>
  <si>
    <t xml:space="preserve"> 5452.0</t>
  </si>
  <si>
    <t>Cartagena</t>
  </si>
  <si>
    <t xml:space="preserve"> 16657.0</t>
  </si>
  <si>
    <t xml:space="preserve"> 4956.0</t>
  </si>
  <si>
    <t xml:space="preserve"> 27065.0</t>
  </si>
  <si>
    <t xml:space="preserve"> 13712.0</t>
  </si>
  <si>
    <t xml:space="preserve"> 13353.0</t>
  </si>
  <si>
    <t xml:space="preserve"> 3889.0</t>
  </si>
  <si>
    <t>El Tabo</t>
  </si>
  <si>
    <t xml:space="preserve"> 9022.0</t>
  </si>
  <si>
    <t xml:space="preserve"> 2285.0</t>
  </si>
  <si>
    <t xml:space="preserve"> 15196.0</t>
  </si>
  <si>
    <t xml:space="preserve"> 7656.0</t>
  </si>
  <si>
    <t xml:space="preserve"> 7540.0</t>
  </si>
  <si>
    <t xml:space="preserve"> 4730.0</t>
  </si>
  <si>
    <t>El Quisco</t>
  </si>
  <si>
    <t xml:space="preserve"> 11079.0</t>
  </si>
  <si>
    <t xml:space="preserve"> 3031.0</t>
  </si>
  <si>
    <t xml:space="preserve"> 18840.0</t>
  </si>
  <si>
    <t xml:space="preserve"> 9546.0</t>
  </si>
  <si>
    <t xml:space="preserve"> 9294.0</t>
  </si>
  <si>
    <t xml:space="preserve"> 3698.0</t>
  </si>
  <si>
    <t>Algarrobo</t>
  </si>
  <si>
    <t xml:space="preserve"> 9820.0</t>
  </si>
  <si>
    <t xml:space="preserve"> 2577.0</t>
  </si>
  <si>
    <t xml:space="preserve"> 16095.0</t>
  </si>
  <si>
    <t xml:space="preserve"> 8160.0</t>
  </si>
  <si>
    <t xml:space="preserve"> 7935.0</t>
  </si>
  <si>
    <t xml:space="preserve"> 4571.0</t>
  </si>
  <si>
    <t>Casablanca</t>
  </si>
  <si>
    <t xml:space="preserve"> 20244.0</t>
  </si>
  <si>
    <t xml:space="preserve"> 5728.0</t>
  </si>
  <si>
    <t xml:space="preserve"> 30543.0</t>
  </si>
  <si>
    <t xml:space="preserve"> 15474.0</t>
  </si>
  <si>
    <t xml:space="preserve"> 15069.0</t>
  </si>
  <si>
    <t xml:space="preserve"> 30865.0</t>
  </si>
  <si>
    <t>Quilpué</t>
  </si>
  <si>
    <t xml:space="preserve"> 113575.0</t>
  </si>
  <si>
    <t xml:space="preserve"> 29151.0</t>
  </si>
  <si>
    <t xml:space="preserve"> 173591.0</t>
  </si>
  <si>
    <t xml:space="preserve"> 89365.0</t>
  </si>
  <si>
    <t xml:space="preserve"> 84226.0</t>
  </si>
  <si>
    <t xml:space="preserve"> 23423.0</t>
  </si>
  <si>
    <t>Villa Alemana</t>
  </si>
  <si>
    <t xml:space="preserve"> 96987.0</t>
  </si>
  <si>
    <t xml:space="preserve"> 27008.0</t>
  </si>
  <si>
    <t xml:space="preserve"> 147418.0</t>
  </si>
  <si>
    <t xml:space="preserve"> 75881.0</t>
  </si>
  <si>
    <t xml:space="preserve"> 71537.0</t>
  </si>
  <si>
    <t xml:space="preserve"> 52596.0</t>
  </si>
  <si>
    <t>Valparaíso</t>
  </si>
  <si>
    <t xml:space="preserve"> 215854.0</t>
  </si>
  <si>
    <t xml:space="preserve"> 52366.0</t>
  </si>
  <si>
    <t xml:space="preserve"> 320816.0</t>
  </si>
  <si>
    <t xml:space="preserve"> 163123.0</t>
  </si>
  <si>
    <t xml:space="preserve"> 157693.0</t>
  </si>
  <si>
    <t xml:space="preserve"> 66931.0</t>
  </si>
  <si>
    <t>Viña Del Mar</t>
  </si>
  <si>
    <t xml:space="preserve"> 248168.0</t>
  </si>
  <si>
    <t xml:space="preserve"> 56391.0</t>
  </si>
  <si>
    <t xml:space="preserve"> 371490.0</t>
  </si>
  <si>
    <t xml:space="preserve"> 192135.0</t>
  </si>
  <si>
    <t xml:space="preserve"> 179355.0</t>
  </si>
  <si>
    <t xml:space="preserve"> 8782.0</t>
  </si>
  <si>
    <t>Limache</t>
  </si>
  <si>
    <t xml:space="preserve"> 33293.0</t>
  </si>
  <si>
    <t xml:space="preserve"> 9622.0</t>
  </si>
  <si>
    <t xml:space="preserve"> 51697.0</t>
  </si>
  <si>
    <t xml:space="preserve"> 26555.0</t>
  </si>
  <si>
    <t xml:space="preserve"> 25142.0</t>
  </si>
  <si>
    <t xml:space="preserve"> 3905.0</t>
  </si>
  <si>
    <t>Olmué</t>
  </si>
  <si>
    <t xml:space="preserve"> 12861.0</t>
  </si>
  <si>
    <t xml:space="preserve"> 3481.0</t>
  </si>
  <si>
    <t xml:space="preserve"> 20247.0</t>
  </si>
  <si>
    <t xml:space="preserve"> 10291.0</t>
  </si>
  <si>
    <t xml:space="preserve"> 9956.0</t>
  </si>
  <si>
    <t xml:space="preserve"> 6925.0</t>
  </si>
  <si>
    <t>Concón</t>
  </si>
  <si>
    <t xml:space="preserve"> 32557.0</t>
  </si>
  <si>
    <t xml:space="preserve"> 8689.0</t>
  </si>
  <si>
    <t xml:space="preserve"> 48171.0</t>
  </si>
  <si>
    <t xml:space="preserve"> 24593.0</t>
  </si>
  <si>
    <t xml:space="preserve"> 23578.0</t>
  </si>
  <si>
    <t xml:space="preserve"> 16268.0</t>
  </si>
  <si>
    <t>Quillota</t>
  </si>
  <si>
    <t xml:space="preserve"> 66224.0</t>
  </si>
  <si>
    <t xml:space="preserve"> 18480.0</t>
  </si>
  <si>
    <t xml:space="preserve"> 100972.0</t>
  </si>
  <si>
    <t xml:space="preserve"> 51698.0</t>
  </si>
  <si>
    <t xml:space="preserve"> 49274.0</t>
  </si>
  <si>
    <t>Calle Larga</t>
  </si>
  <si>
    <t xml:space="preserve"> 11552.0</t>
  </si>
  <si>
    <t xml:space="preserve"> 3676.0</t>
  </si>
  <si>
    <t xml:space="preserve"> 17673.0</t>
  </si>
  <si>
    <t xml:space="preserve"> 8984.0</t>
  </si>
  <si>
    <t xml:space="preserve"> 1603.0</t>
  </si>
  <si>
    <t>Rinconada</t>
  </si>
  <si>
    <t xml:space="preserve"> 7867.0</t>
  </si>
  <si>
    <t xml:space="preserve"> 2560.0</t>
  </si>
  <si>
    <t xml:space="preserve"> 12030.0</t>
  </si>
  <si>
    <t xml:space="preserve"> 6059.0</t>
  </si>
  <si>
    <t xml:space="preserve"> 5971.0</t>
  </si>
  <si>
    <t xml:space="preserve"> 4134.0</t>
  </si>
  <si>
    <t>Llaillay</t>
  </si>
  <si>
    <t xml:space="preserve"> 17817.0</t>
  </si>
  <si>
    <t xml:space="preserve"> 5335.0</t>
  </si>
  <si>
    <t xml:space="preserve"> 27286.0</t>
  </si>
  <si>
    <t xml:space="preserve"> 13780.0</t>
  </si>
  <si>
    <t xml:space="preserve"> 13506.0</t>
  </si>
  <si>
    <t xml:space="preserve"> 10466.0</t>
  </si>
  <si>
    <t>Los Andes</t>
  </si>
  <si>
    <t xml:space="preserve"> 45425.0</t>
  </si>
  <si>
    <t xml:space="preserve"> 13048.0</t>
  </si>
  <si>
    <t xml:space="preserve"> 68939.0</t>
  </si>
  <si>
    <t xml:space="preserve"> 35239.0</t>
  </si>
  <si>
    <t xml:space="preserve"> 33700.0</t>
  </si>
  <si>
    <t xml:space="preserve"> 3528.0</t>
  </si>
  <si>
    <t>La Cruz</t>
  </si>
  <si>
    <t xml:space="preserve"> 18538.0</t>
  </si>
  <si>
    <t xml:space="preserve"> 5832.0</t>
  </si>
  <si>
    <t xml:space="preserve"> 27898.0</t>
  </si>
  <si>
    <t xml:space="preserve"> 14274.0</t>
  </si>
  <si>
    <t xml:space="preserve"> 13624.0</t>
  </si>
  <si>
    <t xml:space="preserve"> 3170.0</t>
  </si>
  <si>
    <t>San Esteban</t>
  </si>
  <si>
    <t xml:space="preserve"> 14236.0</t>
  </si>
  <si>
    <t xml:space="preserve"> 4350.0</t>
  </si>
  <si>
    <t xml:space="preserve"> 21756.0</t>
  </si>
  <si>
    <t xml:space="preserve"> 11042.0</t>
  </si>
  <si>
    <t xml:space="preserve"> 10714.0</t>
  </si>
  <si>
    <t xml:space="preserve"> 2799.0</t>
  </si>
  <si>
    <t>Hijuelas</t>
  </si>
  <si>
    <t xml:space="preserve"> 12954.0</t>
  </si>
  <si>
    <t xml:space="preserve"> 3711.0</t>
  </si>
  <si>
    <t xml:space="preserve"> 19464.0</t>
  </si>
  <si>
    <t xml:space="preserve"> 9786.0</t>
  </si>
  <si>
    <t xml:space="preserve"> 9678.0</t>
  </si>
  <si>
    <t xml:space="preserve"> 8579.0</t>
  </si>
  <si>
    <t>Calera</t>
  </si>
  <si>
    <t xml:space="preserve"> 35255.0</t>
  </si>
  <si>
    <t xml:space="preserve"> 10068.0</t>
  </si>
  <si>
    <t xml:space="preserve"> 53902.0</t>
  </si>
  <si>
    <t xml:space="preserve"> 27469.0</t>
  </si>
  <si>
    <t xml:space="preserve"> 26433.0</t>
  </si>
  <si>
    <t xml:space="preserve"> 6265.0</t>
  </si>
  <si>
    <t>Quintero</t>
  </si>
  <si>
    <t xml:space="preserve"> 25027.0</t>
  </si>
  <si>
    <t xml:space="preserve"> 7321.0</t>
  </si>
  <si>
    <t xml:space="preserve"> 38613.0</t>
  </si>
  <si>
    <t xml:space="preserve"> 19532.0</t>
  </si>
  <si>
    <t xml:space="preserve"> 19081.0</t>
  </si>
  <si>
    <t>Catemu</t>
  </si>
  <si>
    <t xml:space="preserve"> 10213.0</t>
  </si>
  <si>
    <t xml:space="preserve"> 2998.0</t>
  </si>
  <si>
    <t xml:space="preserve"> 15714.0</t>
  </si>
  <si>
    <t xml:space="preserve"> 7910.0</t>
  </si>
  <si>
    <t xml:space="preserve"> 7804.0</t>
  </si>
  <si>
    <t xml:space="preserve"> 1133.0</t>
  </si>
  <si>
    <t>Panquehue</t>
  </si>
  <si>
    <t xml:space="preserve"> 5203.0</t>
  </si>
  <si>
    <t xml:space="preserve"> 7841.0</t>
  </si>
  <si>
    <t xml:space="preserve"> 3935.0</t>
  </si>
  <si>
    <t xml:space="preserve"> 3906.0</t>
  </si>
  <si>
    <t xml:space="preserve"> 12374.0</t>
  </si>
  <si>
    <t>San Felipe</t>
  </si>
  <si>
    <t xml:space="preserve"> 57395.0</t>
  </si>
  <si>
    <t xml:space="preserve"> 17069.0</t>
  </si>
  <si>
    <t xml:space="preserve"> 86838.0</t>
  </si>
  <si>
    <t xml:space="preserve"> 44359.0</t>
  </si>
  <si>
    <t xml:space="preserve"> 42479.0</t>
  </si>
  <si>
    <t xml:space="preserve"> 2580.0</t>
  </si>
  <si>
    <t>Santa María</t>
  </si>
  <si>
    <t xml:space="preserve"> 3216.0</t>
  </si>
  <si>
    <t xml:space="preserve"> 16962.0</t>
  </si>
  <si>
    <t xml:space="preserve"> 8557.0</t>
  </si>
  <si>
    <t xml:space="preserve"> 8405.0</t>
  </si>
  <si>
    <t>Nogales</t>
  </si>
  <si>
    <t xml:space="preserve"> 15337.0</t>
  </si>
  <si>
    <t xml:space="preserve"> 4504.0</t>
  </si>
  <si>
    <t xml:space="preserve"> 23645.0</t>
  </si>
  <si>
    <t xml:space="preserve"> 11985.0</t>
  </si>
  <si>
    <t xml:space="preserve"> 11660.0</t>
  </si>
  <si>
    <t xml:space="preserve"> 3728.0</t>
  </si>
  <si>
    <t>Puchuncaví</t>
  </si>
  <si>
    <t xml:space="preserve"> 13613.0</t>
  </si>
  <si>
    <t xml:space="preserve"> 3880.0</t>
  </si>
  <si>
    <t xml:space="preserve"> 21221.0</t>
  </si>
  <si>
    <t xml:space="preserve"> 10692.0</t>
  </si>
  <si>
    <t xml:space="preserve"> 10529.0</t>
  </si>
  <si>
    <t xml:space="preserve"> 3278.0</t>
  </si>
  <si>
    <t>Putaendo</t>
  </si>
  <si>
    <t xml:space="preserve"> 11467.0</t>
  </si>
  <si>
    <t xml:space="preserve"> 18023.0</t>
  </si>
  <si>
    <t xml:space="preserve"> 9108.0</t>
  </si>
  <si>
    <t xml:space="preserve"> 8915.0</t>
  </si>
  <si>
    <t>Zapallar</t>
  </si>
  <si>
    <t xml:space="preserve"> 5513.0</t>
  </si>
  <si>
    <t xml:space="preserve"> 1409.0</t>
  </si>
  <si>
    <t xml:space="preserve"> 8368.0</t>
  </si>
  <si>
    <t xml:space="preserve"> 1037.0</t>
  </si>
  <si>
    <t>Papudo</t>
  </si>
  <si>
    <t xml:space="preserve"> 4270.0</t>
  </si>
  <si>
    <t xml:space="preserve"> 1131.0</t>
  </si>
  <si>
    <t xml:space="preserve"> 6438.0</t>
  </si>
  <si>
    <t xml:space="preserve"> 3240.0</t>
  </si>
  <si>
    <t xml:space="preserve"> 3198.0</t>
  </si>
  <si>
    <t xml:space="preserve"> 6324.0</t>
  </si>
  <si>
    <t>La Ligua</t>
  </si>
  <si>
    <t xml:space="preserve"> 25021.0</t>
  </si>
  <si>
    <t xml:space="preserve"> 7042.0</t>
  </si>
  <si>
    <t xml:space="preserve"> 38387.0</t>
  </si>
  <si>
    <t xml:space="preserve"> 19544.0</t>
  </si>
  <si>
    <t xml:space="preserve"> 18843.0</t>
  </si>
  <si>
    <t xml:space="preserve"> 3150.0</t>
  </si>
  <si>
    <t>Cabildo</t>
  </si>
  <si>
    <t xml:space="preserve"> 13447.0</t>
  </si>
  <si>
    <t xml:space="preserve"> 4160.0</t>
  </si>
  <si>
    <t xml:space="preserve"> 20757.0</t>
  </si>
  <si>
    <t xml:space="preserve"> 10546.0</t>
  </si>
  <si>
    <t xml:space="preserve"> 10211.0</t>
  </si>
  <si>
    <t>Petorca</t>
  </si>
  <si>
    <t xml:space="preserve"> 6906.0</t>
  </si>
  <si>
    <t xml:space="preserve"> 1830.0</t>
  </si>
  <si>
    <t xml:space="preserve"> 10633.0</t>
  </si>
  <si>
    <t xml:space="preserve"> 5352.0</t>
  </si>
  <si>
    <t xml:space="preserve"> 5281.0</t>
  </si>
  <si>
    <t xml:space="preserve"> 650.0</t>
  </si>
  <si>
    <t>Isla De Pascua</t>
  </si>
  <si>
    <t xml:space="preserve"> 6351.0</t>
  </si>
  <si>
    <t xml:space="preserve"> 1871.0</t>
  </si>
  <si>
    <t xml:space="preserve"> 8872.0</t>
  </si>
  <si>
    <t xml:space="preserve"> 4381.0</t>
  </si>
  <si>
    <t xml:space="preserve"> 336460.0</t>
  </si>
  <si>
    <t>Región De Valparaíso</t>
  </si>
  <si>
    <t xml:space="preserve"> 1334614.0</t>
  </si>
  <si>
    <t xml:space="preserve"> 354619.0</t>
  </si>
  <si>
    <t xml:space="preserve"> 2025693.0</t>
  </si>
  <si>
    <t xml:space="preserve"> 1035345.0</t>
  </si>
  <si>
    <t xml:space="preserve"> 990348.0</t>
  </si>
  <si>
    <t xml:space="preserve"> 3953.0</t>
  </si>
  <si>
    <t>Los Vilos</t>
  </si>
  <si>
    <t xml:space="preserve"> 15823.0</t>
  </si>
  <si>
    <t xml:space="preserve"> 4632.0</t>
  </si>
  <si>
    <t xml:space="preserve"> 24408.0</t>
  </si>
  <si>
    <t xml:space="preserve"> 12143.0</t>
  </si>
  <si>
    <t xml:space="preserve"> 12265.0</t>
  </si>
  <si>
    <t xml:space="preserve"> 4961.0</t>
  </si>
  <si>
    <t>Salamanca</t>
  </si>
  <si>
    <t xml:space="preserve"> 19318.0</t>
  </si>
  <si>
    <t xml:space="preserve"> 5637.0</t>
  </si>
  <si>
    <t xml:space="preserve"> 29916.0</t>
  </si>
  <si>
    <t xml:space="preserve"> 5701.0</t>
  </si>
  <si>
    <t>Illapel</t>
  </si>
  <si>
    <t xml:space="preserve"> 20972.0</t>
  </si>
  <si>
    <t xml:space="preserve"> 6348.0</t>
  </si>
  <si>
    <t xml:space="preserve"> 16976.0</t>
  </si>
  <si>
    <t xml:space="preserve"> 16045.0</t>
  </si>
  <si>
    <t xml:space="preserve"> 2298.0</t>
  </si>
  <si>
    <t>Canela</t>
  </si>
  <si>
    <t xml:space="preserve"> 5703.0</t>
  </si>
  <si>
    <t xml:space="preserve"> 1508.0</t>
  </si>
  <si>
    <t xml:space="preserve"> 9509.0</t>
  </si>
  <si>
    <t xml:space="preserve"> 4760.0</t>
  </si>
  <si>
    <t xml:space="preserve"> 4749.0</t>
  </si>
  <si>
    <t xml:space="preserve"> 3213.0</t>
  </si>
  <si>
    <t>Combarbalá</t>
  </si>
  <si>
    <t xml:space="preserve"> 8411.0</t>
  </si>
  <si>
    <t xml:space="preserve"> 13855.0</t>
  </si>
  <si>
    <t xml:space="preserve"> 7029.0</t>
  </si>
  <si>
    <t xml:space="preserve"> 6826.0</t>
  </si>
  <si>
    <t xml:space="preserve"> 2311.0</t>
  </si>
  <si>
    <t>Punitaqui</t>
  </si>
  <si>
    <t xml:space="preserve"> 7719.0</t>
  </si>
  <si>
    <t xml:space="preserve"> 2484.0</t>
  </si>
  <si>
    <t xml:space="preserve"> 6342.0</t>
  </si>
  <si>
    <t xml:space="preserve"> 6172.0</t>
  </si>
  <si>
    <t xml:space="preserve"> 5332.0</t>
  </si>
  <si>
    <t>Monte Patria</t>
  </si>
  <si>
    <t xml:space="preserve"> 20925.0</t>
  </si>
  <si>
    <t xml:space="preserve"> 6415.0</t>
  </si>
  <si>
    <t xml:space="preserve"> 32672.0</t>
  </si>
  <si>
    <t xml:space="preserve"> 16509.0</t>
  </si>
  <si>
    <t xml:space="preserve"> 16163.0</t>
  </si>
  <si>
    <t xml:space="preserve"> 18569.0</t>
  </si>
  <si>
    <t>Ovalle</t>
  </si>
  <si>
    <t xml:space="preserve"> 81212.0</t>
  </si>
  <si>
    <t xml:space="preserve"> 24620.0</t>
  </si>
  <si>
    <t xml:space="preserve"> 124401.0</t>
  </si>
  <si>
    <t xml:space="preserve"> 63505.0</t>
  </si>
  <si>
    <t xml:space="preserve"> 60896.0</t>
  </si>
  <si>
    <t xml:space="preserve"> 1043.0</t>
  </si>
  <si>
    <t>Río Hurtado</t>
  </si>
  <si>
    <t xml:space="preserve"> 2601.0</t>
  </si>
  <si>
    <t xml:space="preserve"> 4308.0</t>
  </si>
  <si>
    <t xml:space="preserve"> 2195.0</t>
  </si>
  <si>
    <t xml:space="preserve"> 2113.0</t>
  </si>
  <si>
    <t xml:space="preserve"> 1985.0</t>
  </si>
  <si>
    <t>Andacollo</t>
  </si>
  <si>
    <t xml:space="preserve"> 2309.0</t>
  </si>
  <si>
    <t xml:space="preserve"> 11836.0</t>
  </si>
  <si>
    <t xml:space="preserve"> 5964.0</t>
  </si>
  <si>
    <t xml:space="preserve"> 4734.0</t>
  </si>
  <si>
    <t>Vicuña</t>
  </si>
  <si>
    <t xml:space="preserve"> 19829.0</t>
  </si>
  <si>
    <t xml:space="preserve"> 5978.0</t>
  </si>
  <si>
    <t xml:space="preserve"> 30541.0</t>
  </si>
  <si>
    <t xml:space="preserve"> 15019.0</t>
  </si>
  <si>
    <t xml:space="preserve"> 857.0</t>
  </si>
  <si>
    <t>Paiguano</t>
  </si>
  <si>
    <t xml:space="preserve"> 3062.0</t>
  </si>
  <si>
    <t xml:space="preserve"> 790.0</t>
  </si>
  <si>
    <t xml:space="preserve"> 4709.0</t>
  </si>
  <si>
    <t xml:space="preserve"> 2389.0</t>
  </si>
  <si>
    <t xml:space="preserve"> 2320.0</t>
  </si>
  <si>
    <t xml:space="preserve"> 36310.0</t>
  </si>
  <si>
    <t>Coquimbo</t>
  </si>
  <si>
    <t xml:space="preserve"> 184127.0</t>
  </si>
  <si>
    <t xml:space="preserve"> 55207.0</t>
  </si>
  <si>
    <t xml:space="preserve"> 275644.0</t>
  </si>
  <si>
    <t xml:space="preserve"> 141325.0</t>
  </si>
  <si>
    <t xml:space="preserve"> 134319.0</t>
  </si>
  <si>
    <t xml:space="preserve"> 36299.0</t>
  </si>
  <si>
    <t>La Serena</t>
  </si>
  <si>
    <t xml:space="preserve"> 180290.0</t>
  </si>
  <si>
    <t xml:space="preserve"> 50811.0</t>
  </si>
  <si>
    <t xml:space="preserve"> 267400.0</t>
  </si>
  <si>
    <t xml:space="preserve"> 137104.0</t>
  </si>
  <si>
    <t xml:space="preserve"> 130296.0</t>
  </si>
  <si>
    <t xml:space="preserve"> 773.0</t>
  </si>
  <si>
    <t>La Higuera</t>
  </si>
  <si>
    <t xml:space="preserve"> 2837.0</t>
  </si>
  <si>
    <t xml:space="preserve"> 4533.0</t>
  </si>
  <si>
    <t xml:space="preserve"> 2249.0</t>
  </si>
  <si>
    <t xml:space="preserve"> 128339.0</t>
  </si>
  <si>
    <t>Región De Coquimbo</t>
  </si>
  <si>
    <t xml:space="preserve"> 580371.0</t>
  </si>
  <si>
    <t xml:space="preserve"> 170557.0</t>
  </si>
  <si>
    <t xml:space="preserve"> 879267.0</t>
  </si>
  <si>
    <t xml:space="preserve"> 449019.0</t>
  </si>
  <si>
    <t xml:space="preserve"> 430248.0</t>
  </si>
  <si>
    <t xml:space="preserve"> 1169.0</t>
  </si>
  <si>
    <t>Alto Del Carmen</t>
  </si>
  <si>
    <t xml:space="preserve"> 3565.0</t>
  </si>
  <si>
    <t xml:space="preserve"> 1047.0</t>
  </si>
  <si>
    <t xml:space="preserve"> 5781.0</t>
  </si>
  <si>
    <t xml:space="preserve"> 2802.0</t>
  </si>
  <si>
    <t xml:space="preserve"> 2979.0</t>
  </si>
  <si>
    <t xml:space="preserve"> 8702.0</t>
  </si>
  <si>
    <t>Vallenar</t>
  </si>
  <si>
    <t xml:space="preserve"> 36693.0</t>
  </si>
  <si>
    <t xml:space="preserve"> 11965.0</t>
  </si>
  <si>
    <t xml:space="preserve"> 57360.0</t>
  </si>
  <si>
    <t xml:space="preserve"> 28586.0</t>
  </si>
  <si>
    <t xml:space="preserve"> 28774.0</t>
  </si>
  <si>
    <t xml:space="preserve"> 1233.0</t>
  </si>
  <si>
    <t>Freirina</t>
  </si>
  <si>
    <t xml:space="preserve"> 4954.0</t>
  </si>
  <si>
    <t xml:space="preserve"> 1653.0</t>
  </si>
  <si>
    <t xml:space="preserve"> 7840.0</t>
  </si>
  <si>
    <t xml:space="preserve"> 3879.0</t>
  </si>
  <si>
    <t xml:space="preserve"> 3961.0</t>
  </si>
  <si>
    <t xml:space="preserve"> 1761.0</t>
  </si>
  <si>
    <t>Huasco</t>
  </si>
  <si>
    <t xml:space="preserve"> 2364.0</t>
  </si>
  <si>
    <t xml:space="preserve"> 11590.0</t>
  </si>
  <si>
    <t xml:space="preserve"> 5692.0</t>
  </si>
  <si>
    <t xml:space="preserve"> 5898.0</t>
  </si>
  <si>
    <t xml:space="preserve"> 1495.0</t>
  </si>
  <si>
    <t>Tierra Amarilla</t>
  </si>
  <si>
    <t xml:space="preserve"> 9756.0</t>
  </si>
  <si>
    <t xml:space="preserve"> 3180.0</t>
  </si>
  <si>
    <t xml:space="preserve"> 14431.0</t>
  </si>
  <si>
    <t xml:space="preserve"> 6978.0</t>
  </si>
  <si>
    <t xml:space="preserve"> 7453.0</t>
  </si>
  <si>
    <t xml:space="preserve"> 19784.0</t>
  </si>
  <si>
    <t>Copiapó</t>
  </si>
  <si>
    <t xml:space="preserve"> 119037.0</t>
  </si>
  <si>
    <t xml:space="preserve"> 37279.0</t>
  </si>
  <si>
    <t xml:space="preserve"> 176100.0</t>
  </si>
  <si>
    <t xml:space="preserve"> 87626.0</t>
  </si>
  <si>
    <t xml:space="preserve"> 88474.0</t>
  </si>
  <si>
    <t>Caldera</t>
  </si>
  <si>
    <t xml:space="preserve"> 13240.0</t>
  </si>
  <si>
    <t xml:space="preserve"> 4164.0</t>
  </si>
  <si>
    <t xml:space="preserve"> 19964.0</t>
  </si>
  <si>
    <t xml:space="preserve"> 9832.0</t>
  </si>
  <si>
    <t xml:space="preserve"> 10132.0</t>
  </si>
  <si>
    <t xml:space="preserve"> 1320.0</t>
  </si>
  <si>
    <t>Diego De Almagro</t>
  </si>
  <si>
    <t xml:space="preserve"> 9372.0</t>
  </si>
  <si>
    <t xml:space="preserve"> 3217.0</t>
  </si>
  <si>
    <t xml:space="preserve"> 13909.0</t>
  </si>
  <si>
    <t xml:space="preserve"> 6848.0</t>
  </si>
  <si>
    <t xml:space="preserve"> 7061.0</t>
  </si>
  <si>
    <t xml:space="preserve"> 1843.0</t>
  </si>
  <si>
    <t>Chañaral</t>
  </si>
  <si>
    <t xml:space="preserve"> 8301.0</t>
  </si>
  <si>
    <t xml:space="preserve"> 2873.0</t>
  </si>
  <si>
    <t xml:space="preserve"> 13017.0</t>
  </si>
  <si>
    <t xml:space="preserve"> 6418.0</t>
  </si>
  <si>
    <t xml:space="preserve"> 6599.0</t>
  </si>
  <si>
    <t xml:space="preserve"> 39867.0</t>
  </si>
  <si>
    <t>Región De Atacama</t>
  </si>
  <si>
    <t xml:space="preserve"> 212383.0</t>
  </si>
  <si>
    <t xml:space="preserve"> 67742.0</t>
  </si>
  <si>
    <t xml:space="preserve"> 319992.0</t>
  </si>
  <si>
    <t xml:space="preserve"> 158661.0</t>
  </si>
  <si>
    <t xml:space="preserve"> 161331.0</t>
  </si>
  <si>
    <t xml:space="preserve"> 1577.0</t>
  </si>
  <si>
    <t>Taltal</t>
  </si>
  <si>
    <t xml:space="preserve"> 9359.0</t>
  </si>
  <si>
    <t xml:space="preserve"> 13967.0</t>
  </si>
  <si>
    <t xml:space="preserve"> 6878.0</t>
  </si>
  <si>
    <t xml:space="preserve"> 7089.0</t>
  </si>
  <si>
    <t xml:space="preserve"> 40586.0</t>
  </si>
  <si>
    <t>Antofagasta</t>
  </si>
  <si>
    <t xml:space="preserve"> 317408.0</t>
  </si>
  <si>
    <t xml:space="preserve"> 86282.0</t>
  </si>
  <si>
    <t xml:space="preserve"> 444276.0</t>
  </si>
  <si>
    <t xml:space="preserve"> 221464.0</t>
  </si>
  <si>
    <t xml:space="preserve"> 222812.0</t>
  </si>
  <si>
    <t xml:space="preserve"> 1162.0</t>
  </si>
  <si>
    <t>Mejillones</t>
  </si>
  <si>
    <t xml:space="preserve"> 11551.0</t>
  </si>
  <si>
    <t xml:space="preserve"> 3164.0</t>
  </si>
  <si>
    <t xml:space="preserve"> 15877.0</t>
  </si>
  <si>
    <t xml:space="preserve"> 7642.0</t>
  </si>
  <si>
    <t xml:space="preserve"> 8235.0</t>
  </si>
  <si>
    <t xml:space="preserve"> 906.0</t>
  </si>
  <si>
    <t>San Pedro De Atacama</t>
  </si>
  <si>
    <t xml:space="preserve"> 8081.0</t>
  </si>
  <si>
    <t xml:space="preserve"> 2043.0</t>
  </si>
  <si>
    <t xml:space="preserve"> 11030.0</t>
  </si>
  <si>
    <t xml:space="preserve"> 5469.0</t>
  </si>
  <si>
    <t xml:space="preserve"> 5561.0</t>
  </si>
  <si>
    <t>Sierra Gorda</t>
  </si>
  <si>
    <t xml:space="preserve"> 1339.0</t>
  </si>
  <si>
    <t xml:space="preserve"> 1800.0</t>
  </si>
  <si>
    <t xml:space="preserve"> 852.0</t>
  </si>
  <si>
    <t xml:space="preserve"> 948.0</t>
  </si>
  <si>
    <t xml:space="preserve"> 15705.0</t>
  </si>
  <si>
    <t>Calama</t>
  </si>
  <si>
    <t xml:space="preserve"> 139237.0</t>
  </si>
  <si>
    <t xml:space="preserve"> 41210.0</t>
  </si>
  <si>
    <t xml:space="preserve"> 196152.0</t>
  </si>
  <si>
    <t xml:space="preserve"> 97470.0</t>
  </si>
  <si>
    <t xml:space="preserve"> 98682.0</t>
  </si>
  <si>
    <t xml:space="preserve"> 455.0</t>
  </si>
  <si>
    <t>María Elena</t>
  </si>
  <si>
    <t xml:space="preserve"> 4787.0</t>
  </si>
  <si>
    <t xml:space="preserve"> 1265.0</t>
  </si>
  <si>
    <t xml:space="preserve"> 6507.0</t>
  </si>
  <si>
    <t xml:space="preserve"> 3167.0</t>
  </si>
  <si>
    <t xml:space="preserve"> 3340.0</t>
  </si>
  <si>
    <t xml:space="preserve"> 3514.0</t>
  </si>
  <si>
    <t>Tocopilla</t>
  </si>
  <si>
    <t xml:space="preserve"> 18649.0</t>
  </si>
  <si>
    <t xml:space="preserve"> 6191.0</t>
  </si>
  <si>
    <t xml:space="preserve"> 28354.0</t>
  </si>
  <si>
    <t xml:space="preserve"> 14155.0</t>
  </si>
  <si>
    <t xml:space="preserve"> 14199.0</t>
  </si>
  <si>
    <t xml:space="preserve"> 32.0</t>
  </si>
  <si>
    <t>Ollagüe</t>
  </si>
  <si>
    <t xml:space="preserve"> 186.0</t>
  </si>
  <si>
    <t xml:space="preserve"> 51.0</t>
  </si>
  <si>
    <t xml:space="preserve"> 269.0</t>
  </si>
  <si>
    <t xml:space="preserve"> 143.0</t>
  </si>
  <si>
    <t xml:space="preserve"> 64044.0</t>
  </si>
  <si>
    <t>Región De Antofagasta</t>
  </si>
  <si>
    <t xml:space="preserve"> 510597.0</t>
  </si>
  <si>
    <t xml:space="preserve"> 143591.0</t>
  </si>
  <si>
    <t xml:space="preserve"> 718232.0</t>
  </si>
  <si>
    <t xml:space="preserve"> 357223.0</t>
  </si>
  <si>
    <t xml:space="preserve"> 361009.0</t>
  </si>
  <si>
    <t xml:space="preserve"> 1076.0</t>
  </si>
  <si>
    <t>Pica</t>
  </si>
  <si>
    <t xml:space="preserve"> 3869.0</t>
  </si>
  <si>
    <t xml:space="preserve"> 1346.0</t>
  </si>
  <si>
    <t xml:space="preserve"> 6291.0</t>
  </si>
  <si>
    <t xml:space="preserve"> 3112.0</t>
  </si>
  <si>
    <t xml:space="preserve"> 3179.0</t>
  </si>
  <si>
    <t xml:space="preserve"> 7700.0</t>
  </si>
  <si>
    <t>Alto Hospicio</t>
  </si>
  <si>
    <t xml:space="preserve"> 97562.0</t>
  </si>
  <si>
    <t xml:space="preserve"> 38032.0</t>
  </si>
  <si>
    <t xml:space="preserve"> 143294.0</t>
  </si>
  <si>
    <t xml:space="preserve"> 71247.0</t>
  </si>
  <si>
    <t xml:space="preserve"> 72047.0</t>
  </si>
  <si>
    <t xml:space="preserve"> 1854.0</t>
  </si>
  <si>
    <t>Pozo Almonte</t>
  </si>
  <si>
    <t xml:space="preserve"> 12438.0</t>
  </si>
  <si>
    <t xml:space="preserve"> 4421.0</t>
  </si>
  <si>
    <t xml:space="preserve"> 18713.0</t>
  </si>
  <si>
    <t xml:space="preserve"> 9740.0</t>
  </si>
  <si>
    <t>Iquique</t>
  </si>
  <si>
    <t xml:space="preserve"> 161119.0</t>
  </si>
  <si>
    <t xml:space="preserve"> 44442.0</t>
  </si>
  <si>
    <t xml:space="preserve"> 231962.0</t>
  </si>
  <si>
    <t xml:space="preserve"> 115428.0</t>
  </si>
  <si>
    <t xml:space="preserve"> 116534.0</t>
  </si>
  <si>
    <t xml:space="preserve"> 572.0</t>
  </si>
  <si>
    <t>Huara</t>
  </si>
  <si>
    <t xml:space="preserve"> 1865.0</t>
  </si>
  <si>
    <t xml:space="preserve"> 658.0</t>
  </si>
  <si>
    <t xml:space="preserve"> 3095.0</t>
  </si>
  <si>
    <t xml:space="preserve"> 1485.0</t>
  </si>
  <si>
    <t xml:space="preserve"> 1610.0</t>
  </si>
  <si>
    <t xml:space="preserve"> 271.0</t>
  </si>
  <si>
    <t>Camiña</t>
  </si>
  <si>
    <t xml:space="preserve"> 831.0</t>
  </si>
  <si>
    <t xml:space="preserve"> 272.0</t>
  </si>
  <si>
    <t xml:space="preserve"> 1374.0</t>
  </si>
  <si>
    <t xml:space="preserve"> 671.0</t>
  </si>
  <si>
    <t xml:space="preserve"> 703.0</t>
  </si>
  <si>
    <t xml:space="preserve"> 312.0</t>
  </si>
  <si>
    <t>Colchane</t>
  </si>
  <si>
    <t xml:space="preserve"> 995.0</t>
  </si>
  <si>
    <t xml:space="preserve"> 251.0</t>
  </si>
  <si>
    <t xml:space="preserve"> 1558.0</t>
  </si>
  <si>
    <t xml:space="preserve"> 743.0</t>
  </si>
  <si>
    <t xml:space="preserve"> 38186.0</t>
  </si>
  <si>
    <t>Región De Tarapacá</t>
  </si>
  <si>
    <t xml:space="preserve"> 278679.0</t>
  </si>
  <si>
    <t xml:space="preserve"> 89422.0</t>
  </si>
  <si>
    <t xml:space="preserve"> 406287.0</t>
  </si>
  <si>
    <t xml:space="preserve"> 201659.0</t>
  </si>
  <si>
    <t xml:space="preserve"> 204628.0</t>
  </si>
  <si>
    <t xml:space="preserve"> 268.0</t>
  </si>
  <si>
    <t xml:space="preserve"> 800.0</t>
  </si>
  <si>
    <t xml:space="preserve"> 178.0</t>
  </si>
  <si>
    <t xml:space="preserve"> 1246.0</t>
  </si>
  <si>
    <t xml:space="preserve"> 606.0</t>
  </si>
  <si>
    <t xml:space="preserve"> 640.0</t>
  </si>
  <si>
    <t xml:space="preserve"> 32829.0</t>
  </si>
  <si>
    <t xml:space="preserve"> 173370.0</t>
  </si>
  <si>
    <t xml:space="preserve"> 50964.0</t>
  </si>
  <si>
    <t xml:space="preserve"> 257163.0</t>
  </si>
  <si>
    <t xml:space="preserve"> 127593.0</t>
  </si>
  <si>
    <t xml:space="preserve"> 129570.0</t>
  </si>
  <si>
    <t xml:space="preserve"> 350.0</t>
  </si>
  <si>
    <t xml:space="preserve"> 1928.0</t>
  </si>
  <si>
    <t xml:space="preserve"> 291.0</t>
  </si>
  <si>
    <t xml:space="preserve"> 2569.0</t>
  </si>
  <si>
    <t xml:space="preserve"> 1488.0</t>
  </si>
  <si>
    <t xml:space="preserve"> 145.0</t>
  </si>
  <si>
    <t xml:space="preserve"> 546.0</t>
  </si>
  <si>
    <t xml:space="preserve"> 110.0</t>
  </si>
  <si>
    <t xml:space="preserve"> 801.0</t>
  </si>
  <si>
    <t xml:space="preserve"> 374.0</t>
  </si>
  <si>
    <t xml:space="preserve"> 427.0</t>
  </si>
  <si>
    <t xml:space="preserve"> 33592.0</t>
  </si>
  <si>
    <t>Región De Arica Y Parinacota</t>
  </si>
  <si>
    <t xml:space="preserve"> 176644.0</t>
  </si>
  <si>
    <t xml:space="preserve"> 51543.0</t>
  </si>
  <si>
    <t xml:space="preserve"> 261779.0</t>
  </si>
  <si>
    <t xml:space="preserve"> 129654.0</t>
  </si>
  <si>
    <t xml:space="preserve"> 132125.0</t>
  </si>
  <si>
    <t xml:space="preserve"> 2769187.0</t>
  </si>
  <si>
    <t>Chile</t>
  </si>
  <si>
    <t xml:space="preserve"> 13619165.0</t>
  </si>
  <si>
    <t xml:space="preserve"> 3698025.0</t>
  </si>
  <si>
    <t xml:space="preserve"> 20086377.0</t>
  </si>
  <si>
    <t xml:space="preserve"> 10175877.0</t>
  </si>
  <si>
    <t xml:space="preserve"> 9910500.0</t>
  </si>
  <si>
    <t>2024 Fin</t>
  </si>
  <si>
    <t>punto</t>
  </si>
  <si>
    <t xml:space="preserve"> 2024 ini</t>
  </si>
  <si>
    <t xml:space="preserve"> Variable</t>
  </si>
  <si>
    <t>Unidad territorial</t>
  </si>
  <si>
    <t>Total general</t>
  </si>
  <si>
    <t xml:space="preserve">2024 Fin </t>
  </si>
  <si>
    <t>Etiquetas de fila</t>
  </si>
  <si>
    <t xml:space="preserve"> 2024</t>
  </si>
  <si>
    <t>Total Chile</t>
  </si>
  <si>
    <t>Región</t>
  </si>
  <si>
    <t>Suma de 2024 Fin</t>
  </si>
  <si>
    <t>Comuna</t>
  </si>
  <si>
    <t>.</t>
  </si>
  <si>
    <t>Elija Comuna</t>
  </si>
  <si>
    <t>Key1</t>
  </si>
  <si>
    <t>MB Acumulado $</t>
  </si>
  <si>
    <t>MB Acumulado %</t>
  </si>
  <si>
    <t>PROM YEAR</t>
  </si>
  <si>
    <t>MODELO1</t>
  </si>
  <si>
    <t>MODELO2</t>
  </si>
  <si>
    <t>Pica' Javi</t>
  </si>
  <si>
    <t>Escriba Comuna</t>
  </si>
  <si>
    <t>Local</t>
  </si>
  <si>
    <t>16 Rollos Promedio</t>
  </si>
  <si>
    <t>24 Rollos Promedio</t>
  </si>
  <si>
    <t>Clientes Iniciales</t>
  </si>
  <si>
    <t>Clientes Finales</t>
  </si>
  <si>
    <t>16 Rollos</t>
  </si>
  <si>
    <t>24 Rollos</t>
  </si>
  <si>
    <t>General Lagos</t>
  </si>
  <si>
    <t>Putre</t>
  </si>
  <si>
    <t>Arica</t>
  </si>
  <si>
    <t>Camarones</t>
  </si>
  <si>
    <t>Cobquecura</t>
  </si>
  <si>
    <t>Quirihue</t>
  </si>
  <si>
    <t>Ñiquén</t>
  </si>
  <si>
    <t>Ninhue</t>
  </si>
  <si>
    <t>San Carlos</t>
  </si>
  <si>
    <t>Treguaco</t>
  </si>
  <si>
    <t>Coelemu</t>
  </si>
  <si>
    <t>San Nicolás</t>
  </si>
  <si>
    <t>Portezuelo</t>
  </si>
  <si>
    <t>San Fabián</t>
  </si>
  <si>
    <t>Chillán</t>
  </si>
  <si>
    <t>Coihueco</t>
  </si>
  <si>
    <t>Chillán Viejo</t>
  </si>
  <si>
    <t>Ránquil</t>
  </si>
  <si>
    <t>Pinto</t>
  </si>
  <si>
    <t>Bulnes</t>
  </si>
  <si>
    <t>Quillón</t>
  </si>
  <si>
    <t>San Ignacio</t>
  </si>
  <si>
    <t>El Carmen</t>
  </si>
  <si>
    <t>Pemuco</t>
  </si>
  <si>
    <t>Yungay</t>
  </si>
  <si>
    <t>Mariquina</t>
  </si>
  <si>
    <t>Lanco</t>
  </si>
  <si>
    <t>Panguipulli</t>
  </si>
  <si>
    <t>Máfil</t>
  </si>
  <si>
    <t>Valdivia</t>
  </si>
  <si>
    <t>Los Lagos</t>
  </si>
  <si>
    <t>Corral</t>
  </si>
  <si>
    <t>Paillaco</t>
  </si>
  <si>
    <t>Futrono</t>
  </si>
  <si>
    <t>La Unión</t>
  </si>
  <si>
    <t>Lago Ranco</t>
  </si>
  <si>
    <t>Río Bueno</t>
  </si>
  <si>
    <t>Cms x rollo</t>
  </si>
  <si>
    <t>Q Hojas</t>
  </si>
  <si>
    <t>Parque</t>
  </si>
  <si>
    <t>%Penetración</t>
  </si>
  <si>
    <t>Clientes Acumulados</t>
  </si>
  <si>
    <t>Dólar</t>
  </si>
  <si>
    <t>Costos X</t>
  </si>
  <si>
    <t>Nombre del plan</t>
  </si>
  <si>
    <t> Cupo de publicaciones</t>
  </si>
  <si>
    <t> 5 Publicaciones Plata</t>
  </si>
  <si>
    <t>10 Publicaciones Plata</t>
  </si>
  <si>
    <t> 20 Publicaciones Plata</t>
  </si>
  <si>
    <t> 30 Publicaciones Plata</t>
  </si>
  <si>
    <t> 50 Publicaciones Plata</t>
  </si>
  <si>
    <t> 75 Publicaciones Plata</t>
  </si>
  <si>
    <t> 100 Publicaciones Plata</t>
  </si>
  <si>
    <t> 150 Publicaciones Plata</t>
  </si>
  <si>
    <t> 200 Publicaciones Plata</t>
  </si>
  <si>
    <t> 350 Publicaciones Plata</t>
  </si>
  <si>
    <t> 500 Publicaciones Plata</t>
  </si>
  <si>
    <t> 750 Publicaciones Plata</t>
  </si>
  <si>
    <t> 1.000 Publicaciones Plata</t>
  </si>
  <si>
    <t> 1.500 Publicaciones Plata</t>
  </si>
  <si>
    <t> 2.000 Publicaciones Plata</t>
  </si>
  <si>
    <t> 2.500 Publicaciones Plata</t>
  </si>
  <si>
    <t> 3.000 Publicaciones Plata</t>
  </si>
  <si>
    <t> 4.000 Publicaciones Plata</t>
  </si>
  <si>
    <t> 5.000 Publicaciones Plata</t>
  </si>
  <si>
    <t> 6.000 Publicaciones Plata</t>
  </si>
  <si>
    <t> 7.000 Publicaciones Plata</t>
  </si>
  <si>
    <t> 8.000 Publicaciones Plata</t>
  </si>
  <si>
    <t> 9.000 Publicaciones Plata</t>
  </si>
  <si>
    <t> 10.000 Publicaciones Plata</t>
  </si>
  <si>
    <t> 12.000 Publicaciones Plata</t>
  </si>
  <si>
    <t> 14.000 Publicaciones Plata</t>
  </si>
  <si>
    <t> 16.000 Publicaciones Plata</t>
  </si>
  <si>
    <t> 18.000 Publicaciones Plata</t>
  </si>
  <si>
    <t> 20.000 Publicaciones Plata</t>
  </si>
  <si>
    <t> 22.000 Publicaciones Plata</t>
  </si>
  <si>
    <t> 24.000 Publicaciones Plata</t>
  </si>
  <si>
    <t> Costo Neto</t>
  </si>
  <si>
    <t>VALORES EN UF</t>
  </si>
  <si>
    <t>Iva</t>
  </si>
  <si>
    <t> Costo Bruto</t>
  </si>
  <si>
    <t>VALORES EN CLP</t>
  </si>
  <si>
    <t>Valor UF</t>
  </si>
  <si>
    <t>VALORES EN CLP x PUBLICACION</t>
  </si>
  <si>
    <t>card-title</t>
  </si>
  <si>
    <t>fecha_publicacion 2</t>
  </si>
  <si>
    <t>wrap_imagen_logo src</t>
  </si>
  <si>
    <t>wrap_text_rango_precio</t>
  </si>
  <si>
    <t>wrap_servicio src</t>
  </si>
  <si>
    <t>wrap_score</t>
  </si>
  <si>
    <t>numero_propiedades_en_venta</t>
  </si>
  <si>
    <t>Estudiodos</t>
  </si>
  <si>
    <t>https://http2.mlstatic.com/storage/vis-accounts/1854717500_vip-85ad2a15-b46d-4e1f-baac-fa9f979382c1.jpg</t>
  </si>
  <si>
    <t>UF 6.000 a 34.600</t>
  </si>
  <si>
    <t>https://www.portalinmobiliario.com/static_assets/landing/campana/corredores/img/verde.svg</t>
  </si>
  <si>
    <t>Portfolio Propiedades</t>
  </si>
  <si>
    <t>https://www.portalinmobiliario.com/static_assets/landing/campana/corredores/img/casa_foto.jpg</t>
  </si>
  <si>
    <t>UF 1.338 a 17.990</t>
  </si>
  <si>
    <t>Schmidt Propiedades</t>
  </si>
  <si>
    <t>https://resources.mlstatic.com/classifieds_accounts/MLC_real_estate_agency/210460829_vip_v2.JPG</t>
  </si>
  <si>
    <t>UF 7.200 a 34.200</t>
  </si>
  <si>
    <t>Sin Información</t>
  </si>
  <si>
    <t>UF 2.293 a 3.822</t>
  </si>
  <si>
    <t>Smf Propiedades</t>
  </si>
  <si>
    <t>https://resources.mlstatic.com/classifieds_accounts/MLC_real_estate_agency/330114471_vip.jpg</t>
  </si>
  <si>
    <t>UF 2.250 a 32.630</t>
  </si>
  <si>
    <t>Alma S.P.A</t>
  </si>
  <si>
    <t>https://resources.mlstatic.com/classifieds_accounts/MLC_real_estate_agency/466655639_vip.jpg</t>
  </si>
  <si>
    <t>UF 2.980 a 14.000</t>
  </si>
  <si>
    <t>Tips Propiedades</t>
  </si>
  <si>
    <t>https://http2.mlstatic.com/storage/vis-accounts/203086925_vip-b27631b9-ae08-4e9e-a7b8-80b37f4ce107.png</t>
  </si>
  <si>
    <t>UF 1.100 a 14.000</t>
  </si>
  <si>
    <t>Scott Propiedades</t>
  </si>
  <si>
    <t>https://http2.mlstatic.com/storage/vis-accounts/1356336812_vip-ca9ab640-a28d-4913-b17a-c0e3c30b9ae1.jpg</t>
  </si>
  <si>
    <t>UF 2.550 a 24.000</t>
  </si>
  <si>
    <t>Ecosin Propiedades</t>
  </si>
  <si>
    <t>https://http2.mlstatic.com/storage/vis-accounts/281012386_vip-689e801d-fb88-45eb-bfaf-36baca034123.jpg</t>
  </si>
  <si>
    <t>UF 3.800 a 8.700</t>
  </si>
  <si>
    <t>Pamela Redard</t>
  </si>
  <si>
    <t>https://resources.mlstatic.com/classifieds_accounts/MLC_real_estate_agency/352544924_vip.jpg</t>
  </si>
  <si>
    <t>UF 3.900 a 8.197</t>
  </si>
  <si>
    <t>Mauricio Reyes Aranda</t>
  </si>
  <si>
    <t>UF 2.110 a 10.500</t>
  </si>
  <si>
    <t>Horizontal Propiedades</t>
  </si>
  <si>
    <t>https://resources.mlstatic.com/classifieds_accounts/MLC_real_estate_agency/580020941_vip.jpg</t>
  </si>
  <si>
    <t>UF 3.364 a 28.000</t>
  </si>
  <si>
    <t>Jacob Propiedades</t>
  </si>
  <si>
    <t>https://http2.mlstatic.com/storage/vis-accounts/777380068_vip-27ef33cc-3cbd-4a8f-85a4-dd555f56d401.jpg</t>
  </si>
  <si>
    <t>UF 1.274 a 139.000</t>
  </si>
  <si>
    <t>Coeficiente Propiedades</t>
  </si>
  <si>
    <t>https://resources.mlstatic.com/classifieds_accounts/MLC_real_estate_agency/632327052_vip.jpg</t>
  </si>
  <si>
    <t>UF 2.300 a 49.900</t>
  </si>
  <si>
    <t>Francisco Vial Propiedades Procasa</t>
  </si>
  <si>
    <t>UF 1.200 a 45.000</t>
  </si>
  <si>
    <t>Marticorena Propiedades</t>
  </si>
  <si>
    <t>https://http2.mlstatic.com/storage/vis-accounts/188991960_vip-193f6525-a5f1-4bfc-8aa7-ab71ea3c4902.png</t>
  </si>
  <si>
    <t>UF 1.480 a 16.150</t>
  </si>
  <si>
    <t>Valle La Dehesa Propiedades</t>
  </si>
  <si>
    <t>https://http2.mlstatic.com/storage/vis-accounts/302982195_vip-3650097e-4086-41f3-9aaa-9e8e835c8464.jpg</t>
  </si>
  <si>
    <t>UF 7.540 a 23.900</t>
  </si>
  <si>
    <t>Javier Cerpa Propiedades</t>
  </si>
  <si>
    <t>https://http2.mlstatic.com/storage/vis-accounts/330122684_vip-bd6700d5-a06a-4b16-8b65-f3c94aa82695.jpg</t>
  </si>
  <si>
    <t>UF 1.529 a 98.000</t>
  </si>
  <si>
    <t>Mi Sitio Propiedades Spa</t>
  </si>
  <si>
    <t>https://http2.mlstatic.com/storage/vis-accounts/755052371_vip-60ecdb77-8b09-4dc7-a54a-9f64951f9909.png</t>
  </si>
  <si>
    <t>UF 1.650 a 14.500</t>
  </si>
  <si>
    <t>Corvalan Asociados Spa</t>
  </si>
  <si>
    <t>https://http2.mlstatic.com/storage/vis-accounts/720638632_vip-c1437183-dfa5-49c9-b326-26bdc180b7f5.png</t>
  </si>
  <si>
    <t>UF 1.274 a 8.154</t>
  </si>
  <si>
    <t>Dimensión Propiedades</t>
  </si>
  <si>
    <t>https://http2.mlstatic.com/storage/vis-accounts/267443517_vip-0a003a23-24e0-407f-bb57-cbda5e32fcb6.jpg</t>
  </si>
  <si>
    <t>UF 1.900 a 11.467</t>
  </si>
  <si>
    <t>Altaa.Cl</t>
  </si>
  <si>
    <t>UF 7.350 a 15.500</t>
  </si>
  <si>
    <t>Ksas Propiedades</t>
  </si>
  <si>
    <t>https://resources.mlstatic.com/classifieds_accounts/MLC_real_estate_agency/272457942_vip.jpg</t>
  </si>
  <si>
    <t>UF 1.600 a 21.800</t>
  </si>
  <si>
    <t>Cecilia Gimeno Propiedades</t>
  </si>
  <si>
    <t>https://http2.mlstatic.com/storage/vis-accounts/240030915_vip-42d3f529-b648-4bf8-97db-28378a135492.png</t>
  </si>
  <si>
    <t>UF 5.500 a 45.000</t>
  </si>
  <si>
    <t>Contreras Y Pardo</t>
  </si>
  <si>
    <t>UF 2.180 a 15.350</t>
  </si>
  <si>
    <t>Tasahome Gestión Inmobiliaria</t>
  </si>
  <si>
    <t>https://http2.mlstatic.com/storage/vis-accounts/1279570156_vip-09fa4f1b-bd1b-46c0-b85d-664f5957e89a.png</t>
  </si>
  <si>
    <t>UF 1.402 a 6.370</t>
  </si>
  <si>
    <t>Vuela Alto Propiedades</t>
  </si>
  <si>
    <t>https://http2.mlstatic.com/storage/vis-accounts/260333340_vip-589e862e-f8d6-4f2f-ade3-9c448a8b1ef5.jpg</t>
  </si>
  <si>
    <t>UF 1.525 a 31.800</t>
  </si>
  <si>
    <t>4l Propiedades</t>
  </si>
  <si>
    <t>https://resources.mlstatic.com/classifieds_accounts/MLC_real_estate_agency/307500272_vip.png</t>
  </si>
  <si>
    <t>UF 2.300 a 22.900</t>
  </si>
  <si>
    <t>Correa Pereira Propiedades Ltda.</t>
  </si>
  <si>
    <t>https://http2.mlstatic.com/storage/vis-accounts/277956431_vip-de5ec13c-dd7c-4862-a422-8bd5d3932f4e.jpg</t>
  </si>
  <si>
    <t>UF 4.200 a 60.000</t>
  </si>
  <si>
    <t>Bailey Propiedades</t>
  </si>
  <si>
    <t>https://resources.mlstatic.com/classifieds_accounts/MLC_real_estate_agency/141811893_vip.jpg</t>
  </si>
  <si>
    <t>UF 1.911 a 39.500</t>
  </si>
  <si>
    <t>Hobbins Santo Domingo</t>
  </si>
  <si>
    <t>https://http2.mlstatic.com/storage/vis-accounts/289443322_vip-44d3b604-24dc-466f-bd17-8a9cd5c3fa2b.png</t>
  </si>
  <si>
    <t>UF 2.803 a 30.000</t>
  </si>
  <si>
    <t>Rosselot Propiedades</t>
  </si>
  <si>
    <t>https://resources.mlstatic.com/classifieds_accounts/MLC_real_estate_agency/330119115_vip_v3.jpg</t>
  </si>
  <si>
    <t>UF 6.990 a 19.950</t>
  </si>
  <si>
    <t>Nethaus Propiedades.</t>
  </si>
  <si>
    <t>https://http2.mlstatic.com/storage/vis-accounts/330113190_vip-000c8119-071f-42b4-a810-59e0a0aacffe.jpg</t>
  </si>
  <si>
    <t>UF 2.550 a 31.950</t>
  </si>
  <si>
    <t>Gethome</t>
  </si>
  <si>
    <t>https://resources.mlstatic.com/classifieds_accounts/MLC_real_estate_agency/315810273_vip.png</t>
  </si>
  <si>
    <t>UF 1.351 a 23.900</t>
  </si>
  <si>
    <t>Andrea Mas Huber Propiedades</t>
  </si>
  <si>
    <t>https://http2.mlstatic.com/storage/vis-accounts/254414130_vip-ced147bc-860d-4773-971e-30c47a89b078.jpg</t>
  </si>
  <si>
    <t>UF 2.930 a 65.000</t>
  </si>
  <si>
    <t>Oettinger+Co Spa</t>
  </si>
  <si>
    <t>https://http2.mlstatic.com/storage/vis-accounts/1806649218_vip-6c375b3d-1975-4f9b-8c6e-091cb1bc946c.png</t>
  </si>
  <si>
    <t>UF 1.402 a 16.657</t>
  </si>
  <si>
    <t>Hunter Psi</t>
  </si>
  <si>
    <t>https://resources.mlstatic.com/classifieds_accounts/MLC_real_estate_agency/421079596_vip_v2.jpg</t>
  </si>
  <si>
    <t>UF 1.274 a 22.000</t>
  </si>
  <si>
    <t>Vanzulli Spa</t>
  </si>
  <si>
    <t>https://http2.mlstatic.com/storage/vis-accounts/775596933_vip-f4c53b39-c410-430b-aec8-eecd5aee1575.png</t>
  </si>
  <si>
    <t>UF 1.750 a 49.500</t>
  </si>
  <si>
    <t>Remax Premier</t>
  </si>
  <si>
    <t>https://resources.mlstatic.com/classifieds_accounts/MLC_real_estate_agency/527957208_vip.jpg</t>
  </si>
  <si>
    <t>UF 1.320 a 59.990</t>
  </si>
  <si>
    <t>A S Propiedades</t>
  </si>
  <si>
    <t>https://resources.mlstatic.com/classifieds_accounts/MLC_real_estate_agency/434484826_vip_v2.jpg</t>
  </si>
  <si>
    <t>UF 5.835 a 5.835</t>
  </si>
  <si>
    <t>Tere Irarrazaval Propiedades</t>
  </si>
  <si>
    <t>https://resources.mlstatic.com/classifieds_accounts/MLC_real_estate_agency/331765034_vip_v2.jpg</t>
  </si>
  <si>
    <t>UF 7.690 a 17.500</t>
  </si>
  <si>
    <t>Engel &amp; Völkers Algarrobo</t>
  </si>
  <si>
    <t>https://resources.mlstatic.com/classifieds_accounts/MLC_real_estate_agency/212471790_vip.gif</t>
  </si>
  <si>
    <t>UF 2.600 a 100.000</t>
  </si>
  <si>
    <t>The Living Co.</t>
  </si>
  <si>
    <t>https://http2.mlstatic.com/storage/vis-accounts/1014904588_vip-f1d6cf5b-f9c5-4cac-b39e-d7990202d67e.png</t>
  </si>
  <si>
    <t>UF 3.700 a 158.000</t>
  </si>
  <si>
    <t>Prourbe</t>
  </si>
  <si>
    <t>https://http2.mlstatic.com/storage/vis-accounts/330114279_vip-2912ded2-17ca-4836-a80a-ce5f205f4b0e.jpg</t>
  </si>
  <si>
    <t>UF 1.019 a 80.000</t>
  </si>
  <si>
    <t>Lighthouse Propiedades</t>
  </si>
  <si>
    <t>https://resources.mlstatic.com/classifieds_accounts/MLC_real_estate_agency/330123276_vip_v5.jpg</t>
  </si>
  <si>
    <t>UF 2.250 a 32.000</t>
  </si>
  <si>
    <t>Mi Hogar</t>
  </si>
  <si>
    <t>https://http2.mlstatic.com/storage/vis-accounts/213189089_vip-23842306-72d6-43b4-af5e-8f71616cc764.png</t>
  </si>
  <si>
    <t>UF 980 a 31.000</t>
  </si>
  <si>
    <t>Sylva Propiedades</t>
  </si>
  <si>
    <t>https://http2.mlstatic.com/storage/vis-accounts/518109645_vip-22a1c3d9-f337-446a-808b-757512cfcc89.png</t>
  </si>
  <si>
    <t>UF 2.803 a 12.500</t>
  </si>
  <si>
    <t>Byb</t>
  </si>
  <si>
    <t>UF 4.300 a 15.600</t>
  </si>
  <si>
    <t>Larruy Propiedades</t>
  </si>
  <si>
    <t>https://resources.mlstatic.com/classifieds_accounts/MLC_real_estate_agency/330117858_vip_v2.gif</t>
  </si>
  <si>
    <t>UF 2.380 a 78.000</t>
  </si>
  <si>
    <t>Rancoactivo Propiedades</t>
  </si>
  <si>
    <t>https://http2.mlstatic.com/storage/vis-accounts/617209995_vip-a06254ca-3b97-4ea9-b992-a7130c8bccab.png</t>
  </si>
  <si>
    <t>UF 2.000 a 40.771</t>
  </si>
  <si>
    <t>Pyd Propiedades</t>
  </si>
  <si>
    <t>https://resources.mlstatic.com/classifieds_accounts/MLC_real_estate_agency/315679499_vip_v4.jpg</t>
  </si>
  <si>
    <t>UF 1.701 a 35.000</t>
  </si>
  <si>
    <t>Bofill Y Asociados</t>
  </si>
  <si>
    <t>https://http2.mlstatic.com/storage/vis-accounts/330106552_vip-085b6f6c-0f99-4804-b722-80adfdc5470b.jpg</t>
  </si>
  <si>
    <t>UF 1.375 a 58.000</t>
  </si>
  <si>
    <t>Mpbezanilla Propiedades</t>
  </si>
  <si>
    <t>https://resources.mlstatic.com/classifieds_accounts/MLC_real_estate_agency/304835209_vip.jpg</t>
  </si>
  <si>
    <t>UF 2.100 a 44.842</t>
  </si>
  <si>
    <t>Promocion Inmobiliaria</t>
  </si>
  <si>
    <t>https://resources.mlstatic.com/classifieds_accounts/MLC_real_estate_agency/312820788_vip_v3.jpg</t>
  </si>
  <si>
    <t>UF 1.660 a 11.700</t>
  </si>
  <si>
    <t>La Cumbre Propiedades Spa</t>
  </si>
  <si>
    <t>UF 2.344 a 36.000</t>
  </si>
  <si>
    <t>Habitar Urbano Propiedades</t>
  </si>
  <si>
    <t>https://http2.mlstatic.com/storage/vis-accounts/108990982_vip-58bf98b0-6e26-4c28-bca9-fba6d79d60a4.gif</t>
  </si>
  <si>
    <t>UF 1.500 a 26.990</t>
  </si>
  <si>
    <t>Tukasa Propiedades</t>
  </si>
  <si>
    <t>https://http2.mlstatic.com/storage/vis-accounts/330118310_vip-4200dd88-f023-4c20-a98f-48d3421ec117.png</t>
  </si>
  <si>
    <t>UF 5.300 a 28.900</t>
  </si>
  <si>
    <t>Engel &amp; Völkers Apoquindo</t>
  </si>
  <si>
    <t>https://resources.mlstatic.com/classifieds_accounts/MLC_real_estate_agency/330116107_vip.gif</t>
  </si>
  <si>
    <t>UF 4.500 a 29.900</t>
  </si>
  <si>
    <t>Borquez Y Asociados</t>
  </si>
  <si>
    <t>https://http2.mlstatic.com/storage/vis-accounts/188516188_vip-c6de7d68-7ad6-400e-aea4-091aa1e75543.jpg</t>
  </si>
  <si>
    <t>UF 2.000 a 120.661</t>
  </si>
  <si>
    <t>Juseza Propiedades</t>
  </si>
  <si>
    <t>https://http2.mlstatic.com/storage/vis-accounts/1275558626_vip-b59a8f4b-68bc-4a3a-a9ce-35ccfbed2d0a.jpg</t>
  </si>
  <si>
    <t>UF 2.700 a 29.800</t>
  </si>
  <si>
    <t>Maudier Propiedades</t>
  </si>
  <si>
    <t>https://http2.mlstatic.com/storage/vis-accounts/330112915_vip-9b1592a9-ff84-4779-a153-bdd8bc018642.jpg</t>
  </si>
  <si>
    <t>UF 3.790 a 95.000</t>
  </si>
  <si>
    <t>Live Properties</t>
  </si>
  <si>
    <t>https://resources.mlstatic.com/classifieds_accounts/MLC_real_estate_agency/330119974_vip_v4.jpg</t>
  </si>
  <si>
    <t>UF 1.325 a 49.000</t>
  </si>
  <si>
    <t>Grupo Braun</t>
  </si>
  <si>
    <t>https://resources.mlstatic.com/classifieds_accounts/MLC_real_estate_agency/330117125_vip.jpg</t>
  </si>
  <si>
    <t>UF 21.800 a 21.800</t>
  </si>
  <si>
    <t>Elqui Valley Propiedades Inmobiliaria</t>
  </si>
  <si>
    <t>https://http2.mlstatic.com/storage/vis-accounts/453324450_vip-e176dbd0-b784-4a89-959e-3f035f7f2d88.png</t>
  </si>
  <si>
    <t>UF 2.170 a 23.000</t>
  </si>
  <si>
    <t>Marcela Esparza Propiedades</t>
  </si>
  <si>
    <t>https://resources.mlstatic.com/classifieds_accounts/MLC_real_estate_agency/330123464_vip_v3.png</t>
  </si>
  <si>
    <t>UF 6.370 a 22.000</t>
  </si>
  <si>
    <t>Avf Gestión Inmobiliaria</t>
  </si>
  <si>
    <t>https://resources.mlstatic.com/classifieds_accounts/MLC_real_estate_agency/330122516_vip.jpg</t>
  </si>
  <si>
    <t>UF 1.700 a 14.890</t>
  </si>
  <si>
    <t>Remax Supreme</t>
  </si>
  <si>
    <t>https://resources.mlstatic.com/classifieds_accounts/MLC_real_estate_agency/342426807_vip_v2.jpg</t>
  </si>
  <si>
    <t>UF 1.560 a 224.000</t>
  </si>
  <si>
    <t>Remax Passion</t>
  </si>
  <si>
    <t>https://http2.mlstatic.com/storage/vis-accounts/1281984367_vip-f8e41c7b-c8b0-4c66-86ec-1c1d930f89d8.png</t>
  </si>
  <si>
    <t>UF 1.650 a 39.500</t>
  </si>
  <si>
    <t>Berrios Zegers Propiedades</t>
  </si>
  <si>
    <t>https://resources.mlstatic.com/classifieds_accounts/MLC_real_estate_agency/288178635_vip_v2.jpg</t>
  </si>
  <si>
    <t>UF 2.100 a 79.000</t>
  </si>
  <si>
    <t>Inmobili</t>
  </si>
  <si>
    <t>https://http2.mlstatic.com/storage/vis-accounts/330116159_vip-c3d1def2-4dd4-4721-9831-09ee485c25b6.jpg</t>
  </si>
  <si>
    <t>UF 1.850 a 23.000</t>
  </si>
  <si>
    <t>Cariola Kroneberg Propiedades</t>
  </si>
  <si>
    <t>https://resources.mlstatic.com/classifieds_accounts/MLC_real_estate_agency/506926848_vip.jpg</t>
  </si>
  <si>
    <t>UF 900 a 35.000</t>
  </si>
  <si>
    <t>Von Schultzendorff Gestión Inmobiliaria</t>
  </si>
  <si>
    <t>https://http2.mlstatic.com/storage/vis-accounts/330118329_vip-2508b6f7-d6f4-48c6-a99b-bff5753f5129.jpg</t>
  </si>
  <si>
    <t>UF 1.400 a 1.682</t>
  </si>
  <si>
    <t>Valmon Propiedades</t>
  </si>
  <si>
    <t>https://http2.mlstatic.com/storage/vis-accounts/210358306_vip-95f74a69-72b0-4934-91df-a1f3a0ad0700.jpg</t>
  </si>
  <si>
    <t>UF 2.900 a 14.200</t>
  </si>
  <si>
    <t>Alto Campo Inmobiliaria Spa</t>
  </si>
  <si>
    <t>UF 1.554 a 8.600</t>
  </si>
  <si>
    <t>Plazher Propiedades</t>
  </si>
  <si>
    <t>https://http2.mlstatic.com/storage/vis-accounts/150360727_vip-d7e3db12-12b8-46d5-8b27-8eaf88c62afa.jpg</t>
  </si>
  <si>
    <t>UF 1.500 a 17.500</t>
  </si>
  <si>
    <t>El Ingles Propiedades</t>
  </si>
  <si>
    <t>https://http2.mlstatic.com/storage/vis-accounts/203365766_vip-bafd25a2-78b4-46a7-ac4d-c71cd5d0f0f1.jpg</t>
  </si>
  <si>
    <t>UF 1.300 a 52.000</t>
  </si>
  <si>
    <t>K2 Property Spa</t>
  </si>
  <si>
    <t>https://http2.mlstatic.com/storage/vis-accounts/381999356_vip-700dbc69-03f7-4b34-935f-3e36c0dc47e7.jpg</t>
  </si>
  <si>
    <t>UF 1.445 a 46.684</t>
  </si>
  <si>
    <t>Jahr Señoret &amp; Cía</t>
  </si>
  <si>
    <t>https://http2.mlstatic.com/storage/vis-accounts/330118311_vip-63fd043c-1c82-4ad5-8628-d67260851e42.jpg</t>
  </si>
  <si>
    <t>UF 1.580 a 17.500</t>
  </si>
  <si>
    <t>Growner Propiedades</t>
  </si>
  <si>
    <t>https://resources.mlstatic.com/classifieds_accounts/MLC_real_estate_agency/397042751_vip_v2.jpg</t>
  </si>
  <si>
    <t>UF 2.497 a 20.646</t>
  </si>
  <si>
    <t>Moviing Latam</t>
  </si>
  <si>
    <t>https://resources.mlstatic.com/classifieds_accounts/MLC_real_estate_agency/436806205_vip.jpg</t>
  </si>
  <si>
    <t>UF 1.529 a 22.990</t>
  </si>
  <si>
    <t>Propiedades Valeriasoledad Y Asociados</t>
  </si>
  <si>
    <t>https://resources.mlstatic.com/classifieds_accounts/MLC_real_estate_agency/330116666_vip.jpg</t>
  </si>
  <si>
    <t>UF 3.350 a 8.600</t>
  </si>
  <si>
    <t>Oriente Property</t>
  </si>
  <si>
    <t>https://http2.mlstatic.com/storage/vis-accounts/403267952_vip-13cff801-f6fc-4f85-a0fe-58392e86df96.png</t>
  </si>
  <si>
    <t>UF 1.200 a 33.000</t>
  </si>
  <si>
    <t>Viel La Dehesa</t>
  </si>
  <si>
    <t>https://resources.mlstatic.com/classifieds_accounts/MLC_real_estate_agency/575507917_vip.jpg</t>
  </si>
  <si>
    <t>UF 1.800 a 125.000</t>
  </si>
  <si>
    <t>Propins</t>
  </si>
  <si>
    <t>https://resources.mlstatic.com/classifieds_accounts/MLC_real_estate_agency/428096561_vip.jpg</t>
  </si>
  <si>
    <t>UF 1.400 a 17.990</t>
  </si>
  <si>
    <t>Romo Propiedades</t>
  </si>
  <si>
    <t>https://http2.mlstatic.com/storage/vis-accounts/234292543_vip-67b6dc3f-204c-4e51-95f3-b286c5b44a6e.jpg</t>
  </si>
  <si>
    <t>UF 3.980 a 69.000</t>
  </si>
  <si>
    <t>Puente Inmobiliario Ltda.</t>
  </si>
  <si>
    <t>https://resources.mlstatic.com/classifieds_accounts/MLC_real_estate_agency/639503671_vip.jpg</t>
  </si>
  <si>
    <t>UF 1.733 a 32.000</t>
  </si>
  <si>
    <t>Soledad Abusleme</t>
  </si>
  <si>
    <t>https://http2.mlstatic.com/storage/vis-accounts/192730569_vip-442f616a-0a26-485f-85f0-25271ddb4d06.jpg</t>
  </si>
  <si>
    <t>UF 2.780 a 13.498</t>
  </si>
  <si>
    <t>Viel.Cl</t>
  </si>
  <si>
    <t>https://resources.mlstatic.com/classifieds_accounts/MLC_real_estate_agency/330114693_vip.jpg</t>
  </si>
  <si>
    <t>UF 1.100 a 65.000</t>
  </si>
  <si>
    <t>Sh Propiedades</t>
  </si>
  <si>
    <t>https://resources.mlstatic.com/classifieds_accounts/MLC_real_estate_agency/330115880_vip_v2.jpg</t>
  </si>
  <si>
    <t>UF 1.758 a 3.058</t>
  </si>
  <si>
    <t>Dimafe Propiedades</t>
  </si>
  <si>
    <t>https://http2.mlstatic.com/storage/vis-accounts/239556133_vip-b879ebc4-83ae-4c76-8b08-1136f92bed59.jpg</t>
  </si>
  <si>
    <t>UF 2.750 a 3.822</t>
  </si>
  <si>
    <t>Propiedades Pedro De Valdivia</t>
  </si>
  <si>
    <t>https://http2.mlstatic.com/storage/vis-accounts/321524955_vip-9ed9e813-7a1a-4b17-9c82-bb52782dfd20.jpg</t>
  </si>
  <si>
    <t>UF 1.835 a 15.748</t>
  </si>
  <si>
    <t>Ximena Moraga Propiedades</t>
  </si>
  <si>
    <t>https://http2.mlstatic.com/storage/vis-accounts/177370177_vip-ab628bbd-4be6-43bc-9c74-1b55c9200693.png</t>
  </si>
  <si>
    <t>UF 1.682 a 16.000</t>
  </si>
  <si>
    <t>Bo Propiedades</t>
  </si>
  <si>
    <t>https://http2.mlstatic.com/storage/vis-accounts/486386678_vip-10c01495-c8f3-47c1-a42f-dd9090b9c5f7.png</t>
  </si>
  <si>
    <t>UF 5.600 a 19.990</t>
  </si>
  <si>
    <t>Milá Propiedades</t>
  </si>
  <si>
    <t>https://http2.mlstatic.com/storage/vis-accounts/1009245227_vip-4ce599d7-1093-4f80-8e99-98bcb5091586.jpg</t>
  </si>
  <si>
    <t>UF 1.402 a 25.990</t>
  </si>
  <si>
    <t>Guzmán Gestión Inmobiliaria E.I.R..L.</t>
  </si>
  <si>
    <t>https://http2.mlstatic.com/storage/vis-accounts/118351431_vip-43ada84b-7b53-4a09-bf57-f4bb7a001a55.jpg</t>
  </si>
  <si>
    <t>UF 4.100 a 7.262</t>
  </si>
  <si>
    <t>House Property</t>
  </si>
  <si>
    <t>https://resources.mlstatic.com/classifieds_accounts/MLC_real_estate_agency/330122677_vip.jpg</t>
  </si>
  <si>
    <t>UF 1.825 a 11.650</t>
  </si>
  <si>
    <t>Curacaví Propiedades</t>
  </si>
  <si>
    <t>https://http2.mlstatic.com/storage/vis-accounts/127422653_vip-880fb8bf-8e4d-4d00-a815-64578d13f7bc.png</t>
  </si>
  <si>
    <t>UF 1.200 a 25.506</t>
  </si>
  <si>
    <t>Casa Oeste Propiedades</t>
  </si>
  <si>
    <t>https://http2.mlstatic.com/storage/vis-accounts/582029197_vip-10739cd3-38ab-4d5d-bb6e-08bab5d6f1bf.jpg</t>
  </si>
  <si>
    <t>UF 1.376 a 27.000</t>
  </si>
  <si>
    <t>Villagra Propiedades</t>
  </si>
  <si>
    <t>https://resources.mlstatic.com/classifieds_accounts/MLC_real_estate_agency/316790657_vip.jpg</t>
  </si>
  <si>
    <t>UF 2.115 a 20.000</t>
  </si>
  <si>
    <t>Magnolia Property</t>
  </si>
  <si>
    <t>https://resources.mlstatic.com/classifieds_accounts/MLC_real_estate_agency/548091941_vip_v2.jpg</t>
  </si>
  <si>
    <t>UF 1.750 a 80.000</t>
  </si>
  <si>
    <t>Hector Gallardo Galvez</t>
  </si>
  <si>
    <t>UF 1.600 a 5.076</t>
  </si>
  <si>
    <t>De Las Mercedes Propiedades</t>
  </si>
  <si>
    <t>https://http2.mlstatic.com/storage/vis-accounts/345487147_vip-73bce387-9516-4922-9ca2-c79a3473fe06.jpg</t>
  </si>
  <si>
    <t>UF 1.190 a 10.500</t>
  </si>
  <si>
    <t>Remax Buró</t>
  </si>
  <si>
    <t>https://http2.mlstatic.com/storage/vis-accounts/736876482_vip-900fe19f-42a3-48b0-915b-371bbda7c6ad.jpg</t>
  </si>
  <si>
    <t>UF 1.014 a 37.453</t>
  </si>
  <si>
    <t>Eklöv Gestión Inmobiliaria</t>
  </si>
  <si>
    <t>https://http2.mlstatic.com/storage/vis-accounts/1112815179_vip-5fc570b9-aaeb-4c9b-a30b-483c618a51bb.png</t>
  </si>
  <si>
    <t>UF 1.690 a 41.499</t>
  </si>
  <si>
    <t>Findhome2</t>
  </si>
  <si>
    <t>https://http2.mlstatic.com/storage/vis-accounts/2066386708_vip-87f4237b-afa3-462b-b181-60c2fbfeade2.jpg</t>
  </si>
  <si>
    <t>UF 764 a 90.650</t>
  </si>
  <si>
    <t>Lopez Manley Gestion Inmobiliaria Ltda.</t>
  </si>
  <si>
    <t>https://http2.mlstatic.com/storage/vis-accounts/252389404_vip-879976da-4d34-4b32-86ff-709cc0915db8.jpg</t>
  </si>
  <si>
    <t>UF 2.990 a 15.950</t>
  </si>
  <si>
    <t>Sahr Propiedades</t>
  </si>
  <si>
    <t>https://http2.mlstatic.com/storage/vis-accounts/308134462_vip-4dac4018-0413-4656-bb93-198a0d01314a.jpg</t>
  </si>
  <si>
    <t>UF 1.402 a 52.000</t>
  </si>
  <si>
    <t>One Propiedades</t>
  </si>
  <si>
    <t>https://http2.mlstatic.com/storage/vis-accounts/260799861_vip-32fae4fe-390e-494a-bc7c-88a8aabfe5c9.png</t>
  </si>
  <si>
    <t>UF 1.700 a 124.900</t>
  </si>
  <si>
    <t>Alejandro Jaime V. &amp; Asociados</t>
  </si>
  <si>
    <t>https://resources.mlstatic.com/classifieds_accounts/MLC_real_estate_agency/240451049_vip.jpg</t>
  </si>
  <si>
    <t>UF 870 a 70.000</t>
  </si>
  <si>
    <t>Zattera Bancalari Gestion Inmobiliaria</t>
  </si>
  <si>
    <t>https://http2.mlstatic.com/storage/vis-accounts/628996872_vip-0540176a-daf4-40b9-8ac6-b79df9257514.png</t>
  </si>
  <si>
    <t>UF 3.100 a 33.000</t>
  </si>
  <si>
    <t>Jacqueline Inzunza</t>
  </si>
  <si>
    <t>https://resources.mlstatic.com/classifieds_accounts/MLC_real_estate_agency/312462036_vip.jpg</t>
  </si>
  <si>
    <t>UF 1.478 a 6.800</t>
  </si>
  <si>
    <t>https://www.portalinmobiliario.com/static_assets/landing/campana/corredores/img/verde_claro.svg</t>
  </si>
  <si>
    <t>Correa Y Schmidt Propiedades</t>
  </si>
  <si>
    <t>https://resources.mlstatic.com/classifieds_accounts/MLC_real_estate_agency/330116469_vip_v4.jpg</t>
  </si>
  <si>
    <t>UF 1.300 a 19.000</t>
  </si>
  <si>
    <t>Ftm Gestión Inmobiliaria Ltda</t>
  </si>
  <si>
    <t>https://resources.mlstatic.com/classifieds_accounts/MLC_real_estate_agency/330114564_vip_v2.png</t>
  </si>
  <si>
    <t>UF 1.890 a 24.600</t>
  </si>
  <si>
    <t>V &amp; K Propiedades</t>
  </si>
  <si>
    <t>https://resources.mlstatic.com/classifieds_accounts/MLC_real_estate_agency/198758816_vip.jpg</t>
  </si>
  <si>
    <t>UF 1.990 a 16.150</t>
  </si>
  <si>
    <t>Propiedades Franco</t>
  </si>
  <si>
    <t>https://http2.mlstatic.com/storage/vis-accounts/537724596_vip-9b9a339d-b013-4f8f-87d3-f0ca98c47be1.png</t>
  </si>
  <si>
    <t>UF 1.988 a 72.952</t>
  </si>
  <si>
    <t>Engel Völkers Concepción</t>
  </si>
  <si>
    <t>https://resources.mlstatic.com/classifieds_accounts/MLC_real_estate_agency/261199727_vip_v2.jpg</t>
  </si>
  <si>
    <t>UF 1.890 a 34.800</t>
  </si>
  <si>
    <t>Inmuebles Chile</t>
  </si>
  <si>
    <t>https://http2.mlstatic.com/storage/vis-accounts/1154415121_vip-3f32ea22-8b88-42b1-a00b-d08fb30f231e.jpg</t>
  </si>
  <si>
    <t>UF 2.100 a 31.950</t>
  </si>
  <si>
    <t>Hs Propiedades</t>
  </si>
  <si>
    <t>https://http2.mlstatic.com/storage/vis-accounts/330119688_vip-fac2682d-0af5-47c6-a10f-fd346161272c.png</t>
  </si>
  <si>
    <t>UF 1.990 a 22.000</t>
  </si>
  <si>
    <t>B Y C Corredores</t>
  </si>
  <si>
    <t>https://http2.mlstatic.com/storage/vis-accounts/376578317_vip-d60e6033-992e-4c63-a9f5-72872df905ba.jpg</t>
  </si>
  <si>
    <t>UF 1.500 a 39.500</t>
  </si>
  <si>
    <t>Boetsch Propiedades</t>
  </si>
  <si>
    <t>https://resources.mlstatic.com/classifieds_accounts/MLC_real_estate_agency/330116102_vip.gif</t>
  </si>
  <si>
    <t>UF 4.500 a 125.000</t>
  </si>
  <si>
    <t>Apm Propiedades</t>
  </si>
  <si>
    <t>https://resources.mlstatic.com/classifieds_accounts/MLC_real_estate_agency/536943582_vip_v3.jpg</t>
  </si>
  <si>
    <t>UF 4.205 a 158.800</t>
  </si>
  <si>
    <t>Sweet Haus Propiedades</t>
  </si>
  <si>
    <t>https://resources.mlstatic.com/classifieds_accounts/MLC_real_estate_agency/261735343_vip.jpg</t>
  </si>
  <si>
    <t>UF 1.600 a 19.990</t>
  </si>
  <si>
    <t>Globalbrokers</t>
  </si>
  <si>
    <t>https://http2.mlstatic.com/storage/vis-accounts/1074770165_vip-a25f0dd7-db5c-45d5-b529-57161fd68748.png</t>
  </si>
  <si>
    <t>UF 892 a 55.800</t>
  </si>
  <si>
    <t>Studio Ark Properties</t>
  </si>
  <si>
    <t>UF 2.200 a 11.000</t>
  </si>
  <si>
    <t>Coldwell Banker</t>
  </si>
  <si>
    <t>https://http2.mlstatic.com/storage/vis-accounts/667982270_vip-835689af-d9a2-4553-b403-e2861f858e12.jpg</t>
  </si>
  <si>
    <t>UF 1.100 a 67.800</t>
  </si>
  <si>
    <t>Casafontalba</t>
  </si>
  <si>
    <t>https://http2.mlstatic.com/storage/vis-accounts/776179184_vip-73091bdf-d712-4fd5-ad47-a44100285883.jpg</t>
  </si>
  <si>
    <t>UF 6.000 a 16.500</t>
  </si>
  <si>
    <t>Remax Advance</t>
  </si>
  <si>
    <t>https://resources.mlstatic.com/classifieds_accounts/MLC_real_estate_agency/334217922_vip.jpg</t>
  </si>
  <si>
    <t>UF 1.019 a 20.100</t>
  </si>
  <si>
    <t>Hco Asesorías Y Corretaje</t>
  </si>
  <si>
    <t>https://http2.mlstatic.com/storage/vis-accounts/234761678_vip-4d3111e0-d474-4d46-bdb4-841522203f63.jpg</t>
  </si>
  <si>
    <t>UF 1.400 a 13.500</t>
  </si>
  <si>
    <t>Kinast Propiedades.</t>
  </si>
  <si>
    <t>https://resources.mlstatic.com/classifieds_accounts/MLC_real_estate_agency/330123442_vip_v3.jpg</t>
  </si>
  <si>
    <t>UF 1.850 a 55.000</t>
  </si>
  <si>
    <t>Oh!Gar Propiedades</t>
  </si>
  <si>
    <t>https://resources.mlstatic.com/classifieds_accounts/MLC_real_estate_agency/449755772_vip.jpg</t>
  </si>
  <si>
    <t>UF 1.600 a 65.000</t>
  </si>
  <si>
    <t>Hcipropiedades</t>
  </si>
  <si>
    <t>UF 3.500 a 4.800</t>
  </si>
  <si>
    <t>Miproyectoinmobiliario.Cl</t>
  </si>
  <si>
    <t>https://http2.mlstatic.com/storage/vis-accounts/1501293390_vip-99e87828-0b9d-4408-a161-010eec077e44.png</t>
  </si>
  <si>
    <t>UF 1.400 a 14.980</t>
  </si>
  <si>
    <t>Remax Realty</t>
  </si>
  <si>
    <t>https://resources.mlstatic.com/classifieds_accounts/MLC_real_estate_agency/330123537_vip_v3.jpg</t>
  </si>
  <si>
    <t>UF 1.376 a 36.900</t>
  </si>
  <si>
    <t>Propiedades Y Asesoría Legal Ffrench-Davis Ltda.</t>
  </si>
  <si>
    <t>https://http2.mlstatic.com/storage/vis-accounts/330114352_vip-5f81c2b2-217d-4f7f-95eb-575154a8b417.jpg</t>
  </si>
  <si>
    <t>UF 1.390 a 26.500</t>
  </si>
  <si>
    <t>Mpc Propiedades</t>
  </si>
  <si>
    <t>https://resources.mlstatic.com/classifieds_accounts/MLC_real_estate_agency/330117373_vip.jpg</t>
  </si>
  <si>
    <t>UF 3.400 a 12.320</t>
  </si>
  <si>
    <t>Cata Brochet Propiedades</t>
  </si>
  <si>
    <t>https://http2.mlstatic.com/storage/vis-accounts/275246386_vip-87a6bcd1-a1ad-46c6-880e-51d213d6271b.jpg</t>
  </si>
  <si>
    <t>UF 1.000 a 60.000</t>
  </si>
  <si>
    <t>González López Propiedades</t>
  </si>
  <si>
    <t>https://resources.mlstatic.com/classifieds_accounts/MLC_real_estate_agency/270615352_vip_v2.jpg</t>
  </si>
  <si>
    <t>UF 1.402 a 11.990</t>
  </si>
  <si>
    <t>Stockpro</t>
  </si>
  <si>
    <t>https://http2.mlstatic.com/storage/vis-accounts/1927039659_vip-04cf76dc-999f-467e-93be-90f2e51dcfab.png</t>
  </si>
  <si>
    <t>UF 535 a 13.790</t>
  </si>
  <si>
    <t>Monica Larrain Propiedades</t>
  </si>
  <si>
    <t>https://http2.mlstatic.com/storage/vis-accounts/330121779_vip-5fb64af8-bc11-475c-b5f7-5bf2bf0238f3.jpg</t>
  </si>
  <si>
    <t>UF 1.886 a 77.223</t>
  </si>
  <si>
    <t>Miss Propiedades Spa.</t>
  </si>
  <si>
    <t>https://http2.mlstatic.com/storage/vis-accounts/216988837_vip-97f14789-e48c-4e65-910a-cb2048ab30bc.png</t>
  </si>
  <si>
    <t>UF 1.481 a 14.500</t>
  </si>
  <si>
    <t>Fuenzalida Propiedades Isabel La Católica</t>
  </si>
  <si>
    <t>https://http2.mlstatic.com/storage/vis-accounts/330117720_vip-962826ed-6517-4340-9b48-f5275cc995a1.jpg</t>
  </si>
  <si>
    <t>UF 1.147 a 51.500</t>
  </si>
  <si>
    <t>Dal Propiedades</t>
  </si>
  <si>
    <t>https://resources.mlstatic.com/classifieds_accounts/MLC_real_estate_agency/330122178_vip.jpg</t>
  </si>
  <si>
    <t>UF 1.380 a 21.000</t>
  </si>
  <si>
    <t>Parrau Propiedades</t>
  </si>
  <si>
    <t>https://http2.mlstatic.com/storage/vis-accounts/304815747_vip-968da28a-be53-40cf-b06d-71c24fed15fc.jpg</t>
  </si>
  <si>
    <t>UF 1.665 a 9.683</t>
  </si>
  <si>
    <t>Santamaría Gestión Inmobiliaria</t>
  </si>
  <si>
    <t>https://http2.mlstatic.com/storage/vis-accounts/453610212_vip-afed4471-8c98-4184-bb35-488ef8b0cd12.png</t>
  </si>
  <si>
    <t>UF 1.452 a 36.800</t>
  </si>
  <si>
    <t>Zucchet Propiedades</t>
  </si>
  <si>
    <t>https://http2.mlstatic.com/storage/vis-accounts/670485340_vip-dc9c62fa-805c-4500-b2e8-906ca8f11578.png</t>
  </si>
  <si>
    <t>UF 1.300 a 20.844</t>
  </si>
  <si>
    <t>Fuenzalida Propiedades El Golf</t>
  </si>
  <si>
    <t>https://http2.mlstatic.com/storage/vis-accounts/330123566_vip-ec25a5d4-4d14-484b-adaa-27082f9464c8.jpg</t>
  </si>
  <si>
    <t>UF 1.680 a 37.000</t>
  </si>
  <si>
    <t>Cavagnaro Propiedades</t>
  </si>
  <si>
    <t>https://http2.mlstatic.com/storage/vis-accounts/786866840_vip-39ffafd8-814d-4d9e-ab92-33cd2625ac15.jpg</t>
  </si>
  <si>
    <t>UF 1.410 a 24.000</t>
  </si>
  <si>
    <t>Oriente Propiedades Gestión Inmobiliaria</t>
  </si>
  <si>
    <t>https://resources.mlstatic.com/classifieds_accounts/MLC_real_estate_agency/442131585_vip.jpg</t>
  </si>
  <si>
    <t>UF 1.500 a 14.000</t>
  </si>
  <si>
    <t>Focolare Propiedades</t>
  </si>
  <si>
    <t>UF 892 a 25.000</t>
  </si>
  <si>
    <t>Ensenada Propiedades</t>
  </si>
  <si>
    <t>https://http2.mlstatic.com/storage/vis-accounts/104114988_vip-fa0086c0-9668-4725-b149-a6714ff5b935.jpg</t>
  </si>
  <si>
    <t>UF 2.700 a 50.000</t>
  </si>
  <si>
    <t>Vivaqui.Com</t>
  </si>
  <si>
    <t>https://resources.mlstatic.com/classifieds_accounts/MLC_real_estate_agency/92388263_vip_v2.jpg</t>
  </si>
  <si>
    <t>UF 1.147 a 34.900</t>
  </si>
  <si>
    <t>Cmantof</t>
  </si>
  <si>
    <t>https://resources.mlstatic.com/classifieds_accounts/MLC_real_estate_agency/465985439_vip_v2.jpg</t>
  </si>
  <si>
    <t>UF 2.900 a 8.409</t>
  </si>
  <si>
    <t>Urbana Propiedades</t>
  </si>
  <si>
    <t>https://resources.mlstatic.com/classifieds_accounts/MLC_real_estate_agency/171033245_vip_v4.jpg</t>
  </si>
  <si>
    <t>UF 1.840 a 19.500</t>
  </si>
  <si>
    <t>Pamela Andrade G.</t>
  </si>
  <si>
    <t>https://http2.mlstatic.com/storage/vis-accounts/275725269_vip-7e37d53a-ca08-47f9-a0ed-0da05efc38d5.png</t>
  </si>
  <si>
    <t>UF 2.100 a 9.301</t>
  </si>
  <si>
    <t>Rosa Muñoz Propiedades</t>
  </si>
  <si>
    <t>https://resources.mlstatic.com/classifieds_accounts/MLC_real_estate_agency/30582856_vip_v3.jpg</t>
  </si>
  <si>
    <t>UF 1.100 a 11.700</t>
  </si>
  <si>
    <t>Bgi Propiedades</t>
  </si>
  <si>
    <t>https://http2.mlstatic.com/storage/vis-accounts/209853609_vip-9c51536a-1023-458e-84b6-be6f84758842.png</t>
  </si>
  <si>
    <t>UF 1.900 a 69.000</t>
  </si>
  <si>
    <t>Fuenzalida Propiedades San Miguel</t>
  </si>
  <si>
    <t>https://http2.mlstatic.com/storage/vis-accounts/352536750_vip-e02d4a36-8678-4544-9b6c-5e21cd5c5189.jpg</t>
  </si>
  <si>
    <t>UF 1.045 a 19.410</t>
  </si>
  <si>
    <t>Mo.Propiedades Spa.</t>
  </si>
  <si>
    <t>https://http2.mlstatic.com/storage/vis-accounts/260181421_vip-3f458819-a344-46f7-9bc9-a7528d83c350.jpg</t>
  </si>
  <si>
    <t>UF 3.500 a 28.000</t>
  </si>
  <si>
    <t>The Property Shop</t>
  </si>
  <si>
    <t>https://http2.mlstatic.com/storage/vis-accounts/330115909_vip-58314005-be91-4790-ad5a-e2b3e968485b.png</t>
  </si>
  <si>
    <t>UF 7.690 a 40.000</t>
  </si>
  <si>
    <t>Mi Inversión Propiedades</t>
  </si>
  <si>
    <t>https://http2.mlstatic.com/storage/vis-accounts/180773641_vip-6b85f0f7-9ddc-4c03-8636-7a80999cd48f.jpg</t>
  </si>
  <si>
    <t>UF 1.402 a 40.771</t>
  </si>
  <si>
    <t>Proper Chile</t>
  </si>
  <si>
    <t>https://http2.mlstatic.com/storage/vis-accounts/330119210_vip-ba8b9935-a24b-48f2-946e-12054562cce0.png</t>
  </si>
  <si>
    <t>UF 1.200 a 13.900</t>
  </si>
  <si>
    <t>Agustin Fuenzalida Propiedades</t>
  </si>
  <si>
    <t>https://resources.mlstatic.com/classifieds_accounts/MLC_real_estate_agency/330115938_vip_v2.png</t>
  </si>
  <si>
    <t>UF 1.800 a 80.000</t>
  </si>
  <si>
    <t>Elitte Propiedades</t>
  </si>
  <si>
    <t>https://http2.mlstatic.com/storage/vis-accounts/673371683_vip-95bfa6b8-e420-4029-a8ac-dd73a2e67900.jpg</t>
  </si>
  <si>
    <t>UF 1.150 a 15.900</t>
  </si>
  <si>
    <t>Vendehome.Cl</t>
  </si>
  <si>
    <t>https://http2.mlstatic.com/storage/vis-accounts/809130686_vip-f000cf8b-cad8-437f-b6d6-6eb8e2834371.jpg</t>
  </si>
  <si>
    <t>UF 4.290 a 16.900</t>
  </si>
  <si>
    <t>Gazitúa Larraín Propiedades</t>
  </si>
  <si>
    <t>https://http2.mlstatic.com/storage/vis-accounts/330117685_vip-8d1e1f84-9b11-4824-b42e-2a39230abcc5.jpg</t>
  </si>
  <si>
    <t>UF 4.900 a 50.000</t>
  </si>
  <si>
    <t>Inmobiliaria Cruz</t>
  </si>
  <si>
    <t>https://http2.mlstatic.com/storage/vis-accounts/330114897_vip-6c41ae1b-d527-4963-a6d0-5e0fab753524.jpg</t>
  </si>
  <si>
    <t>UF 1.918 a 12.900</t>
  </si>
  <si>
    <t>Findhome</t>
  </si>
  <si>
    <t>https://http2.mlstatic.com/storage/vis-accounts/1113673991_vip-52a166ac-9590-4cae-ac0e-b6862f01899e.png</t>
  </si>
  <si>
    <t>UF 1.274 a 31.750</t>
  </si>
  <si>
    <t>Danton Propiedades Limitada</t>
  </si>
  <si>
    <t>https://resources.mlstatic.com/classifieds_accounts/MLC_real_estate_agency/433620433_vip.jpg</t>
  </si>
  <si>
    <t>UF 2.039 a 7.950</t>
  </si>
  <si>
    <t>Newhouse Propiedades</t>
  </si>
  <si>
    <t>https://http2.mlstatic.com/storage/vis-accounts/261476690_vip-596b1f78-07fa-4c2e-b735-cf36e75fc3c6.jpg</t>
  </si>
  <si>
    <t>UF 2.200 a 48.000</t>
  </si>
  <si>
    <t>Cm Property</t>
  </si>
  <si>
    <t>https://http2.mlstatic.com/storage/vis-accounts/627308002_vip-1dddcd5d-5b6c-4ca3-b6ae-fde8b0fc2e64.png</t>
  </si>
  <si>
    <t>UF 1.402 a 40.000</t>
  </si>
  <si>
    <t>Mvpropiedades</t>
  </si>
  <si>
    <t>UF 4.300 a 5.990</t>
  </si>
  <si>
    <t>Polaris Propiedades</t>
  </si>
  <si>
    <t>https://resources.mlstatic.com/classifieds_accounts/MLC_real_estate_agency/378329914_vip.jpg</t>
  </si>
  <si>
    <t>UF 1.300 a 17.490</t>
  </si>
  <si>
    <t>Jaime Moris Propiedades Spa</t>
  </si>
  <si>
    <t>https://http2.mlstatic.com/storage/vis-accounts/330121571_vip-4fd361c1-489c-46eb-b57f-e1032fe6f28d.png</t>
  </si>
  <si>
    <t>UF 841 a 16.537</t>
  </si>
  <si>
    <t>Ventana Urbana Propiedades</t>
  </si>
  <si>
    <t>https://resources.mlstatic.com/classifieds_accounts/MLC_real_estate_agency/330119955_vip.jpg</t>
  </si>
  <si>
    <t>UF 1.325 a 42.000</t>
  </si>
  <si>
    <t>Nexxos</t>
  </si>
  <si>
    <t>https://resources.mlstatic.com/classifieds_accounts/MLC_real_estate_agency/345299374_vip_v3.jpg</t>
  </si>
  <si>
    <t>UF 892 a 47.900</t>
  </si>
  <si>
    <t>Propiedades Litoral</t>
  </si>
  <si>
    <t>https://http2.mlstatic.com/storage/vis-accounts/735394048_vip-b877da07-db0c-4fbd-8796-4018ced0c9d5.jpg</t>
  </si>
  <si>
    <t>UF 1.402 a 4.306</t>
  </si>
  <si>
    <t>Echavarri Propiedades</t>
  </si>
  <si>
    <t>https://resources.mlstatic.com/classifieds_accounts/MLC_real_estate_agency/330114379_vip.jpg</t>
  </si>
  <si>
    <t>UF 1.650 a 42.000</t>
  </si>
  <si>
    <t>Liliana Díaz Propiedades</t>
  </si>
  <si>
    <t>https://http2.mlstatic.com/storage/vis-accounts/165602020_vip-949e4dc8-15aa-4303-9b96-fb7495f65126.png</t>
  </si>
  <si>
    <t>UF 3.590 a 12.800</t>
  </si>
  <si>
    <t>Oriana De Arriagada Claudia Arriagada Propiedades</t>
  </si>
  <si>
    <t>https://resources.mlstatic.com/classifieds_accounts/MLC_real_estate_agency/330120229_vip.jpg</t>
  </si>
  <si>
    <t>UF 2.599 a 21.000</t>
  </si>
  <si>
    <t>Remax First</t>
  </si>
  <si>
    <t>https://resources.mlstatic.com/classifieds_accounts/MLC_real_estate_agency/265082035_vip.jpg</t>
  </si>
  <si>
    <t>UF 1.119 a 49.000</t>
  </si>
  <si>
    <t>Brokers Inmobiliarios</t>
  </si>
  <si>
    <t>https://http2.mlstatic.com/storage/vis-accounts/305302436_vip-1617b81a-b2ef-4fc7-92ef-e1723c1e6518.png</t>
  </si>
  <si>
    <t>UF 663 a 62.500</t>
  </si>
  <si>
    <t>Inmobiliaria E Inversiones Alfa Ltda</t>
  </si>
  <si>
    <t>https://http2.mlstatic.com/storage/vis-accounts/330115651_vip-5f135eb0-4d1d-4885-8da0-fd0435ae1881.png</t>
  </si>
  <si>
    <t>UF 459 a 15.800</t>
  </si>
  <si>
    <t>Grupo Carraseti</t>
  </si>
  <si>
    <t>https://http2.mlstatic.com/storage/vis-accounts/457918484_vip-f76e590a-5d6a-4238-9dfa-94ee58690f93.jpg</t>
  </si>
  <si>
    <t>UF 1.402 a 12.655</t>
  </si>
  <si>
    <t>Vidal Riedel Propiedades</t>
  </si>
  <si>
    <t>https://resources.mlstatic.com/classifieds_accounts/MLC_real_estate_agency/55614913_vip_v2.jpg</t>
  </si>
  <si>
    <t>UF 1.618 a 55.000</t>
  </si>
  <si>
    <t>Asc Jurídica &amp; Inmobiliaria</t>
  </si>
  <si>
    <t>https://http2.mlstatic.com/storage/vis-accounts/379992692_vip-2d629c35-b735-4a53-a9fe-40d4d2dc1ebe.jpg</t>
  </si>
  <si>
    <t>UF 2.250 a 18.220</t>
  </si>
  <si>
    <t>Kutt</t>
  </si>
  <si>
    <t>UF 382 a 93.000</t>
  </si>
  <si>
    <t>Lavalsil Limitada</t>
  </si>
  <si>
    <t>https://resources.mlstatic.com/classifieds_accounts/MLC_real_estate_agency/330112872_vip_v4.jpg</t>
  </si>
  <si>
    <t>UF 3.500 a 24.000</t>
  </si>
  <si>
    <t>Bendita Propiedad</t>
  </si>
  <si>
    <t>https://resources.mlstatic.com/classifieds_accounts/MLC_real_estate_agency/330123326_vip.jpg</t>
  </si>
  <si>
    <t>UF 1.700 a 29.000</t>
  </si>
  <si>
    <t>Carro Y Cia Ltda</t>
  </si>
  <si>
    <t>https://http2.mlstatic.com/storage/vis-accounts/298257814_vip-7448eba4-0292-47c9-8dd5-6d4a349746aa.jpg</t>
  </si>
  <si>
    <t>UF 2.890 a 15.000</t>
  </si>
  <si>
    <t>Santi Bicini Propiedades</t>
  </si>
  <si>
    <t>https://http2.mlstatic.com/storage/vis-accounts/184188955_vip-118d81ff-8521-4946-b586-3bafe61ab566.jpg</t>
  </si>
  <si>
    <t>UF 1.180 a 31.800</t>
  </si>
  <si>
    <t>https://http2.mlstatic.com/storage/vis-accounts/260452993_vip-2ee3f161-2b22-4db0-989f-831edda0e30b.jpg</t>
  </si>
  <si>
    <t>UF 1.500 a 8.700</t>
  </si>
  <si>
    <t>Homeurbano Chile</t>
  </si>
  <si>
    <t>https://http2.mlstatic.com/storage/vis-accounts/716173674_vip-7649dda2-5cab-49d3-aeff-b5326ca65b54.jpg</t>
  </si>
  <si>
    <t>UF 1.210 a 14.690</t>
  </si>
  <si>
    <t>Century21 Pro</t>
  </si>
  <si>
    <t>https://http2.mlstatic.com/storage/vis-accounts/589380518_vip-ff08fd67-1a84-484e-880d-c58e0db7aa4b.jpg</t>
  </si>
  <si>
    <t>UF 1.600 a 110.000</t>
  </si>
  <si>
    <t>Proyectos Vercellino &amp; Puffe</t>
  </si>
  <si>
    <t>https://http2.mlstatic.com/storage/vis-accounts/81680772_vip-1c60c5bd-b148-4cd0-b7b6-f3a4e9a7ae16.png</t>
  </si>
  <si>
    <t>UF 1.147 a 75.000</t>
  </si>
  <si>
    <t>La Llave Gestión De Propiedades</t>
  </si>
  <si>
    <t>https://resources.mlstatic.com/classifieds_accounts/MLC_real_estate_agency/477665225_vip.jpg</t>
  </si>
  <si>
    <t>UF 968 a 7.900</t>
  </si>
  <si>
    <t>Avenue Propiedades</t>
  </si>
  <si>
    <t>https://resources.mlstatic.com/classifieds_accounts/MLC_real_estate_agency/260366195_vip.jpg</t>
  </si>
  <si>
    <t>UF 3.000 a 37.900</t>
  </si>
  <si>
    <t>Carolina Lagos - Corretaje De Propiedades</t>
  </si>
  <si>
    <t>https://resources.mlstatic.com/classifieds_accounts/MLC_real_estate_agency/523327239_vip_v2.png</t>
  </si>
  <si>
    <t>UF 4.890 a 26.000</t>
  </si>
  <si>
    <t>Propietat</t>
  </si>
  <si>
    <t>https://resources.mlstatic.com/classifieds_accounts/MLC_real_estate_agency/330120280_vip_v3.jpg</t>
  </si>
  <si>
    <t>UF 1.261 a 8.154</t>
  </si>
  <si>
    <t>Cubillos Propiedades</t>
  </si>
  <si>
    <t>https://resources.mlstatic.com/classifieds_accounts/MLC_real_estate_agency/338003989_vip_v4.jpg</t>
  </si>
  <si>
    <t>UF 1.019 a 46.000</t>
  </si>
  <si>
    <t>Mills Propiedades</t>
  </si>
  <si>
    <t>https://resources.mlstatic.com/classifieds_accounts/MLC_real_estate_agency/250862559_vip.jpg</t>
  </si>
  <si>
    <t>UF 1.605 a 15.000</t>
  </si>
  <si>
    <t>Mp Gestión Inmobiliaria</t>
  </si>
  <si>
    <t>https://http2.mlstatic.com/storage/vis-accounts/315846245_vip-daa26a93-564d-4534-8495-bdbe52419e50.png</t>
  </si>
  <si>
    <t>UF 2.300 a 22.325</t>
  </si>
  <si>
    <t>Procasa Mauricio Pino Propiedades</t>
  </si>
  <si>
    <t>UF 1.274 a 60.000</t>
  </si>
  <si>
    <t>Dueñas Labarca Propiedades</t>
  </si>
  <si>
    <t>https://resources.mlstatic.com/classifieds_accounts/MLC_real_estate_agency/330116018_vip.jpg</t>
  </si>
  <si>
    <t>UF 10.233 a 14.400</t>
  </si>
  <si>
    <t>Mj Ureta Propiedades</t>
  </si>
  <si>
    <t>https://http2.mlstatic.com/storage/vis-accounts/330123866_vip-120ed5f0-5a1a-4e04-8080-1cadb02a068c.png</t>
  </si>
  <si>
    <t>UF 9.400 a 35.472</t>
  </si>
  <si>
    <t>Mriveros Propiedades.</t>
  </si>
  <si>
    <t>https://http2.mlstatic.com/storage/vis-accounts/1151477630_vip-89648aa3-0444-49fa-b6f9-e412b48a5cd3.png</t>
  </si>
  <si>
    <t>UF 1.990 a 11.490</t>
  </si>
  <si>
    <t>Quindos</t>
  </si>
  <si>
    <t>https://resources.mlstatic.com/classifieds_accounts/MLC_real_estate_agency/630827971_vip.jpg</t>
  </si>
  <si>
    <t>UF 1.750 a 22.000</t>
  </si>
  <si>
    <t>Fuenzalida Propiedades Plaza Egaña</t>
  </si>
  <si>
    <t>https://http2.mlstatic.com/storage/vis-accounts/1090830563_vip-9182af73-64c9-46dc-8103-d70fd3265274.jpg</t>
  </si>
  <si>
    <t>UF 968 a 16.000</t>
  </si>
  <si>
    <t>Gyg Gestión Spa</t>
  </si>
  <si>
    <t>https://resources.mlstatic.com/classifieds_accounts/MLC_real_estate_agency/330117376_vip_v3.jpg</t>
  </si>
  <si>
    <t>UF 2.250 a 12.300</t>
  </si>
  <si>
    <t>Somerset Propiedades Chile</t>
  </si>
  <si>
    <t>https://resources.mlstatic.com/classifieds_accounts/MLC_real_estate_agency/199862300_vip.jpg</t>
  </si>
  <si>
    <t>UF 1.690 a 35.750</t>
  </si>
  <si>
    <t>Fuenzalida Propiedades Vitacura</t>
  </si>
  <si>
    <t>https://http2.mlstatic.com/storage/vis-accounts/330116610_vip-cd69f8c3-8a94-4c31-b044-d194926940ae.jpg</t>
  </si>
  <si>
    <t>UF 1.500 a 65.000</t>
  </si>
  <si>
    <t>Alamos Propiedades</t>
  </si>
  <si>
    <t>https://http2.mlstatic.com/storage/vis-accounts/87219551_vip-c0820562-13a5-476f-af89-77be240040cc.png</t>
  </si>
  <si>
    <t>UF 7.890 a 55.000</t>
  </si>
  <si>
    <t>Easy Prop</t>
  </si>
  <si>
    <t>https://resources.mlstatic.com/classifieds_accounts/MLC_real_estate_agency/397182427_vip.jpg</t>
  </si>
  <si>
    <t>UF 586 a 158.000</t>
  </si>
  <si>
    <t>Terrasur Propiedades</t>
  </si>
  <si>
    <t>https://resources.mlstatic.com/classifieds_accounts/MLC_real_estate_agency/330122073_vip.jpg</t>
  </si>
  <si>
    <t>UF 5.300 a 5.300</t>
  </si>
  <si>
    <t>Proa Gestión Inmobiliaria</t>
  </si>
  <si>
    <t>https://resources.mlstatic.com/classifieds_accounts/MLC_real_estate_agency/330118217_vip.jpg</t>
  </si>
  <si>
    <t>UF 5.100 a 125.000</t>
  </si>
  <si>
    <t>Loy Propiedades Spa</t>
  </si>
  <si>
    <t>https://http2.mlstatic.com/storage/vis-accounts/1190437869_vip-39109941-7d7f-4598-a9dc-c5f0f54f1135.jpg</t>
  </si>
  <si>
    <t>UF 1.250 a 23.000</t>
  </si>
  <si>
    <t>Milcasas</t>
  </si>
  <si>
    <t>https://http2.mlstatic.com/storage/vis-accounts/330119280_vip-3493bb6d-e5c6-4edd-888b-bf17ce139b09.png</t>
  </si>
  <si>
    <t>UF 1.452 a 32.600</t>
  </si>
  <si>
    <t>Fg Propiedades</t>
  </si>
  <si>
    <t>https://http2.mlstatic.com/storage/vis-accounts/56128955_vip-0f694f35-4d89-4b26-ada7-2098c5412e99.jpg</t>
  </si>
  <si>
    <t>UF 3.200 a 26.900</t>
  </si>
  <si>
    <t>Fauna Propiedades</t>
  </si>
  <si>
    <t>UF 1.800 a 13.960</t>
  </si>
  <si>
    <t>Costa Urbana Gestión Inmobiliaria</t>
  </si>
  <si>
    <t>https://http2.mlstatic.com/storage/vis-accounts/434419595_vip-1c68b0ec-f777-4b83-a79a-174ff3708f3e.png</t>
  </si>
  <si>
    <t>UF 1.402 a 23.500</t>
  </si>
  <si>
    <t>Fuenzalida Propiedades Apoquindo</t>
  </si>
  <si>
    <t>https://http2.mlstatic.com/storage/vis-accounts/330123873_vip-da1b7c68-bf3d-45be-9139-8b19c2780a90.jpg</t>
  </si>
  <si>
    <t>UF 1.250 a 45.000</t>
  </si>
  <si>
    <t>Gestiona Propiedades</t>
  </si>
  <si>
    <t>https://resources.mlstatic.com/classifieds_accounts/MLC_real_estate_agency/330116021_vip.jpg</t>
  </si>
  <si>
    <t>UF 1.911 a 70.600</t>
  </si>
  <si>
    <t>San Nicolás Gestión Inmobiliaria</t>
  </si>
  <si>
    <t>https://resources.mlstatic.com/classifieds_accounts/MLC_real_estate_agency/475470695_vip.jpg</t>
  </si>
  <si>
    <t>UF 1.400 a 25.200</t>
  </si>
  <si>
    <t>Valle Urbano Propiedades</t>
  </si>
  <si>
    <t>https://http2.mlstatic.com/storage/vis-accounts/184321074_vip-a583900e-b226-4d84-bac9-12968be25331.jpg</t>
  </si>
  <si>
    <t>UF 5.800 a 44.000</t>
  </si>
  <si>
    <t>https://www.portalinmobiliario.com/static_assets/landing/campana/corredores/img/gris.svg</t>
  </si>
  <si>
    <t>Horus Propiedades Spa</t>
  </si>
  <si>
    <t>https://http2.mlstatic.com/storage/vis-accounts/427341358_vip-fd8d5f76-dc7f-405a-80cf-76e5f0733faa.jpg</t>
  </si>
  <si>
    <t>UF 1.100 a 25.790</t>
  </si>
  <si>
    <t>Cr Gestion</t>
  </si>
  <si>
    <t>UF 1.658 a 11.700</t>
  </si>
  <si>
    <t>Coddou Propiedades</t>
  </si>
  <si>
    <t>https://http2.mlstatic.com/storage/vis-accounts/75745400_vip-22b7dab2-b6e2-4abe-b83d-5af271933344.png</t>
  </si>
  <si>
    <t>UF 5.350 a 22.500</t>
  </si>
  <si>
    <t>Home Trust Chile</t>
  </si>
  <si>
    <t>https://http2.mlstatic.com/storage/vis-accounts/789998432_vip-94416a4f-c275-45d7-9f6f-6b3edc75e45e.jpg</t>
  </si>
  <si>
    <t>UF 1.276 a 4.290</t>
  </si>
  <si>
    <t>Ambienta Propiedades.</t>
  </si>
  <si>
    <t>https://http2.mlstatic.com/storage/vis-accounts/802119533_vip-dfa5692f-6c38-4339-ae1a-fa77006ca378.jpg</t>
  </si>
  <si>
    <t>UF 1.503 a 22.587</t>
  </si>
  <si>
    <t>Vs Propiedades</t>
  </si>
  <si>
    <t>https://http2.mlstatic.com/storage/vis-accounts/768066084_vip-46dea2c8-abe9-4df6-ac01-5eeb5bab37c1.png</t>
  </si>
  <si>
    <t>UF 1.911 a 35.000</t>
  </si>
  <si>
    <t>Vilichich Corretaje De Propiedades Spa</t>
  </si>
  <si>
    <t>https://http2.mlstatic.com/storage/vis-accounts/1089878840_vip-a6c8b0bf-94cc-4105-b497-39787a9452da.png</t>
  </si>
  <si>
    <t>UF 1.503 a 31.700</t>
  </si>
  <si>
    <t>Sf Gestión Inmobiliaria</t>
  </si>
  <si>
    <t>https://http2.mlstatic.com/storage/vis-accounts/117661539_vip-e6f2f97f-3620-4b6f-af93-c9ff0c9a92c3.gif</t>
  </si>
  <si>
    <t>UF 2.039 a 37.000</t>
  </si>
  <si>
    <t>Grupo Optima Inmobiliaria</t>
  </si>
  <si>
    <t>UF 2.013 a 19.900</t>
  </si>
  <si>
    <t>Fgi Group Propiedades</t>
  </si>
  <si>
    <t>https://http2.mlstatic.com/storage/vis-accounts/1222397047_vip-d0ac3f16-980c-4e19-9ec9-f17b7003cd7b.png</t>
  </si>
  <si>
    <t>UF 1.300 a 32.200</t>
  </si>
  <si>
    <t>Eliag Propíedades</t>
  </si>
  <si>
    <t>https://http2.mlstatic.com/storage/vis-accounts/1210640134_vip-ab1ee798-8963-411a-a13a-d99fc481c404.png</t>
  </si>
  <si>
    <t>UF 4.459 a 14.999</t>
  </si>
  <si>
    <t>Amr Propiedades</t>
  </si>
  <si>
    <t>https://http2.mlstatic.com/storage/vis-accounts/1101768077_vip-1025380e-41f4-44bd-8149-c135989941b6.png</t>
  </si>
  <si>
    <t>UF 815 a 7.645</t>
  </si>
  <si>
    <t>Jrc Propiedades Spa</t>
  </si>
  <si>
    <t>https://http2.mlstatic.com/storage/vis-accounts/761482050_vip-475df316-e8aa-47d7-a210-10bb4d058ada.jpg</t>
  </si>
  <si>
    <t>UF 1.580 a 8.919</t>
  </si>
  <si>
    <t>Puerta Azul Spa</t>
  </si>
  <si>
    <t>https://http2.mlstatic.com/storage/vis-accounts/693712824_vip-ec9dd31a-31df-4e20-9b63-db66e0a99df5.png</t>
  </si>
  <si>
    <t>UF 2.892 a 58.000</t>
  </si>
  <si>
    <t>Gesinprop</t>
  </si>
  <si>
    <t>https://http2.mlstatic.com/storage/vis-accounts/695255911_vip-d2233f5e-c630-4097-a1a5-81b1cffb27bc.jpg</t>
  </si>
  <si>
    <t>UF 1.351 a 14.500</t>
  </si>
  <si>
    <t>Casasurspa</t>
  </si>
  <si>
    <t>https://resources.mlstatic.com/classifieds_accounts/MLC_real_estate_agency/330116655_vip.JPG</t>
  </si>
  <si>
    <t>UF 1.680 a 32.000</t>
  </si>
  <si>
    <t>Mshouse Propiedades</t>
  </si>
  <si>
    <t>https://resources.mlstatic.com/classifieds_accounts/MLC_real_estate_agency/364365934_vip.jpg</t>
  </si>
  <si>
    <t>UF 2.117 a 21.000</t>
  </si>
  <si>
    <t>Mafer Propiedades</t>
  </si>
  <si>
    <t>https://resources.mlstatic.com/classifieds_accounts/MLC_real_estate_agency/330114907_vip.jpg</t>
  </si>
  <si>
    <t>UF 8.500 a 18.500</t>
  </si>
  <si>
    <t>Brezzo Propiedades</t>
  </si>
  <si>
    <t>https://resources.mlstatic.com/classifieds_accounts/MLC_real_estate_agency/330114644_vip.gif</t>
  </si>
  <si>
    <t>UF 1.390 a 32.200</t>
  </si>
  <si>
    <t>Manaut Propiedades</t>
  </si>
  <si>
    <t>https://http2.mlstatic.com/storage/vis-accounts/837421467_vip-11fdc520-be43-462b-b289-719cbd7c2552.jpg</t>
  </si>
  <si>
    <t>UF 2.242 a 8.099</t>
  </si>
  <si>
    <t>Almar Luxury Homes</t>
  </si>
  <si>
    <t>UF 3.900 a 16.000</t>
  </si>
  <si>
    <t>Weseek Spa</t>
  </si>
  <si>
    <t>UF 1.900 a 59.800</t>
  </si>
  <si>
    <t>Mpropiedades</t>
  </si>
  <si>
    <t>https://http2.mlstatic.com/storage/vis-accounts/817706078_vip-2ecfc482-638e-4ed6-9e8f-c35aebcd4b50.jpg</t>
  </si>
  <si>
    <t>UF 1.223 a 52.000</t>
  </si>
  <si>
    <t>Network Propiedades Asociados</t>
  </si>
  <si>
    <t>https://http2.mlstatic.com/storage/vis-accounts/730790592_vip-6a95ebf9-b2e6-4f07-864d-26d877093daa.png</t>
  </si>
  <si>
    <t>UF 3.450 a 22.500</t>
  </si>
  <si>
    <t>Tribu Propiedades</t>
  </si>
  <si>
    <t>UF 1.911 a 7.008</t>
  </si>
  <si>
    <t>Máximo Cotal Propiedades</t>
  </si>
  <si>
    <t>UF 1.045 a 10.200</t>
  </si>
  <si>
    <t>Angeler Propiedades</t>
  </si>
  <si>
    <t>https://http2.mlstatic.com/storage/vis-accounts/650429504_vip-44e6e27a-ab32-411d-b4aa-9c17126d40ea.png</t>
  </si>
  <si>
    <t>UF 7.600 a 21.500</t>
  </si>
  <si>
    <t>Jaque Matte Propiedades</t>
  </si>
  <si>
    <t>UF 11.200 a 15.959</t>
  </si>
  <si>
    <t>Cantillanafarias</t>
  </si>
  <si>
    <t>UF 1.988 a 1.988</t>
  </si>
  <si>
    <t>Alto Las Cruces Propiedades</t>
  </si>
  <si>
    <t>UF 1.300 a 18.500</t>
  </si>
  <si>
    <t>La Puerta Propiedades</t>
  </si>
  <si>
    <t>https://http2.mlstatic.com/storage/vis-accounts/1205470097_vip-51f41f5d-3bb8-41fc-9d3c-9027fa8a851a.png</t>
  </si>
  <si>
    <t>UF 2.990 a 26.900</t>
  </si>
  <si>
    <t>Propiedades Felix</t>
  </si>
  <si>
    <t>https://http2.mlstatic.com/storage/vis-accounts/1168353937_vip-ff676c54-14b0-4a3b-a590-506f29a22a05.png</t>
  </si>
  <si>
    <t>UF 1.650 a 13.950</t>
  </si>
  <si>
    <t>Simonidis Campomar Propiedades</t>
  </si>
  <si>
    <t>https://http2.mlstatic.com/storage/vis-accounts/1129408620_vip-aef6ad9f-9b10-4b2e-b0ca-6c7c3fcea2de.jpg</t>
  </si>
  <si>
    <t>UF 2.700 a 30.000</t>
  </si>
  <si>
    <t>Rnpropiedades</t>
  </si>
  <si>
    <t>UF 1.195 a 7.300</t>
  </si>
  <si>
    <t>Golondrina Global</t>
  </si>
  <si>
    <t>https://http2.mlstatic.com/storage/vis-accounts/836254570_vip-cd866753-5720-4132-b310-2eb417ce006c.png</t>
  </si>
  <si>
    <t>UF 9.000 a 33.000</t>
  </si>
  <si>
    <t>Remax Oeste</t>
  </si>
  <si>
    <t>https://http2.mlstatic.com/storage/vis-accounts/1125515679_vip-a1d8d35c-a22a-4c53-bbf9-9a8af683db76.jpg</t>
  </si>
  <si>
    <t>UF 1.402 a 36.120</t>
  </si>
  <si>
    <t>Mys Propiedades</t>
  </si>
  <si>
    <t>https://http2.mlstatic.com/storage/vis-accounts/1257729463_vip-3462cef6-a4fa-4569-873a-656fd82fd63b.png</t>
  </si>
  <si>
    <t>UF 3.500 a 35.200</t>
  </si>
  <si>
    <t>Fernandafredesmartnez</t>
  </si>
  <si>
    <t>UF 1.478 a 9.260</t>
  </si>
  <si>
    <t>Swisshaus Propiedades</t>
  </si>
  <si>
    <t>https://http2.mlstatic.com/storage/vis-accounts/1099133689_vip-39ca5609-4ed9-4bd3-81a0-46aee8ab11cb.png</t>
  </si>
  <si>
    <t>UF 5.600 a 29.950</t>
  </si>
  <si>
    <t>G C Propiedades</t>
  </si>
  <si>
    <t>https://resources.mlstatic.com/classifieds_accounts/MLC_real_estate_agency/55206155_vip.jpg</t>
  </si>
  <si>
    <t>UF 3.900 a 10.500</t>
  </si>
  <si>
    <t>Propiedades Nélida Bustos</t>
  </si>
  <si>
    <t>https://resources.mlstatic.com/classifieds_accounts/MLC_real_estate_agency/330117367_vip_v3.jpg</t>
  </si>
  <si>
    <t>UF 2.979 a 4.200</t>
  </si>
  <si>
    <t>Elizondo Propiedades</t>
  </si>
  <si>
    <t>https://http2.mlstatic.com/storage/vis-accounts/330117335_vip-28a79989-c3cc-4843-b290-2f904198868f.png</t>
  </si>
  <si>
    <t>UF 1.590 a 5.800</t>
  </si>
  <si>
    <t>Monsalve Propiedades</t>
  </si>
  <si>
    <t>https://resources.mlstatic.com/classifieds_accounts/MLC_real_estate_agency/330116243_vip.jpg</t>
  </si>
  <si>
    <t>UF 5.930 a 11.700</t>
  </si>
  <si>
    <t>Sergio Gacitúa Propiedades</t>
  </si>
  <si>
    <t>https://http2.mlstatic.com/storage/vis-accounts/26788562_vip-aa0aa674-02e6-4dd5-b432-5bb2497d02fc.gif</t>
  </si>
  <si>
    <t>UF 2.500 a 8.900</t>
  </si>
  <si>
    <t>Godia Propiedades</t>
  </si>
  <si>
    <t>https://resources.mlstatic.com/classifieds_accounts/MLC_real_estate_agency/330118059_vip_v3.jpg</t>
  </si>
  <si>
    <t>UF 3.100 a 22.600</t>
  </si>
  <si>
    <t>Propiedades Nv</t>
  </si>
  <si>
    <t>https://resources.mlstatic.com/classifieds_accounts/MLC_real_estate_agency/330121572_vip.jpg</t>
  </si>
  <si>
    <t>UF 1.909 a 22.500</t>
  </si>
  <si>
    <t>Arq Dco</t>
  </si>
  <si>
    <t>https://http2.mlstatic.com/storage/vis-accounts/802404747_vip-9e3549d3-b88a-4797-ab70-757a306464c9.png</t>
  </si>
  <si>
    <t>UF 1.000 a 5.861</t>
  </si>
  <si>
    <t>Avas Propiedades Limitada</t>
  </si>
  <si>
    <t>https://resources.mlstatic.com/classifieds_accounts/MLC_real_estate_agency/330121882_vip.JPG</t>
  </si>
  <si>
    <t>UF 1.325 a 12.486</t>
  </si>
  <si>
    <t>Openchoice Propiedades</t>
  </si>
  <si>
    <t>https://http2.mlstatic.com/storage/vis-accounts/749657156_vip-c5b345f2-94f1-4cb0-8f30-8e929e08015d.png</t>
  </si>
  <si>
    <t>UF 1.733 a 29.500</t>
  </si>
  <si>
    <t>360 Propiedades</t>
  </si>
  <si>
    <t>https://http2.mlstatic.com/storage/vis-accounts/772598903_vip-7b25b2bd-0831-4308-9ddb-1ec759492d98.png</t>
  </si>
  <si>
    <t>UF 3.640 a 9.950</t>
  </si>
  <si>
    <t>Bmi Propiedades</t>
  </si>
  <si>
    <t>UF 2.600 a 53.000</t>
  </si>
  <si>
    <t>Alfredibaezm</t>
  </si>
  <si>
    <t>UF 1.784 a 62.000</t>
  </si>
  <si>
    <t>Chilenux Spa</t>
  </si>
  <si>
    <t>UF 1.376 a 10.957</t>
  </si>
  <si>
    <t>La Vitrina De Javi</t>
  </si>
  <si>
    <t>https://http2.mlstatic.com/storage/vis-accounts/761490987_vip-86a0ba4c-e5e4-4eb7-9977-8d2f5bdd0dcc.jpg</t>
  </si>
  <si>
    <t>UF 2.039 a 36.500</t>
  </si>
  <si>
    <t>Block Property Advisors</t>
  </si>
  <si>
    <t>https://http2.mlstatic.com/storage/vis-accounts/315653942_vip-5cea16ca-2428-4f54-a993-46dc6a388339.png</t>
  </si>
  <si>
    <t>UF 1.700 a 6.490</t>
  </si>
  <si>
    <t>Norella Gestión Inmobiliaria</t>
  </si>
  <si>
    <t>https://http2.mlstatic.com/storage/vis-accounts/1114016250_vip-a7a05eb5-f2a1-42e9-916a-a4e7bc432449.jpg</t>
  </si>
  <si>
    <t>UF 2.010 a 12.330</t>
  </si>
  <si>
    <t>Lorenavpropiedades</t>
  </si>
  <si>
    <t>UF 1.503 a 3.400</t>
  </si>
  <si>
    <t>Villavicencio Propiedades</t>
  </si>
  <si>
    <t>https://http2.mlstatic.com/storage/vis-accounts/315694161_vip-9e00b424-4bd3-4d73-8518-fa5738128d96.png</t>
  </si>
  <si>
    <t>UF 1.580 a 7.135</t>
  </si>
  <si>
    <t>Ziw Property</t>
  </si>
  <si>
    <t>https://http2.mlstatic.com/storage/vis-accounts/1210214672_vip-cdf16728-7d4d-4b9b-9274-1d45bd5bb9d7.png</t>
  </si>
  <si>
    <t>UF 9.300 a 67.500</t>
  </si>
  <si>
    <t>Ybpropiedades</t>
  </si>
  <si>
    <t>UF 1.784 a 18.000</t>
  </si>
  <si>
    <t>Del Curto Bienes Raices</t>
  </si>
  <si>
    <t>https://http2.mlstatic.com/storage/vis-accounts/1047720948_vip-f7dddd62-4ccd-4bb1-8786-f968c6371ae8.png</t>
  </si>
  <si>
    <t>UF 2.143 a 15.518</t>
  </si>
  <si>
    <t>Renta Futura Gestion Inmobiliaria Spa</t>
  </si>
  <si>
    <t>UF 2.200 a 5.800</t>
  </si>
  <si>
    <t>Hyjpropiedades</t>
  </si>
  <si>
    <t>https://http2.mlstatic.com/storage/vis-accounts/1164177537_vip-8df3f93a-441f-4119-aecd-540038b5dc9d.jpg</t>
  </si>
  <si>
    <t>UF 1.580 a 36.500</t>
  </si>
  <si>
    <t>Ekoma Propiedades</t>
  </si>
  <si>
    <t>UF 1.402 a 7.900</t>
  </si>
  <si>
    <t>Arq Pauly</t>
  </si>
  <si>
    <t>https://http2.mlstatic.com/storage/vis-accounts/152812578_vip-f9cf096a-6453-4717-a61e-5086a5f6bb85.png</t>
  </si>
  <si>
    <t>UF 1.911 a 1.911</t>
  </si>
  <si>
    <t>Mauricio Gonzalez Propiedades</t>
  </si>
  <si>
    <t>UF 2.050 a 7.220</t>
  </si>
  <si>
    <t>Muñoz Propiedades</t>
  </si>
  <si>
    <t>UF 1.784 a 1.784</t>
  </si>
  <si>
    <t>Probienes</t>
  </si>
  <si>
    <t>https://http2.mlstatic.com/storage/vis-accounts/470208178_vip-5eee8c9b-ac4f-427e-b81c-0ac4cf4ce0c1.png</t>
  </si>
  <si>
    <t>UF 2.446 a 3.007</t>
  </si>
  <si>
    <t>Epa.Andacollo</t>
  </si>
  <si>
    <t>UF 713 a 18.000</t>
  </si>
  <si>
    <t>Inversold Real Estate</t>
  </si>
  <si>
    <t>https://resources.mlstatic.com/classifieds_accounts/MLC_real_estate_agency/630829275_vip.jpg</t>
  </si>
  <si>
    <t>UF 1.911 a 4.800</t>
  </si>
  <si>
    <t>Notari Propiedades</t>
  </si>
  <si>
    <t>https://resources.mlstatic.com/classifieds_accounts/MLC_real_estate_agency/567219292_vip.jpg</t>
  </si>
  <si>
    <t>UF 1.585 a 3.387</t>
  </si>
  <si>
    <t>Propiedades En Pirque</t>
  </si>
  <si>
    <t>https://resources.mlstatic.com/classifieds_accounts/MLC_real_estate_agency/330116540_vip.jpg</t>
  </si>
  <si>
    <t>UF 4.306 a 28.000</t>
  </si>
  <si>
    <t>Díaz Propiedades</t>
  </si>
  <si>
    <t>https://resources.mlstatic.com/classifieds_accounts/MLC_real_estate_agency/330120610_vip_v5.jpg</t>
  </si>
  <si>
    <t>UF 1.790 a 15.490</t>
  </si>
  <si>
    <t>Vic Haus</t>
  </si>
  <si>
    <t>https://resources.mlstatic.com/classifieds_accounts/MLC_real_estate_agency/535133647_vip.jpg</t>
  </si>
  <si>
    <t>UF 1.990 a 40.000</t>
  </si>
  <si>
    <t>Prime Propiedades</t>
  </si>
  <si>
    <t>https://resources.mlstatic.com/classifieds_accounts/MLC_real_estate_agency/330113149_vip_v3.gif</t>
  </si>
  <si>
    <t>UF 1.900 a 7.500</t>
  </si>
  <si>
    <t>Urbegestión</t>
  </si>
  <si>
    <t>https://resources.mlstatic.com/classifieds_accounts/MLC_real_estate_agency/330120782_vip.jpg</t>
  </si>
  <si>
    <t>UF 3.100 a 11.200</t>
  </si>
  <si>
    <t>Abdala Propiedades</t>
  </si>
  <si>
    <t>https://resources.mlstatic.com/classifieds_accounts/MLC_real_estate_agency/330113128_vip.gif</t>
  </si>
  <si>
    <t>UF 4.700 a 15.000</t>
  </si>
  <si>
    <t>Galarce Propiedades</t>
  </si>
  <si>
    <t>https://http2.mlstatic.com/storage/vis-accounts/35096968_vip-58e735ea-12f9-4f8a-97d0-747edca1794f.jpg</t>
  </si>
  <si>
    <t>UF 1.784 a 5.479</t>
  </si>
  <si>
    <t>Rodrigo Silva Y Asociados Propiedades</t>
  </si>
  <si>
    <t>https://resources.mlstatic.com/classifieds_accounts/MLC_real_estate_agency/330120628_vip.jpg</t>
  </si>
  <si>
    <t>UF 2.200 a 22.900</t>
  </si>
  <si>
    <t>E&amp;R Propiedades Y Consultorías Previsionales</t>
  </si>
  <si>
    <t>https://http2.mlstatic.com/storage/vis-accounts/330122846_vip-bf3f7faf-f110-47de-add9-0139f50f245e.png</t>
  </si>
  <si>
    <t>UF 2.230 a 5.200</t>
  </si>
  <si>
    <t>Gananciainmobiliaria</t>
  </si>
  <si>
    <t>https://http2.mlstatic.com/storage/vis-accounts/733521049_vip-09b3e4c4-3f98-453a-b505-f9958db0f16e.png</t>
  </si>
  <si>
    <t>UF 1.911 a 15.600</t>
  </si>
  <si>
    <t>Lira Y Comber Propiedades</t>
  </si>
  <si>
    <t>https://http2.mlstatic.com/storage/vis-accounts/739454358_vip-c2bb3948-ecbf-4476-a3e1-0cd4ec449103.jpg</t>
  </si>
  <si>
    <t>UF 4.500 a 38.250</t>
  </si>
  <si>
    <t>Ak Propiedades Spa</t>
  </si>
  <si>
    <t>https://resources.mlstatic.com/classifieds_accounts/MLC_real_estate_agency/27705232_vip_v2.jpg</t>
  </si>
  <si>
    <t>UF 2.120 a 20.900</t>
  </si>
  <si>
    <t>Pedro Alfonso</t>
  </si>
  <si>
    <t>UF 1.962 a 7.500</t>
  </si>
  <si>
    <t>García-Huidobro Propiedades</t>
  </si>
  <si>
    <t>UF 2.050 a 18.250</t>
  </si>
  <si>
    <t>Ys Propiedades Limitada</t>
  </si>
  <si>
    <t>https://resources.mlstatic.com/classifieds_accounts/MLC_real_estate_agency/330120433_vip.jpg</t>
  </si>
  <si>
    <t>UF 4.950 a 33.900</t>
  </si>
  <si>
    <t>Kolbach Propiedades</t>
  </si>
  <si>
    <t>https://resources.mlstatic.com/classifieds_accounts/MLC_real_estate_agency/330117500_vip.jpg</t>
  </si>
  <si>
    <t>UF 1.450 a 120.000</t>
  </si>
  <si>
    <t>Casacom Propiedades</t>
  </si>
  <si>
    <t>https://http2.mlstatic.com/storage/vis-accounts/171664145_vip-37275be0-089e-48da-803c-4f9382bf001f.png</t>
  </si>
  <si>
    <t>UF 2.450 a 4.680</t>
  </si>
  <si>
    <t>Sociedad Costa Real Propiedades Gestión Inmobiliaria Spa</t>
  </si>
  <si>
    <t>https://resources.mlstatic.com/classifieds_accounts/MLC_real_estate_agency/330117695_vip.jpg</t>
  </si>
  <si>
    <t>UF 1.860 a 24.950</t>
  </si>
  <si>
    <t>Mfmasesoriasinmobiliarias</t>
  </si>
  <si>
    <t>https://http2.mlstatic.com/storage/vis-accounts/230318883_vip-64764a04-9584-40f2-866c-0aa7803708c7.png</t>
  </si>
  <si>
    <t>UF 1.000 a 31.000</t>
  </si>
  <si>
    <t>De La Horra Propiedades</t>
  </si>
  <si>
    <t>https://resources.mlstatic.com/classifieds_accounts/MLC_real_estate_agency/160946267_vip_v3.jpg</t>
  </si>
  <si>
    <t>UF 1.402 a 73.000</t>
  </si>
  <si>
    <t>Jeria Propiedades</t>
  </si>
  <si>
    <t>https://resources.mlstatic.com/classifieds_accounts/MLC_real_estate_agency/64267778_vip.jpg</t>
  </si>
  <si>
    <t>UF 1.656 a 3.070</t>
  </si>
  <si>
    <t>Propiedades Rendic&amp;Letelier</t>
  </si>
  <si>
    <t>https://resources.mlstatic.com/classifieds_accounts/MLC_real_estate_agency/242202718_vip.jpg</t>
  </si>
  <si>
    <t>UF 1.928 a 11.200</t>
  </si>
  <si>
    <t>Imarmau Gestión Inmobiliaria</t>
  </si>
  <si>
    <t>https://http2.mlstatic.com/storage/vis-accounts/201052545_vip-7def0406-bd22-4a17-827b-ea5ef670812b.jpg</t>
  </si>
  <si>
    <t>UF 1.440 a 6.773</t>
  </si>
  <si>
    <t>Ldj Propiedades</t>
  </si>
  <si>
    <t>https://resources.mlstatic.com/classifieds_accounts/MLC_real_estate_agency/223429918_vip_v2.JPG</t>
  </si>
  <si>
    <t>UF 1.198 a 85.000</t>
  </si>
  <si>
    <t>Lm Propiedades</t>
  </si>
  <si>
    <t>https://http2.mlstatic.com/storage/vis-accounts/6476973_vip-14ad984e-782f-4baf-a440-83c4c1c07bc2.jpg</t>
  </si>
  <si>
    <t>UF 3.190 a 48.167</t>
  </si>
  <si>
    <t>Paula Propiedades</t>
  </si>
  <si>
    <t>https://resources.mlstatic.com/classifieds_accounts/MLC_real_estate_agency/330116445_vip.JPG</t>
  </si>
  <si>
    <t>UF 1.325 a 10.600</t>
  </si>
  <si>
    <t>Decisión Inmobiliaria</t>
  </si>
  <si>
    <t>https://resources.mlstatic.com/classifieds_accounts/MLC_real_estate_agency/330115584_vip_v3.jpg</t>
  </si>
  <si>
    <t>UF 2.039 a 33.000</t>
  </si>
  <si>
    <t>T-Ubika.Cl</t>
  </si>
  <si>
    <t>https://resources.mlstatic.com/classifieds_accounts/MLC_real_estate_agency/330116678_vip.jpg</t>
  </si>
  <si>
    <t>UF 1.550 a 30.000</t>
  </si>
  <si>
    <t>K Y D Propiedades</t>
  </si>
  <si>
    <t>https://http2.mlstatic.com/storage/vis-accounts/656012507_vip-b12f1ca4-6972-4f71-9ff8-c3a3365cf9bb.jpg</t>
  </si>
  <si>
    <t>UF 1.860 a 11.990</t>
  </si>
  <si>
    <t>Santa Martina Propiedades</t>
  </si>
  <si>
    <t>https://resources.mlstatic.com/classifieds_accounts/MLC_real_estate_agency/330113776_vip.png</t>
  </si>
  <si>
    <t>UF 2.548 a 19.500</t>
  </si>
  <si>
    <t>Cecilia Valle Propiedades</t>
  </si>
  <si>
    <t>https://http2.mlstatic.com/storage/vis-accounts/1001248070_vip-2893292e-6b05-413f-a807-3568556b5cd3.jpg</t>
  </si>
  <si>
    <t>UF 1.500 a 7.300</t>
  </si>
  <si>
    <t>Entrepropiedades</t>
  </si>
  <si>
    <t>https://http2.mlstatic.com/storage/vis-accounts/717492753_vip-4cf8c4dd-f7ca-4bd6-8207-f19ea9c06d77.png</t>
  </si>
  <si>
    <t>UF 4.580 a 27.900</t>
  </si>
  <si>
    <t>Karinapancetti</t>
  </si>
  <si>
    <t>UF 2.039 a 5.606</t>
  </si>
  <si>
    <t>Jam Gestión Inmobiliaria</t>
  </si>
  <si>
    <t>UF 1.605 a 6.345</t>
  </si>
  <si>
    <t>C Y D Propiedades</t>
  </si>
  <si>
    <t>https://http2.mlstatic.com/storage/vis-accounts/803255190_vip-06595ba9-bc3a-4977-a45a-0d985bb38819.png</t>
  </si>
  <si>
    <t>UF 1.594 a 12.450</t>
  </si>
  <si>
    <t>Nestor Catalan Propiedades Spa</t>
  </si>
  <si>
    <t>https://http2.mlstatic.com/storage/vis-accounts/529366877_vip-09522b91-1031-46d5-841c-2d5bb0e58e1e.png</t>
  </si>
  <si>
    <t>UF 1.750 a 5.950</t>
  </si>
  <si>
    <t>Atenea Propiedades</t>
  </si>
  <si>
    <t>https://resources.mlstatic.com/classifieds_accounts/MLC_real_estate_agency/621289588_vip.jpg</t>
  </si>
  <si>
    <t>UF 7.300 a 23.000</t>
  </si>
  <si>
    <t>Carsan Propiedades</t>
  </si>
  <si>
    <t>https://http2.mlstatic.com/storage/vis-accounts/682077117_vip-db5d766c-7ec3-4c7a-a351-0bb8def20dbe.jpg</t>
  </si>
  <si>
    <t>UF 2.200 a 23.500</t>
  </si>
  <si>
    <t>Susana Propiedades</t>
  </si>
  <si>
    <t>https://http2.mlstatic.com/storage/vis-accounts/326242415_vip-b1073250-71a1-4c83-9bce-ba434e8b0b97.jpg</t>
  </si>
  <si>
    <t>UF 1.920 a 18.950</t>
  </si>
  <si>
    <t>Rademacher Propiedades</t>
  </si>
  <si>
    <t>https://http2.mlstatic.com/storage/vis-accounts/66589604_vip-f1166f5e-8b1b-4ff6-8ba9-5e3a89036a17.png</t>
  </si>
  <si>
    <t>UF 3.500 a 53.000</t>
  </si>
  <si>
    <t>Casa Ok</t>
  </si>
  <si>
    <t>UF 2.260 a 17.460</t>
  </si>
  <si>
    <t>Tres Propiedades</t>
  </si>
  <si>
    <t>https://http2.mlstatic.com/storage/vis-accounts/734119492_vip-3bc1cbd2-ba41-4a28-b859-acbb51711966.png</t>
  </si>
  <si>
    <t>UF 2.676 a 26.000</t>
  </si>
  <si>
    <t>Propiedades Vip&amp;Lomas</t>
  </si>
  <si>
    <t>https://http2.mlstatic.com/storage/vis-accounts/381999718_vip-96286318-c4c7-4ff6-bdd2-2f17ca62dcbc.jpg</t>
  </si>
  <si>
    <t>UF 5.500 a 6.500</t>
  </si>
  <si>
    <t>Obenhaus</t>
  </si>
  <si>
    <t>https://http2.mlstatic.com/storage/vis-accounts/738783033_vip-d5107827-62a1-4b1d-83d7-54cd6851663f.png</t>
  </si>
  <si>
    <t>UF 1.350 a 18.500</t>
  </si>
  <si>
    <t>M2 Gestión Inmobiliaria</t>
  </si>
  <si>
    <t>https://http2.mlstatic.com/storage/vis-accounts/737239059_vip-5a99fb65-dd55-49fa-8adc-a8f10005ab9d.jpg</t>
  </si>
  <si>
    <t>UF 4.100 a 69.000</t>
  </si>
  <si>
    <t>Desain Bienes Raíces</t>
  </si>
  <si>
    <t>https://http2.mlstatic.com/storage/vis-accounts/702134356_vip-0da4f198-ca87-492e-9341-dbac17c246c6.jpg</t>
  </si>
  <si>
    <t>UF 3.200 a 8.200</t>
  </si>
  <si>
    <t>Raquel Lorca</t>
  </si>
  <si>
    <t>UF 2.750 a 5.700</t>
  </si>
  <si>
    <t>Lakshmi Propiedades</t>
  </si>
  <si>
    <t>https://http2.mlstatic.com/storage/vis-accounts/678272638_vip-e3077669-d095-4f7c-ae25-8af9cc24bb9a.jpg</t>
  </si>
  <si>
    <t>UF 1.784 a 6.500</t>
  </si>
  <si>
    <t>Gestión Inmobiliaria Chile Spa</t>
  </si>
  <si>
    <t>https://http2.mlstatic.com/storage/vis-accounts/315691592_vip-6caa75f7-fc58-4949-991b-83ffe284aaba.jpg</t>
  </si>
  <si>
    <t>UF 1.500 a 48.000</t>
  </si>
  <si>
    <t>Uribe Propiedades</t>
  </si>
  <si>
    <t>https://resources.mlstatic.com/classifieds_accounts/MLC_real_estate_agency/413253422_vip.png</t>
  </si>
  <si>
    <t>UF 1.800 a 9.811</t>
  </si>
  <si>
    <t>Arquitectura Propiedades</t>
  </si>
  <si>
    <t>https://resources.mlstatic.com/classifieds_accounts/MLC_real_estate_agency/570565065_vip.jpg</t>
  </si>
  <si>
    <t>UF 10.300 a 53.000</t>
  </si>
  <si>
    <t>M Y A Propiedades</t>
  </si>
  <si>
    <t>UF 1.198 a 10.065</t>
  </si>
  <si>
    <t>Tarud Propiedades</t>
  </si>
  <si>
    <t>UF 4.970 a 33.000</t>
  </si>
  <si>
    <t>Kaypa Propiedades</t>
  </si>
  <si>
    <t>https://http2.mlstatic.com/storage/vis-accounts/593755005_vip-1ddfb12e-2fe0-4976-a8fb-fb489cc72ef7.png</t>
  </si>
  <si>
    <t>UF 1.962 a 35.999</t>
  </si>
  <si>
    <t>Mpm Propiedades Spa</t>
  </si>
  <si>
    <t>https://http2.mlstatic.com/storage/vis-accounts/227756287_vip-3cb1fc86-27b9-4852-9be3-e4d574cdbf99.jpg</t>
  </si>
  <si>
    <t>UF 1.650 a 4.200</t>
  </si>
  <si>
    <t>Nilo Zucco Corredora Boutique</t>
  </si>
  <si>
    <t>https://resources.mlstatic.com/classifieds_accounts/MLC_real_estate_agency/316939522_vip.JPG</t>
  </si>
  <si>
    <t>UF 7.450 a 20.990</t>
  </si>
  <si>
    <t>Good Property</t>
  </si>
  <si>
    <t>https://http2.mlstatic.com/storage/vis-accounts/795954170_vip-23b503fd-2330-4a25-b16b-f4772ea9f513.png</t>
  </si>
  <si>
    <t>UF 2.050 a 6.490</t>
  </si>
  <si>
    <t>Vulcano Propiedades Spa</t>
  </si>
  <si>
    <t>https://http2.mlstatic.com/storage/vis-accounts/653464893_vip-cd19e5e7-82be-451a-bd46-5e1389132085.jpg</t>
  </si>
  <si>
    <t>UF 2.450 a 20.500</t>
  </si>
  <si>
    <t>Daniela Costamagna</t>
  </si>
  <si>
    <t>https://resources.mlstatic.com/classifieds_accounts/MLC_real_estate_agency/630812544_vip.jpg</t>
  </si>
  <si>
    <t>UF 6.549 a 6.549</t>
  </si>
  <si>
    <t>Thim Group Bienes Raices</t>
  </si>
  <si>
    <t>https://resources.mlstatic.com/classifieds_accounts/MLC_real_estate_agency/628950579_vip.jpg</t>
  </si>
  <si>
    <t>UF 3.058 a 6.999</t>
  </si>
  <si>
    <t>Santa Fe Propiedades</t>
  </si>
  <si>
    <t>https://resources.mlstatic.com/classifieds_accounts/MLC_real_estate_agency/330117676_vip.JPG</t>
  </si>
  <si>
    <t>UF 3.200 a 14.100</t>
  </si>
  <si>
    <t>Mlb Propiedades</t>
  </si>
  <si>
    <t>https://http2.mlstatic.com/storage/vis-accounts/129440997_vip-0f146f67-4ff2-4817-9c82-1cfcdbb48b26.jpg</t>
  </si>
  <si>
    <t>UF 2.450 a 5.410</t>
  </si>
  <si>
    <t>Hildegard Corredora De Propiedades</t>
  </si>
  <si>
    <t>https://http2.mlstatic.com/storage/vis-accounts/271316891_vip-7ad69c38-d648-41a4-be9d-099aba1af1e6.jpg</t>
  </si>
  <si>
    <t>UF 1.758 a 11.300</t>
  </si>
  <si>
    <t>Cristián Mora Gestión Inmobiliaria</t>
  </si>
  <si>
    <t>https://resources.mlstatic.com/classifieds_accounts/MLC_real_estate_agency/330117789_vip.jpg</t>
  </si>
  <si>
    <t>UF 1.950 a 9.500</t>
  </si>
  <si>
    <t>All House Propiedades</t>
  </si>
  <si>
    <t>https://resources.mlstatic.com/classifieds_accounts/MLC_real_estate_agency/330117950_vip.png</t>
  </si>
  <si>
    <t>UF 8.154 a 18.500</t>
  </si>
  <si>
    <t>S Y S Propiedades</t>
  </si>
  <si>
    <t>https://resources.mlstatic.com/classifieds_accounts/MLC_real_estate_agency/630827527_vip.jpg</t>
  </si>
  <si>
    <t>UF 2.180 a 7.877</t>
  </si>
  <si>
    <t>Cantin Propiedades</t>
  </si>
  <si>
    <t>https://http2.mlstatic.com/storage/vis-accounts/1770556163_vip-0610a515-7695-4449-8e41-4beb80af48b4.png</t>
  </si>
  <si>
    <t>UF 3.200 a 18.810</t>
  </si>
  <si>
    <t>Anabella Propiedades</t>
  </si>
  <si>
    <t>UF 1.567 a 18.500</t>
  </si>
  <si>
    <t>Dvpropiedades</t>
  </si>
  <si>
    <t>UF 4.561 a 16.845</t>
  </si>
  <si>
    <t>Hr Propiedades</t>
  </si>
  <si>
    <t>https://http2.mlstatic.com/storage/vis-accounts/2142462214_vip-51f1a92a-d38e-4e40-807c-3021299501ff.png</t>
  </si>
  <si>
    <t>UF 2.087 a 25.900</t>
  </si>
  <si>
    <t>Yuanpropiedades</t>
  </si>
  <si>
    <t>UF 1.274 a 1.274</t>
  </si>
  <si>
    <t>Inversurpropiedades Spa</t>
  </si>
  <si>
    <t>UF 1.516 a 21.000</t>
  </si>
  <si>
    <t>Cristian Venegas Bastidas Corredor De Propiedades</t>
  </si>
  <si>
    <t>UF 1.656 a 8.919</t>
  </si>
  <si>
    <t>Nelly Bravo Propiedades</t>
  </si>
  <si>
    <t>https://http2.mlstatic.com/storage/vis-accounts/260455460_vip-3ac7ff70-e9c8-4e72-b8c2-b69848fc0f3e.jpg</t>
  </si>
  <si>
    <t>UF 1.019 a 9.247</t>
  </si>
  <si>
    <t>Depto88</t>
  </si>
  <si>
    <t>https://http2.mlstatic.com/storage/vis-accounts/1184907098_vip-c948ca82-7338-42e4-b4d1-062a3337ba49.png</t>
  </si>
  <si>
    <t>UF 3.990 a 19.900</t>
  </si>
  <si>
    <t>Estanislao Antonio Jaque Ávila Spa</t>
  </si>
  <si>
    <t>UF 1.550 a 16.000</t>
  </si>
  <si>
    <t>Polo Propiedades</t>
  </si>
  <si>
    <t>UF 2.486 a 4.500</t>
  </si>
  <si>
    <t>Mandiola Lemaitre Propiedades</t>
  </si>
  <si>
    <t>UF 2.234 a 25.585</t>
  </si>
  <si>
    <t>Caudal Propiedades Spa</t>
  </si>
  <si>
    <t>UF 4.800 a 15.500</t>
  </si>
  <si>
    <t>Maisma Propiedades</t>
  </si>
  <si>
    <t>https://http2.mlstatic.com/storage/vis-accounts/1375229012_vip-6adf95af-9727-47e0-95c8-0463a13320bf.png</t>
  </si>
  <si>
    <t>UF 637 a 8.000</t>
  </si>
  <si>
    <t>Casas Duo</t>
  </si>
  <si>
    <t>https://http2.mlstatic.com/storage/vis-accounts/2322942268_vip-1c4ec6be-f2e1-46d0-a865-5d0cf83a23dd.png</t>
  </si>
  <si>
    <t>UF 4.390 a 16.500</t>
  </si>
  <si>
    <t>Best Homes Properties</t>
  </si>
  <si>
    <t>https://http2.mlstatic.com/storage/vis-accounts/2206028446_vip-c16bdf52-136c-4508-96bb-5be5e9846423.png</t>
  </si>
  <si>
    <t>UF 9.800 a 33.000</t>
  </si>
  <si>
    <t>Inmobiliaria Mirador Tres Volcanes Spa</t>
  </si>
  <si>
    <t>UF 5.988 a 10.800</t>
  </si>
  <si>
    <t>Reyes Propiedades.</t>
  </si>
  <si>
    <t>https://resources.mlstatic.com/classifieds_accounts/MLC_real_estate_agency/264430577_vip.jpg</t>
  </si>
  <si>
    <t>UF 1.656 a 7.900</t>
  </si>
  <si>
    <t>Maison.Corredores</t>
  </si>
  <si>
    <t>UF 1.400 a 7.645</t>
  </si>
  <si>
    <t>Sell Easy Propiedades</t>
  </si>
  <si>
    <t>UF 4.700 a 39.900</t>
  </si>
  <si>
    <t>Mané Vergara</t>
  </si>
  <si>
    <t>https://http2.mlstatic.com/storage/vis-accounts/1669463069_vip-59c33372-ac3b-4221-9559-fe7cdad00cf3.png</t>
  </si>
  <si>
    <t>UF 2.500 a 18.500</t>
  </si>
  <si>
    <t>Abadie Ibarra Propiedades</t>
  </si>
  <si>
    <t>https://http2.mlstatic.com/storage/vis-accounts/1887141880_vip-0d86dfc2-0d3b-4f22-89f3-a0bbc28ef828.png</t>
  </si>
  <si>
    <t>UF 3.100 a 4.950</t>
  </si>
  <si>
    <t>Arranz</t>
  </si>
  <si>
    <t>https://http2.mlstatic.com/storage/vis-accounts/1573010662_vip-e6863b0a-e5bc-4dd9-9fd2-52f7bb15327a.png</t>
  </si>
  <si>
    <t>UF 1.172 a 12.000</t>
  </si>
  <si>
    <t>UF 4.390 a 14.900</t>
  </si>
  <si>
    <t>Loba Propiedades Asesorias Inmobiliarias</t>
  </si>
  <si>
    <t>https://http2.mlstatic.com/storage/vis-accounts/781036741_vip-868752ea-7fa2-49f9-873c-04be69dbed35.png</t>
  </si>
  <si>
    <t>UF 13.490 a 37.980</t>
  </si>
  <si>
    <t>Mi Mapa Inmobiliario</t>
  </si>
  <si>
    <t>UF 3.902 a 3.902</t>
  </si>
  <si>
    <t>Solucionesreal</t>
  </si>
  <si>
    <t>UF 1.835 a 3.822</t>
  </si>
  <si>
    <t>Camino Sur</t>
  </si>
  <si>
    <t>https://http2.mlstatic.com/storage/vis-accounts/2341348501_vip-f89067f7-b516-4844-b12b-913fee89b188.png</t>
  </si>
  <si>
    <t>UF 4.000 a 9.400</t>
  </si>
  <si>
    <t>Mh &amp; Hauslink</t>
  </si>
  <si>
    <t>https://http2.mlstatic.com/storage/vis-accounts/2381114461_vip-8addf22d-6224-43ed-af2d-470d60ae0afa.png</t>
  </si>
  <si>
    <t>UF 2.803 a 38.400</t>
  </si>
  <si>
    <t>Crovetto Propiedades</t>
  </si>
  <si>
    <t>https://http2.mlstatic.com/storage/vis-accounts/2199212729_vip-ba34b95b-61a7-4e74-8a50-ad813a96fe85.jpg</t>
  </si>
  <si>
    <t>UF 1.610 a 19.950</t>
  </si>
  <si>
    <t>V/G Proprietà</t>
  </si>
  <si>
    <t>UF 2.950 a 28.000</t>
  </si>
  <si>
    <t>Pangue Propiedades</t>
  </si>
  <si>
    <t>https://http2.mlstatic.com/storage/vis-accounts/1961003435_vip-ab2ae505-480a-4868-b8e1-f583b1d1c094.jpg</t>
  </si>
  <si>
    <t>UF 2.293 a 30.000</t>
  </si>
  <si>
    <t>Newland Propiedades</t>
  </si>
  <si>
    <t>https://http2.mlstatic.com/storage/vis-accounts/1782658388_vip-895759a4-54e6-4a85-be4e-01faad47c372.png</t>
  </si>
  <si>
    <t>UF 1.980 a 32.900</t>
  </si>
  <si>
    <t>Todogalpon Propiedades Industriales</t>
  </si>
  <si>
    <t>https://http2.mlstatic.com/storage/vis-accounts/1781587095_vip-af61a03a-38d2-4792-bc90-1ae91707f9fd.png</t>
  </si>
  <si>
    <t>UF 3.000 a 16.000</t>
  </si>
  <si>
    <t>Ae Propiedades</t>
  </si>
  <si>
    <t>UF 2.090 a 6.500</t>
  </si>
  <si>
    <t>UF 2.100 a 2.100</t>
  </si>
  <si>
    <t>Acierto Propiedades</t>
  </si>
  <si>
    <t>https://resources.mlstatic.com/classifieds_accounts/MLC_real_estate_agency/330118598_vip_v3.jpg</t>
  </si>
  <si>
    <t>UF 1.455 a 36.000</t>
  </si>
  <si>
    <t>Vmr Propiedades.</t>
  </si>
  <si>
    <t>https://http2.mlstatic.com/storage/vis-accounts/222690837_vip-5f2a510d-cbf5-4fdf-a263-619723fdafcd.jpg</t>
  </si>
  <si>
    <t>UF 2.000 a 28.500</t>
  </si>
  <si>
    <t>Maritza.Zurich</t>
  </si>
  <si>
    <t>UF 3.050 a 3.080</t>
  </si>
  <si>
    <t>Vive Con Propiedad</t>
  </si>
  <si>
    <t>https://http2.mlstatic.com/storage/vis-accounts/155310762_vip-1d067997-787d-4ee2-b344-82318c567577.jpg</t>
  </si>
  <si>
    <t>UF 1.784 a 16.563</t>
  </si>
  <si>
    <t>Ciany Propiedades</t>
  </si>
  <si>
    <t>UF 2.115 a 8.664</t>
  </si>
  <si>
    <t>Diego Rivera Propiedades</t>
  </si>
  <si>
    <t>https://http2.mlstatic.com/storage/vis-accounts/253522727_vip-f615589b-964e-494b-b396-961a0f4c4b08.png</t>
  </si>
  <si>
    <t>UF 1.790 a 12.000</t>
  </si>
  <si>
    <t>Propiedades Santa Fé</t>
  </si>
  <si>
    <t>https://http2.mlstatic.com/storage/vis-accounts/227588285_vip-5b639679-595e-4abb-9804-de6e6c929d57.gif</t>
  </si>
  <si>
    <t>UF 1.198 a 6.116</t>
  </si>
  <si>
    <t>M Propiedades</t>
  </si>
  <si>
    <t>https://http2.mlstatic.com/storage/vis-accounts/177471174_vip-3d9593ec-ebd0-4d79-85c1-918f1a904cd3.jpg</t>
  </si>
  <si>
    <t>UF 1.230 a 15.250</t>
  </si>
  <si>
    <t>Santa Filomena Propiedades</t>
  </si>
  <si>
    <t>https://http2.mlstatic.com/storage/vis-accounts/2197991030_vip-a656b77f-135b-40b7-9893-fd17e0c7fad7.png</t>
  </si>
  <si>
    <t>UF 2.876 a 12.231</t>
  </si>
  <si>
    <t>Concreta Propiedades</t>
  </si>
  <si>
    <t>https://resources.mlstatic.com/classifieds_accounts/MLC_real_estate_agency/240507163_vip_v2.jpg</t>
  </si>
  <si>
    <t>UF 1.402 a 14.800</t>
  </si>
  <si>
    <t>Jarpa Gestión Inmobiliaria</t>
  </si>
  <si>
    <t>UF 1.300 a 7.300</t>
  </si>
  <si>
    <t>Carrascoyvargaspropiedades</t>
  </si>
  <si>
    <t>UF 6.000 a 10.500</t>
  </si>
  <si>
    <t>Casa Viva Propiedades</t>
  </si>
  <si>
    <t>https://http2.mlstatic.com/storage/vis-accounts/2306230462_vip-7412b390-94f9-4a19-b982-13fa7f490678.png</t>
  </si>
  <si>
    <t>UF 2.950 a 25.000</t>
  </si>
  <si>
    <t>Jeb Propiedades</t>
  </si>
  <si>
    <t>https://http2.mlstatic.com/storage/vis-accounts/361786215_vip-a387c83c-e36e-4581-bb79-d3edaa6c4e0b.png</t>
  </si>
  <si>
    <t>UF 2.191 a 22.000</t>
  </si>
  <si>
    <t>Rosario Bilbao Propiedades</t>
  </si>
  <si>
    <t>UF 2.370 a 5.300</t>
  </si>
  <si>
    <t>Dc Properties</t>
  </si>
  <si>
    <t>https://http2.mlstatic.com/storage/vis-accounts/1832967001_vip-e3194dad-eca3-42eb-a078-da071261134c.jpg</t>
  </si>
  <si>
    <t>UF 7.500 a 55.000</t>
  </si>
  <si>
    <t>Av Home Propiedades</t>
  </si>
  <si>
    <t>https://http2.mlstatic.com/storage/vis-accounts/117351676_vip-5e3f8448-9ca2-4df1-97d2-eb430542d697.png</t>
  </si>
  <si>
    <t>UF 5.300 a 55.000</t>
  </si>
  <si>
    <t>Corretajes Del Norte</t>
  </si>
  <si>
    <t>https://http2.mlstatic.com/storage/vis-accounts/250482494_vip-90c70c39-97b9-45c0-8022-38526fdfee7a.jpg</t>
  </si>
  <si>
    <t>UF 2.250 a 16.500</t>
  </si>
  <si>
    <t>Casa Cuja</t>
  </si>
  <si>
    <t>UF 8.450 a 26.500</t>
  </si>
  <si>
    <t>Impulsa Propiedad</t>
  </si>
  <si>
    <t>UF 3.300 a 18.900</t>
  </si>
  <si>
    <t>Valenzuelaclaudia2022090313111</t>
  </si>
  <si>
    <t>UF 1.020 a 4.077</t>
  </si>
  <si>
    <t>Proquinta Propiedades</t>
  </si>
  <si>
    <t>UF 4.750 a 10.900</t>
  </si>
  <si>
    <t>Inmobiliaria Vfp</t>
  </si>
  <si>
    <t>https://http2.mlstatic.com/storage/vis-accounts/207552572_vip-81e9c803-0c22-445b-89f7-35e19ebbc13d.png</t>
  </si>
  <si>
    <t>UF 2.500 a 19.990</t>
  </si>
  <si>
    <t>Mk7propiedades</t>
  </si>
  <si>
    <t>UF 3.000 a 10.490</t>
  </si>
  <si>
    <t>Flm Propiedades</t>
  </si>
  <si>
    <t>UF 2.217 a 10.200</t>
  </si>
  <si>
    <t>Gexfin Spa</t>
  </si>
  <si>
    <t>UF 2.000 a 2.000</t>
  </si>
  <si>
    <t>Hv Asesoría Y Gestión En Propiedades</t>
  </si>
  <si>
    <t>https://resources.mlstatic.com/classifieds_accounts/MLC_real_estate_agency/51296735_vip_v2.jpg</t>
  </si>
  <si>
    <t>UF 1.290 a 15.400</t>
  </si>
  <si>
    <t>Pb Gestora Inmobiliaria</t>
  </si>
  <si>
    <t>https://http2.mlstatic.com/storage/vis-accounts/1877604010_vip-c558da61-b8a7-4819-bc43-f8f1de5e4469.png</t>
  </si>
  <si>
    <t>UF 6.000 a 29.000</t>
  </si>
  <si>
    <t>Cromática Propiedades</t>
  </si>
  <si>
    <t>https://http2.mlstatic.com/storage/vis-accounts/1655278504_vip-7dbf742d-d682-4c62-860f-d91b7625dd77.png</t>
  </si>
  <si>
    <t>UF 1.529 a 15.500</t>
  </si>
  <si>
    <t>Jcpropiedades</t>
  </si>
  <si>
    <t>UF 3.100 a 10.500</t>
  </si>
  <si>
    <t>Rafael A. Maira L. Gestión Inmobiliaria</t>
  </si>
  <si>
    <t>https://resources.mlstatic.com/classifieds_accounts/MLC_real_estate_agency/330117187_vip_v3.jpg</t>
  </si>
  <si>
    <t>UF 2.421 a 14.900</t>
  </si>
  <si>
    <t>Naradi Propiedades</t>
  </si>
  <si>
    <t>https://http2.mlstatic.com/storage/vis-accounts/2332694659_vip-d42ea609-e21b-4838-9bba-79c108f97689.png</t>
  </si>
  <si>
    <t>UF 2.344 a 12.700</t>
  </si>
  <si>
    <t>Ruper Propiedades</t>
  </si>
  <si>
    <t>https://http2.mlstatic.com/storage/vis-accounts/2188758370_vip-9883d118-87d7-4867-ae9f-6a3953c1a091.png</t>
  </si>
  <si>
    <t>UF 2.166 a 19.900</t>
  </si>
  <si>
    <t>Procasa</t>
  </si>
  <si>
    <t>https://resources.mlstatic.com/classifieds_accounts/MLC_real_estate_agency/330114347_vip.jpg</t>
  </si>
  <si>
    <t>UF 1.733 a 8.664</t>
  </si>
  <si>
    <t>A C Partners Propiedades</t>
  </si>
  <si>
    <t>https://resources.mlstatic.com/classifieds_accounts/MLC_real_estate_agency/330121276_vip.jpg</t>
  </si>
  <si>
    <t>UF 1.508 a 43.900</t>
  </si>
  <si>
    <t>Skalia Spa</t>
  </si>
  <si>
    <t>UF 2.166 a 21.000</t>
  </si>
  <si>
    <t>Propiedades Chile</t>
  </si>
  <si>
    <t>https://resources.mlstatic.com/classifieds_accounts/MLC_real_estate_agency/329549447_vip.jpg</t>
  </si>
  <si>
    <t>UF 4.850 a 7.500</t>
  </si>
  <si>
    <t>Graf Asesores</t>
  </si>
  <si>
    <t>https://http2.mlstatic.com/storage/vis-accounts/237197448_vip-0c0e9c0d-a22b-434d-9f36-5112e0893ccc.png</t>
  </si>
  <si>
    <t>UF 4.110 a 32.000</t>
  </si>
  <si>
    <t>Laa Propiedades</t>
  </si>
  <si>
    <t>UF 2.778 a 22.000</t>
  </si>
  <si>
    <t>Gonzalo Martin 1% Brokers</t>
  </si>
  <si>
    <t>https://http2.mlstatic.com/storage/vis-accounts/148930653_vip-95f0dfe4-4d3c-4e76-ae29-a33ef740e774.png</t>
  </si>
  <si>
    <t>UF 4.500 a 39.900</t>
  </si>
  <si>
    <t>Sixto Antonio Curín Pozo</t>
  </si>
  <si>
    <t>UF 2.039 a 6.370</t>
  </si>
  <si>
    <t>Pg Propiedades</t>
  </si>
  <si>
    <t>UF 1.402 a 16.500</t>
  </si>
  <si>
    <t>Mexur Corredora De Propiedades Ltda</t>
  </si>
  <si>
    <t>https://http2.mlstatic.com/storage/vis-accounts/1305612317_vip-7b25c6d1-bbd8-4012-839b-4ef8cfde589b.png</t>
  </si>
  <si>
    <t>UF 2.606 a 58.000</t>
  </si>
  <si>
    <t>Bao Propiedades</t>
  </si>
  <si>
    <t>UF 2.320 a 4.300</t>
  </si>
  <si>
    <t>Focosurchile</t>
  </si>
  <si>
    <t>https://http2.mlstatic.com/storage/vis-accounts/55119339_vip-5511a6ab-6dd0-45de-af59-381a5e601364.png</t>
  </si>
  <si>
    <t>UF 4.100 a 34.500</t>
  </si>
  <si>
    <t>Nramis</t>
  </si>
  <si>
    <t>UF 2.300 a 20.000</t>
  </si>
  <si>
    <t>Rodrigo Toro Ginmobiliaria</t>
  </si>
  <si>
    <t>UF 1.198 a 24.463</t>
  </si>
  <si>
    <t>Rejo2089720</t>
  </si>
  <si>
    <t>UF 1.088 a 22.000</t>
  </si>
  <si>
    <t>Alterman Propiedades</t>
  </si>
  <si>
    <t>https://http2.mlstatic.com/storage/vis-accounts/1479679187_vip-bfc5dc7d-6422-41e7-8101-cd0e5df9a6bb.png</t>
  </si>
  <si>
    <t>UF 1.835 a 23.800</t>
  </si>
  <si>
    <t>Home4u Gestión Inmobiliaria</t>
  </si>
  <si>
    <t>https://http2.mlstatic.com/storage/vis-accounts/1595868264_vip-27ec1558-5770-4319-aaf0-f807b2cb9273.png</t>
  </si>
  <si>
    <t>UF 5.100 a 52.000</t>
  </si>
  <si>
    <t>Clarita</t>
  </si>
  <si>
    <t>https://http2.mlstatic.com/storage/vis-accounts/139480065_vip-8c62057f-6628-4621-a452-3815b1cbeb2f.jpg</t>
  </si>
  <si>
    <t>UF 3.058 a 6.550</t>
  </si>
  <si>
    <t>Mavic Corredores</t>
  </si>
  <si>
    <t>UF 4.550 a 13.700</t>
  </si>
  <si>
    <t>Infinity One Propiedades</t>
  </si>
  <si>
    <t>https://http2.mlstatic.com/storage/vis-accounts/1433940753_vip-a186baa8-0ffa-49af-bac9-418d591800e8.png</t>
  </si>
  <si>
    <t>UF 2.990 a 12.725</t>
  </si>
  <si>
    <t>Fuenzalida Propiedades Puerto Varas</t>
  </si>
  <si>
    <t>https://http2.mlstatic.com/storage/vis-accounts/1220283714_vip-c5be810a-b7c4-4ec9-aec8-17644cf0e26b.png</t>
  </si>
  <si>
    <t>UF 1.433 a 34.011</t>
  </si>
  <si>
    <t>Terre Propiedades</t>
  </si>
  <si>
    <t>https://http2.mlstatic.com/storage/vis-accounts/1633057877_vip-d5b7d15c-dae2-4d1e-ab96-84e1ddc00db6.png</t>
  </si>
  <si>
    <t>UF 1.990 a 23.000</t>
  </si>
  <si>
    <t>Galfano Propiedades</t>
  </si>
  <si>
    <t>UF 1.937 a 4.900</t>
  </si>
  <si>
    <t>Century21 Lakes</t>
  </si>
  <si>
    <t>https://http2.mlstatic.com/storage/vis-accounts/1330440201_vip-9e0a0d92-be3d-4c4f-8f2e-d3b45bae4635.png</t>
  </si>
  <si>
    <t>UF 1.274 a 38.960</t>
  </si>
  <si>
    <t>Habiter Oriente</t>
  </si>
  <si>
    <t>https://http2.mlstatic.com/storage/vis-accounts/177299844_vip-9b6e1b35-1dab-4bf2-a08f-bfab28093e55.png</t>
  </si>
  <si>
    <t>UF 1.150 a 80.000</t>
  </si>
  <si>
    <t>Gro Gestion Inmobiliaria</t>
  </si>
  <si>
    <t>UF 1.850 a 43.000</t>
  </si>
  <si>
    <t>Gta Group</t>
  </si>
  <si>
    <t>https://http2.mlstatic.com/storage/vis-accounts/465130024_vip-75f9e20f-78f4-4f14-bd22-8b3bd3b44a3a.png</t>
  </si>
  <si>
    <t>UF 5.190 a 64.000</t>
  </si>
  <si>
    <t>Krug Propiedades Spa</t>
  </si>
  <si>
    <t>https://http2.mlstatic.com/storage/vis-accounts/1380183323_vip-90471a64-309c-449e-9fd0-6a0053985395.png</t>
  </si>
  <si>
    <t>UF 1.850 a 36.000</t>
  </si>
  <si>
    <t>Antica Propiedades Spa</t>
  </si>
  <si>
    <t>UF 1.799 a 1.799</t>
  </si>
  <si>
    <t>Carrillojuan20230424134529</t>
  </si>
  <si>
    <t>https://http2.mlstatic.com/storage/vis-accounts/1359468549_vip-8fcd2a8b-3caa-451c-8a03-f40ceacdb457.png</t>
  </si>
  <si>
    <t>UF 1.784 a 8.919</t>
  </si>
  <si>
    <t>Zúñiga Propiedades</t>
  </si>
  <si>
    <t>UF 1.720 a 7.500</t>
  </si>
  <si>
    <t>Ctlcorredores</t>
  </si>
  <si>
    <t>UF 1.350 a 5.000</t>
  </si>
  <si>
    <t>La Porta Propiedades</t>
  </si>
  <si>
    <t>https://http2.mlstatic.com/storage/vis-accounts/1118913277_vip-4ee230ab-f2db-41e2-bc9c-befde8eecae1.jpg</t>
  </si>
  <si>
    <t>UF 1.290 a 45.800</t>
  </si>
  <si>
    <t>Innova</t>
  </si>
  <si>
    <t>UF 1.200 a 4.989</t>
  </si>
  <si>
    <t>Redditus Propiedades</t>
  </si>
  <si>
    <t>https://http2.mlstatic.com/storage/vis-accounts/257696331_vip-274ff88a-104e-4008-9bb2-e71a4f54f7f8.png</t>
  </si>
  <si>
    <t>UF 8.300 a 40.000</t>
  </si>
  <si>
    <t>Reesignacio</t>
  </si>
  <si>
    <t>UF 3.000 a 6.500</t>
  </si>
  <si>
    <t>Corretaje Alfonso Nicolás Montt León Eirl</t>
  </si>
  <si>
    <t>UF 1.600 a 5.000</t>
  </si>
  <si>
    <t>Remax Urbano</t>
  </si>
  <si>
    <t>https://http2.mlstatic.com/storage/vis-accounts/1093547714_vip-9146785b-95fd-4b46-b10c-1789d94f9fee.jpg</t>
  </si>
  <si>
    <t>UF 1.590 a 27.990</t>
  </si>
  <si>
    <t>Bauerle Fuhrer Propiedades</t>
  </si>
  <si>
    <t>https://http2.mlstatic.com/storage/vis-accounts/1083894605_vip-56d62047-709d-417f-8773-9e3fb3ee4208.png</t>
  </si>
  <si>
    <t>UF 2.190 a 5.096</t>
  </si>
  <si>
    <t>Santiago Kriman</t>
  </si>
  <si>
    <t>UF 2.039 a 5.835</t>
  </si>
  <si>
    <t>Pgt Propiedades</t>
  </si>
  <si>
    <t>https://http2.mlstatic.com/storage/vis-accounts/1231006024_vip-c8661542-dc2a-4f1a-9b85-cea926ab536c.jpg</t>
  </si>
  <si>
    <t>UF 1.605 a 8.500</t>
  </si>
  <si>
    <t>Catalinajuanasegura</t>
  </si>
  <si>
    <t>https://http2.mlstatic.com/storage/vis-accounts/1315718275_vip-5532b0f3-e0d5-485a-b99e-6dd31dea29e0.png</t>
  </si>
  <si>
    <t>UF 7.400 a 7.400</t>
  </si>
  <si>
    <t>Patricio Bañados Propiedades</t>
  </si>
  <si>
    <t>https://http2.mlstatic.com/storage/vis-accounts/805226085_vip-ae318c8f-b91f-4124-a741-c52ec404e782.png</t>
  </si>
  <si>
    <t>UF 4.700 a 8.500</t>
  </si>
  <si>
    <t>Property Match Spa</t>
  </si>
  <si>
    <t>UF 2.000 a 54.000</t>
  </si>
  <si>
    <t>Realty Pro Spa</t>
  </si>
  <si>
    <t>https://http2.mlstatic.com/storage/vis-accounts/493429811_vip-f787486e-a3ee-4338-b47f-e976797ea994.png</t>
  </si>
  <si>
    <t>UF 2.400 a 8.950</t>
  </si>
  <si>
    <t>House Key</t>
  </si>
  <si>
    <t>https://http2.mlstatic.com/storage/vis-accounts/1497798845_vip-ceeabefc-64ff-48e9-bd3b-a0a98fd70d5b.png</t>
  </si>
  <si>
    <t>UF 1.562 a 39.900</t>
  </si>
  <si>
    <t>Saninmobiliaria20231012130701</t>
  </si>
  <si>
    <t>https://http2.mlstatic.com/storage/vis-accounts/1508544087_vip-55918cc2-452c-40a7-bf09-67b2d33cc72b.jpg</t>
  </si>
  <si>
    <t>UF 6.180 a 11.900</t>
  </si>
  <si>
    <t>Project Property</t>
  </si>
  <si>
    <t>https://http2.mlstatic.com/storage/vis-accounts/1306709746_vip-81afb93b-c91a-4621-903f-4a2ccbb4e2f5.png</t>
  </si>
  <si>
    <t>UF 1.380 a 46.990</t>
  </si>
  <si>
    <t>Moderna Properties Spa</t>
  </si>
  <si>
    <t>UF 1.402 a 28.000</t>
  </si>
  <si>
    <t>Property Person</t>
  </si>
  <si>
    <t>https://http2.mlstatic.com/storage/vis-accounts/1951736117_vip-6277c408-1e71-4831-a6f1-b7627d484e1b.jpg</t>
  </si>
  <si>
    <t>UF 1.590 a 13.500</t>
  </si>
  <si>
    <t>Kirihomechile</t>
  </si>
  <si>
    <t>UF 1.402 a 9.938</t>
  </si>
  <si>
    <t>Salomon Propiedades</t>
  </si>
  <si>
    <t>UF 1.402 a 10.200</t>
  </si>
  <si>
    <t>Prohausen</t>
  </si>
  <si>
    <t>UF 1.350 a 16.900</t>
  </si>
  <si>
    <t>Novaporta Propiedades</t>
  </si>
  <si>
    <t>https://http2.mlstatic.com/storage/vis-accounts/765215782_vip-89342010-f495-4ad8-9192-23239bd90883.png</t>
  </si>
  <si>
    <t>UF 2.200 a 7.645</t>
  </si>
  <si>
    <t>Gestioncanalespoo</t>
  </si>
  <si>
    <t>UF 3.223 a 14.844</t>
  </si>
  <si>
    <t>Sec Propiedades Mauricio Castro E.I.R.L.</t>
  </si>
  <si>
    <t>UF 1.274 a 32.200</t>
  </si>
  <si>
    <t>True Partners Propiedades Spa</t>
  </si>
  <si>
    <t>UF 1.490 a 10.500</t>
  </si>
  <si>
    <t>In Your Property Real Estate</t>
  </si>
  <si>
    <t>https://http2.mlstatic.com/storage/vis-accounts/1463700143_vip-46e5496e-754d-44af-a93e-b312c5c6d128.png</t>
  </si>
  <si>
    <t>UF 3.200 a 20.000</t>
  </si>
  <si>
    <t>Ava7 Propiedades</t>
  </si>
  <si>
    <t>https://http2.mlstatic.com/storage/vis-accounts/1592085349_vip-0ecfaf26-ab83-46b3-b81b-dec98542c9e7.png</t>
  </si>
  <si>
    <t>UF 1.733 a 10.750</t>
  </si>
  <si>
    <t>Propertiva_Corredor</t>
  </si>
  <si>
    <t>UF 4.000 a 14.000</t>
  </si>
  <si>
    <t>Propiedadesgamp20230511134159</t>
  </si>
  <si>
    <t>UF 3.950 a 14.498</t>
  </si>
  <si>
    <t>Llanos Y Goñi Propiedades</t>
  </si>
  <si>
    <t>https://http2.mlstatic.com/storage/vis-accounts/1394995255_vip-ebd3b0cc-e369-42ad-ab72-41bd4da3aa83.jpg</t>
  </si>
  <si>
    <t>UF 3.080 a 14.000</t>
  </si>
  <si>
    <t>Costamaspropiedades20230604162</t>
  </si>
  <si>
    <t>UF 8.000 a 36.500</t>
  </si>
  <si>
    <t>Imil Propiedades Spa</t>
  </si>
  <si>
    <t>https://http2.mlstatic.com/storage/vis-accounts/1470972704_vip-7c8a4c5e-6adf-42e6-a14d-5d0c8af3c075.png</t>
  </si>
  <si>
    <t>UF 1.452 a 16.800</t>
  </si>
  <si>
    <t>Perfect Home Propiedades Spa</t>
  </si>
  <si>
    <t>https://http2.mlstatic.com/storage/vis-accounts/35313275_vip-9b38430f-dca6-40c8-9062-e6e2b8209b68.png</t>
  </si>
  <si>
    <t>UF 8.500 a 45.700</t>
  </si>
  <si>
    <t>Rente Propiedades</t>
  </si>
  <si>
    <t>UF 1.790 a 6.500</t>
  </si>
  <si>
    <t>Piacruzrios</t>
  </si>
  <si>
    <t>UF 382 a 14.500</t>
  </si>
  <si>
    <t>Casamore</t>
  </si>
  <si>
    <t>UF 3.900 a 45.000</t>
  </si>
  <si>
    <t>Mariana Manzur Propiedades</t>
  </si>
  <si>
    <t>https://http2.mlstatic.com/storage/vis-accounts/1293437564_vip-00095dc0-be58-40de-aadc-a4497ec0b200.jpg</t>
  </si>
  <si>
    <t>UF 2.166 a 29.000</t>
  </si>
  <si>
    <t>Re/Max Unique</t>
  </si>
  <si>
    <t>UF 1.468 a 23.000</t>
  </si>
  <si>
    <t>Pentagon</t>
  </si>
  <si>
    <t>https://http2.mlstatic.com/storage/vis-accounts/193063298_vip-e91778d1-4a0b-4f11-b617-e61eda6203cf.png</t>
  </si>
  <si>
    <t>UF 4.290 a 47.500</t>
  </si>
  <si>
    <t>The Gallery Properties</t>
  </si>
  <si>
    <t>UF 5.400 a 129.000</t>
  </si>
  <si>
    <t>Puchulu Propiedades</t>
  </si>
  <si>
    <t>https://http2.mlstatic.com/storage/vis-accounts/1573136358_vip-3de91986-11cb-4638-8a82-5396b8106735.png</t>
  </si>
  <si>
    <t>UF 2.293 a 18.000</t>
  </si>
  <si>
    <t>Houz Propiedades</t>
  </si>
  <si>
    <t>UF 3.200 a 28.500</t>
  </si>
  <si>
    <t>Toro &amp; Maguve Propiedades Spa</t>
  </si>
  <si>
    <t>https://http2.mlstatic.com/storage/vis-accounts/1502020647_vip-f624c4b1-8bb8-401c-a58a-23f82df46229.png</t>
  </si>
  <si>
    <t>UF 2.446 a 13.047</t>
  </si>
  <si>
    <t>Lopezoscar20230516113715</t>
  </si>
  <si>
    <t>https://http2.mlstatic.com/storage/vis-accounts/1376134516_vip-88f9ffa0-025f-4d79-801f-4588695d8ff6.png</t>
  </si>
  <si>
    <t>UF 2.678 a 4.081</t>
  </si>
  <si>
    <t>Home Tree</t>
  </si>
  <si>
    <t>https://http2.mlstatic.com/storage/vis-accounts/330116025_vip-7f6f3bd4-a335-49aa-8058-ea008728e579.jpg</t>
  </si>
  <si>
    <t>UF 1.700 a 23.000</t>
  </si>
  <si>
    <t>Fusión Propiedades Eirl</t>
  </si>
  <si>
    <t>https://resources.mlstatic.com/classifieds_accounts/MLC_real_estate_agency/185299724_vip.jpg</t>
  </si>
  <si>
    <t>UF 917 a 17.000</t>
  </si>
  <si>
    <t>Matteucci Propiedades</t>
  </si>
  <si>
    <t>https://resources.mlstatic.com/classifieds_accounts/MLC_real_estate_agency/330119906_vip_v3.jpg</t>
  </si>
  <si>
    <t>UF 1.764 a 21.300</t>
  </si>
  <si>
    <t>Grupo Best</t>
  </si>
  <si>
    <t>https://http2.mlstatic.com/storage/vis-accounts/271807889_vip-8fcc24db-b50c-46ae-a1d4-12ebf470d390.jpg</t>
  </si>
  <si>
    <t>UF 2.854 a 13.750</t>
  </si>
  <si>
    <t>Dibasa Desarrollo Inmobiliario</t>
  </si>
  <si>
    <t>https://http2.mlstatic.com/storage/vis-accounts/441476432_vip-cc72aa60-fd55-4159-b4ac-7466f9e1b7a7.png</t>
  </si>
  <si>
    <t>UF 8.990 a 14.900</t>
  </si>
  <si>
    <t>Juan Soto González</t>
  </si>
  <si>
    <t>UF 10.700 a 24.900</t>
  </si>
  <si>
    <t>Patricia Espinoza Propiedades</t>
  </si>
  <si>
    <t>https://http2.mlstatic.com/storage/vis-accounts/312799715_vip-aaaa720e-a3cc-4e06-a45b-72e605cba76e.png</t>
  </si>
  <si>
    <t>UF 1.554 a 9.074</t>
  </si>
  <si>
    <t>Sofidel Propiedades</t>
  </si>
  <si>
    <t>https://resources.mlstatic.com/classifieds_accounts/MLC_real_estate_agency/330116038_vip.gif</t>
  </si>
  <si>
    <t>UF 2.981 a 19.990</t>
  </si>
  <si>
    <t>Cima Propiedades</t>
  </si>
  <si>
    <t>UF 1.530 a 20.000</t>
  </si>
  <si>
    <t>Chucao Propiedades</t>
  </si>
  <si>
    <t>https://http2.mlstatic.com/storage/vis-accounts/185858022_vip-2fe355e8-c75f-4d19-8928-28381cfcb315.png</t>
  </si>
  <si>
    <t>UF 8.300 a 9.000</t>
  </si>
  <si>
    <t>Agencia Inmobiliaria Oliva Palma</t>
  </si>
  <si>
    <t>https://http2.mlstatic.com/storage/vis-accounts/135030667_vip-4997097a-723c-4cb2-9781-7e3ceb69bc4a.png</t>
  </si>
  <si>
    <t>UF 1.920 a 4.300</t>
  </si>
  <si>
    <t>Jarpa Propiedades</t>
  </si>
  <si>
    <t>https://http2.mlstatic.com/storage/vis-accounts/489077830_vip-a3ae0b9a-19b3-4cba-a532-6bced41d13dd.png</t>
  </si>
  <si>
    <t>UF 2.090 a 158.000</t>
  </si>
  <si>
    <t>Expopropiedades</t>
  </si>
  <si>
    <t>UF 1.784 a 7.645</t>
  </si>
  <si>
    <t>Pro Duncan Propiedades</t>
  </si>
  <si>
    <t>https://resources.mlstatic.com/classifieds_accounts/MLC_real_estate_agency/496124950_vip.jpg</t>
  </si>
  <si>
    <t>UF 6.300 a 113.000</t>
  </si>
  <si>
    <t>Gisela Riffo Rozas</t>
  </si>
  <si>
    <t>https://resources.mlstatic.com/classifieds_accounts/MLC_real_estate_agency/234820870_vip.jpg</t>
  </si>
  <si>
    <t>UF 1.346 a 24.000</t>
  </si>
  <si>
    <t>Vermar Propiedades</t>
  </si>
  <si>
    <t>https://http2.mlstatic.com/storage/vis-accounts/333184338_vip-311d371f-07ca-4185-9e99-a7aa177207f6.png</t>
  </si>
  <si>
    <t>UF 3.500 a 9.800</t>
  </si>
  <si>
    <t>Proyección Propiedades</t>
  </si>
  <si>
    <t>https://resources.mlstatic.com/classifieds_accounts/MLC_real_estate_agency/59059959_vip.jpg</t>
  </si>
  <si>
    <t>UF 1.478 a 13.900</t>
  </si>
  <si>
    <t>Igemar Propiedades</t>
  </si>
  <si>
    <t>https://resources.mlstatic.com/classifieds_accounts/MLC_real_estate_agency/330115892_vip.gif</t>
  </si>
  <si>
    <t>UF 3.300 a 47.900</t>
  </si>
  <si>
    <t>Asenjo Propiedades</t>
  </si>
  <si>
    <t>https://resources.mlstatic.com/classifieds_accounts/MLC_real_estate_agency/330123315_vip.jpg</t>
  </si>
  <si>
    <t>UF 5.340 a 13.000</t>
  </si>
  <si>
    <t>Ilic Propiedades Ltda.</t>
  </si>
  <si>
    <t>https://http2.mlstatic.com/storage/vis-accounts/306723068_vip-8ea6592b-6412-44fb-8103-4e548fbb4d6c.jpg</t>
  </si>
  <si>
    <t>UF 5.200 a 32.500</t>
  </si>
  <si>
    <t>Fernández Rees Gestión Inmobiliaria</t>
  </si>
  <si>
    <t>https://resources.mlstatic.com/classifieds_accounts/MLC_real_estate_agency/330114945_vip.jpg</t>
  </si>
  <si>
    <t>UF 3.061 a 25.990</t>
  </si>
  <si>
    <t>Larech Propiedades</t>
  </si>
  <si>
    <t>https://resources.mlstatic.com/classifieds_accounts/MLC_real_estate_agency/260321435_vip.jpg</t>
  </si>
  <si>
    <t>UF 5.300 a 11.550</t>
  </si>
  <si>
    <t>Welko Propiedades</t>
  </si>
  <si>
    <t>https://resources.mlstatic.com/classifieds_accounts/MLC_real_estate_agency/311300625_vip.jpg</t>
  </si>
  <si>
    <t>UF 1.784 a 9.683</t>
  </si>
  <si>
    <t>Gamio Propiedades</t>
  </si>
  <si>
    <t>https://resources.mlstatic.com/classifieds_accounts/MLC_real_estate_agency/330117363_vip_v3.gif</t>
  </si>
  <si>
    <t>UF 2.217 a 14.500</t>
  </si>
  <si>
    <t>Vergara Y Breinbauer</t>
  </si>
  <si>
    <t>https://http2.mlstatic.com/storage/vis-accounts/330117327_vip-54fe74b7-9714-473a-b7a3-7ba7dd66e95c.png</t>
  </si>
  <si>
    <t>UF 1.197 a 28.500</t>
  </si>
  <si>
    <t>Maria Isabel Correa Propiedades</t>
  </si>
  <si>
    <t>https://resources.mlstatic.com/classifieds_accounts/MLC_real_estate_agency/330114394_vip_v3.jpg</t>
  </si>
  <si>
    <t>UF 1.250 a 27.990</t>
  </si>
  <si>
    <t>Alto Andes Propiedades</t>
  </si>
  <si>
    <t>https://resources.mlstatic.com/classifieds_accounts/MLC_real_estate_agency/330114963_vip.png</t>
  </si>
  <si>
    <t>UF 1.096 a 75.000</t>
  </si>
  <si>
    <t>Chilecorredores.Cl</t>
  </si>
  <si>
    <t>https://resources.mlstatic.com/classifieds_accounts/MLC_real_estate_agency/330116754_vip.jpg</t>
  </si>
  <si>
    <t>UF 1.007 a 23.079</t>
  </si>
  <si>
    <t>Oyarzún Propiedades</t>
  </si>
  <si>
    <t>https://resources.mlstatic.com/classifieds_accounts/MLC_real_estate_agency/330116068_vip_v2.jpg</t>
  </si>
  <si>
    <t>UF 1.274 a 46.900</t>
  </si>
  <si>
    <t>Mc Phail &amp; Co Propiedades</t>
  </si>
  <si>
    <t>https://resources.mlstatic.com/classifieds_accounts/MLC_real_estate_agency/330123886_vip_v4.jpg</t>
  </si>
  <si>
    <t>UF 4.100 a 30.400</t>
  </si>
  <si>
    <t>Behouse Propiedades</t>
  </si>
  <si>
    <t>https://http2.mlstatic.com/storage/vis-accounts/225749127_vip-9e5f6222-2b3e-4369-8c8f-a3b6f4c1ce90.jpg</t>
  </si>
  <si>
    <t>UF 1.988 a 7.850</t>
  </si>
  <si>
    <t>Truehome</t>
  </si>
  <si>
    <t>https://http2.mlstatic.com/storage/vis-accounts/199616208_vip-98891cea-1a42-4dd6-aa1d-fa075f42932a.jpg</t>
  </si>
  <si>
    <t>UF 1.200 a 35.900</t>
  </si>
  <si>
    <t>Elbarriopropiedadessa</t>
  </si>
  <si>
    <t>https://resources.mlstatic.com/classifieds_accounts/MLC_real_estate_agency/330114547_vip_v3.gif</t>
  </si>
  <si>
    <t>UF 4.600 a 95.000</t>
  </si>
  <si>
    <t>Mikasa Propiedades</t>
  </si>
  <si>
    <t>https://http2.mlstatic.com/storage/vis-accounts/215858334_vip-dbdf5e0d-0ef3-4fc6-80ee-d2288f01eab5.jpg</t>
  </si>
  <si>
    <t>UF 637 a 8.103</t>
  </si>
  <si>
    <t>Ckr Propiedades</t>
  </si>
  <si>
    <t>https://resources.mlstatic.com/classifieds_accounts/MLC_real_estate_agency/330122636_vip_v2.JPG</t>
  </si>
  <si>
    <t>UF 1.073 a 13.900</t>
  </si>
  <si>
    <t>Mel Propiedades</t>
  </si>
  <si>
    <t>https://http2.mlstatic.com/storage/vis-accounts/330115882_vip-9b5bee5e-2498-4dcd-bbfd-8d0afd93f3f6.png</t>
  </si>
  <si>
    <t>UF 1.800 a 50.000</t>
  </si>
  <si>
    <t>Halo Propiedades</t>
  </si>
  <si>
    <t>https://http2.mlstatic.com/storage/vis-accounts/390056903_vip-c5dc2dca-a06b-4fa2-9759-2fb75363c4ef.png</t>
  </si>
  <si>
    <t>UF 2.500 a 14.300</t>
  </si>
  <si>
    <t>Latitud Propiedades</t>
  </si>
  <si>
    <t>https://http2.mlstatic.com/storage/vis-accounts/277914392_vip-e1701e4a-4905-4ddd-8970-4ac5d029b638.png</t>
  </si>
  <si>
    <t>UF 2.140 a 32.000</t>
  </si>
  <si>
    <t>Vivimos.Cl</t>
  </si>
  <si>
    <t>https://http2.mlstatic.com/storage/vis-accounts/400097952_vip-f51ae82a-03ba-4ccd-81be-d43d3a159785.png</t>
  </si>
  <si>
    <t>UF 1.590 a 12.500</t>
  </si>
  <si>
    <t>Radix Gestión Inmobiliaria</t>
  </si>
  <si>
    <t>https://resources.mlstatic.com/classifieds_accounts/MLC_real_estate_agency/370285854_vip_v4.jpg</t>
  </si>
  <si>
    <t>UF 1.360 a 20.000</t>
  </si>
  <si>
    <t>Brickers Propiedades</t>
  </si>
  <si>
    <t>https://http2.mlstatic.com/storage/vis-accounts/278537676_vip-5533a593-f773-462f-ae14-34737de204a1.png</t>
  </si>
  <si>
    <t>UF 1.800 a 12.990</t>
  </si>
  <si>
    <t>Via Caló Propiedades</t>
  </si>
  <si>
    <t>https://http2.mlstatic.com/storage/vis-accounts/144547203_vip-793fb1a3-a92b-4b1d-8f45-36fd507e3d65.jpg</t>
  </si>
  <si>
    <t>UF 3.790 a 70.000</t>
  </si>
  <si>
    <t>Homeplace</t>
  </si>
  <si>
    <t>https://resources.mlstatic.com/classifieds_accounts/MLC_real_estate_agency/330121704_vip.jpg</t>
  </si>
  <si>
    <t>UF 1.100 a 7.650</t>
  </si>
  <si>
    <t>Prowise Investments And Properties</t>
  </si>
  <si>
    <t>https://http2.mlstatic.com/storage/vis-accounts/284963244_vip-3c6e7736-e8e7-430e-abfa-c72ca9edbcc3.jpg</t>
  </si>
  <si>
    <t>UF 1.911 a 23.000</t>
  </si>
  <si>
    <t>Tatiana Uliantzeff Propiedades</t>
  </si>
  <si>
    <t>https://http2.mlstatic.com/storage/vis-accounts/265626977_vip-3fb3d2d9-3673-4752-ba9b-83c0660959bc.jpg</t>
  </si>
  <si>
    <t>UF 5.200 a 18.000</t>
  </si>
  <si>
    <t>Hoja Propiedades</t>
  </si>
  <si>
    <t>https://resources.mlstatic.com/classifieds_accounts/MLC_real_estate_agency/330120979_vip_v4.jpg</t>
  </si>
  <si>
    <t>UF 1.300 a 17.000</t>
  </si>
  <si>
    <t>Renta Casa Propiedades</t>
  </si>
  <si>
    <t>https://resources.mlstatic.com/classifieds_accounts/MLC_real_estate_agency/166285932_vip.jpg</t>
  </si>
  <si>
    <t>UF 2.930 a 10.800</t>
  </si>
  <si>
    <t>V&amp;P Gestión Propiedades</t>
  </si>
  <si>
    <t>https://http2.mlstatic.com/storage/vis-accounts/326253100_vip-624b8e23-6425-49ea-8414-bdab0664d024.png</t>
  </si>
  <si>
    <t>UF 5.600 a 5.600</t>
  </si>
  <si>
    <t>Interhome Properties</t>
  </si>
  <si>
    <t>https://http2.mlstatic.com/storage/vis-accounts/289076941_vip-fae1f240-33ef-4ba8-bb62-5c6f302401d8.jpg</t>
  </si>
  <si>
    <t>UF 2.190 a 30.000</t>
  </si>
  <si>
    <t>Reviresco Propiedades</t>
  </si>
  <si>
    <t>UF 1.325 a 17.000</t>
  </si>
  <si>
    <t>Halemar Gestiones Inmobiliarias</t>
  </si>
  <si>
    <t>https://resources.mlstatic.com/classifieds_accounts/MLC_real_estate_agency/479895485_vip.jpg</t>
  </si>
  <si>
    <t>UF 2.397 a 11.500</t>
  </si>
  <si>
    <t>A&amp;T Gestión Inmobiliaria</t>
  </si>
  <si>
    <t>https://http2.mlstatic.com/storage/vis-accounts/434387043_vip-cd9b6070-285a-41ee-92aa-e3f838b90df8.jpg</t>
  </si>
  <si>
    <t>UF 3.100 a 23.500</t>
  </si>
  <si>
    <t>Colette Brito D.</t>
  </si>
  <si>
    <t>https://resources.mlstatic.com/classifieds_accounts/MLC_real_estate_agency/259976930_vip_v2.png</t>
  </si>
  <si>
    <t>UF 1.880 a 10.900</t>
  </si>
  <si>
    <t>Max Coloma Propiedades</t>
  </si>
  <si>
    <t>https://http2.mlstatic.com/storage/vis-accounts/374045514_vip-ec47cb3a-5963-4293-882e-1becb37a8f2b.png</t>
  </si>
  <si>
    <t>UF 2.950 a 36.000</t>
  </si>
  <si>
    <t>Domenica Propiedades</t>
  </si>
  <si>
    <t>https://http2.mlstatic.com/storage/vis-accounts/367842210_vip-53545b7c-75ff-41fb-b3a9-9bded08ac973.jpg</t>
  </si>
  <si>
    <t>UF 2.850 a 49.900</t>
  </si>
  <si>
    <t>Grupo Visión Gestión Inmobiliaria</t>
  </si>
  <si>
    <t>https://http2.mlstatic.com/storage/vis-accounts/434471163_vip-2e5e9e1e-d1e4-4f96-a38a-1cae38d0e698.jpg</t>
  </si>
  <si>
    <t>UF 2.039 a 15.250</t>
  </si>
  <si>
    <t>Inmobiliaria Bustamante Y Vasquez</t>
  </si>
  <si>
    <t>https://resources.mlstatic.com/classifieds_accounts/MLC_real_estate_agency/421031639_vip_v3.gif</t>
  </si>
  <si>
    <t>UF 1.300 a 21.660</t>
  </si>
  <si>
    <t>Relocate Real Estate</t>
  </si>
  <si>
    <t>https://http2.mlstatic.com/storage/vis-accounts/352536325_vip-f5f77560-7e40-4d34-927a-bdf8a8108ca2.png</t>
  </si>
  <si>
    <t>UF 2.055 a 7.950</t>
  </si>
  <si>
    <t>https://http2.mlstatic.com/storage/vis-accounts/2362340595_vip-bd6309a6-2e75-42d6-af5e-49cd85006411.jpg</t>
  </si>
  <si>
    <t>UF 3.500 a 25.000</t>
  </si>
  <si>
    <t>Lpm Gestión S.P.A</t>
  </si>
  <si>
    <t>https://http2.mlstatic.com/storage/vis-accounts/56002660_vip-07cda313-5aae-464a-b5fe-4935af91fa22.gif</t>
  </si>
  <si>
    <t>UF 1.529 a 22.000</t>
  </si>
  <si>
    <t>Buscamos Para Ti</t>
  </si>
  <si>
    <t>https://resources.mlstatic.com/classifieds_accounts/MLC_real_estate_agency/202017939_vip.png</t>
  </si>
  <si>
    <t>UF 990 a 29.500</t>
  </si>
  <si>
    <t>Physis Propiedades</t>
  </si>
  <si>
    <t>https://http2.mlstatic.com/storage/vis-accounts/507470637_vip-4885c010-c1e1-4e2e-849f-929c0829ca27.png</t>
  </si>
  <si>
    <t>UF 5.861 a 13.500</t>
  </si>
  <si>
    <t>Atwood Real Estate</t>
  </si>
  <si>
    <t>https://http2.mlstatic.com/storage/vis-accounts/313493977_vip-2abc9d25-7949-45b0-b54e-be40771b8c81.jpg</t>
  </si>
  <si>
    <t>UF 3.100 a 10.950</t>
  </si>
  <si>
    <t>Colibrí Propiedades</t>
  </si>
  <si>
    <t>https://resources.mlstatic.com/classifieds_accounts/MLC_real_estate_agency/94214261_vip_v3.png</t>
  </si>
  <si>
    <t>UF 1.750 a 13.500</t>
  </si>
  <si>
    <t>Propiedades González</t>
  </si>
  <si>
    <t>https://http2.mlstatic.com/storage/vis-accounts/416877170_vip-2686ad26-8685-4e1f-b1ec-e94fd8c2f187.gif</t>
  </si>
  <si>
    <t>UF 1.500 a 31.790</t>
  </si>
  <si>
    <t>Ascui Propiedades.</t>
  </si>
  <si>
    <t>https://http2.mlstatic.com/storage/vis-accounts/251889930_vip-8ac4a3a0-8cee-4bc7-a5e1-945cf4ea632d.jpg</t>
  </si>
  <si>
    <t>UF 5.000 a 45.000</t>
  </si>
  <si>
    <t>Proyecto Inmueble</t>
  </si>
  <si>
    <t>https://resources.mlstatic.com/classifieds_accounts/MLC_real_estate_agency/216395365_vip_v2.png</t>
  </si>
  <si>
    <t>UF 1.800 a 49.800</t>
  </si>
  <si>
    <t>Propiedades Mella Correa</t>
  </si>
  <si>
    <t>https://resources.mlstatic.com/classifieds_accounts/MLC_real_estate_agency/38488011_vip_v2.jpg</t>
  </si>
  <si>
    <t>UF 1.300 a 10.000</t>
  </si>
  <si>
    <t>Casaschic Corredora De Propiedades</t>
  </si>
  <si>
    <t>https://http2.mlstatic.com/storage/vis-accounts/200594476_vip-880b4de1-3cbf-4d8f-9295-151f600e19ad.png</t>
  </si>
  <si>
    <t>UF 4.990 a 13.995</t>
  </si>
  <si>
    <t>Diamond Properties</t>
  </si>
  <si>
    <t>https://resources.mlstatic.com/classifieds_accounts/MLC_real_estate_agency/330432360_vip_v2.jpg</t>
  </si>
  <si>
    <t>UF 3.200 a 23.990</t>
  </si>
  <si>
    <t>Lsn Propiedades</t>
  </si>
  <si>
    <t>https://resources.mlstatic.com/classifieds_accounts/MLC_real_estate_agency/435807292_vip_v2.jpg</t>
  </si>
  <si>
    <t>UF 2.200 a 19.800</t>
  </si>
  <si>
    <t>Propiedades Dawson</t>
  </si>
  <si>
    <t>https://http2.mlstatic.com/storage/vis-accounts/272352709_vip-b4babd30-9e97-4cab-8dae-20a945149cca.jpg</t>
  </si>
  <si>
    <t>UF 2.242 a 5.600</t>
  </si>
  <si>
    <t>Droguett Propiedades</t>
  </si>
  <si>
    <t>https://resources.mlstatic.com/classifieds_accounts/MLC_real_estate_agency/55272061_vip.jpg</t>
  </si>
  <si>
    <t>UF 1.057 a 37.000</t>
  </si>
  <si>
    <t>Domum Propiedades</t>
  </si>
  <si>
    <t>https://resources.mlstatic.com/classifieds_accounts/MLC_real_estate_agency/238140694_vip.jpg</t>
  </si>
  <si>
    <t>UF 1.800 a 15.300</t>
  </si>
  <si>
    <t>Ef Propiedades</t>
  </si>
  <si>
    <t>UF 2.319 a 5.500</t>
  </si>
  <si>
    <t>Corretaje Sanz</t>
  </si>
  <si>
    <t>UF 2.523 a 11.500</t>
  </si>
  <si>
    <t>UF 15.000 a 21.000</t>
  </si>
  <si>
    <t>Jb Eyzaguirre Propiedades</t>
  </si>
  <si>
    <t>https://http2.mlstatic.com/storage/vis-accounts/2088249121_vip-22698c33-117a-4a30-9afa-34b1f47dfca7.png</t>
  </si>
  <si>
    <t>UF 3.300 a 24.000</t>
  </si>
  <si>
    <t>UF 3.200 a 4.800</t>
  </si>
  <si>
    <t>Mub Gestion Inmobiliaria</t>
  </si>
  <si>
    <t>UF 27.690 a 31.880</t>
  </si>
  <si>
    <t>Bello Propiedades Gestión Inmobiliaria</t>
  </si>
  <si>
    <t>https://resources.mlstatic.com/classifieds_accounts/MLC_real_estate_agency/330121193_vip.jpg</t>
  </si>
  <si>
    <t>UF 2.000 a 11.100</t>
  </si>
  <si>
    <t>Propiedades Venta O Arriendo</t>
  </si>
  <si>
    <t>UF 2.446 a 14.779</t>
  </si>
  <si>
    <t>Fmfm20240301105616</t>
  </si>
  <si>
    <t>UF 6.650 a 18.300</t>
  </si>
  <si>
    <t>Saldiaselizabeth20230924112616</t>
  </si>
  <si>
    <t>UF 1.529 a 10.193</t>
  </si>
  <si>
    <t>Squella Gestión Inmobiliaria</t>
  </si>
  <si>
    <t>UF 7.800 a 9.700</t>
  </si>
  <si>
    <t>Vasmart</t>
  </si>
  <si>
    <t>UF 1.274 a 15.000</t>
  </si>
  <si>
    <t>Haus Advisors</t>
  </si>
  <si>
    <t>https://http2.mlstatic.com/storage/vis-accounts/1925809373_vip-5616bcf9-4e1d-4c71-88d9-4317332c7c3f.png</t>
  </si>
  <si>
    <t>UF 1.749 a 38.000</t>
  </si>
  <si>
    <t>Corredores Procanje</t>
  </si>
  <si>
    <t>https://http2.mlstatic.com/storage/vis-accounts/1112266749_vip-ecc5882e-0d50-40cd-9e55-b9f14a5648e5.png</t>
  </si>
  <si>
    <t>UF 1.890 a 12.500</t>
  </si>
  <si>
    <t>Home Property</t>
  </si>
  <si>
    <t>https://http2.mlstatic.com/storage/vis-accounts/1680211373_vip-52071477-3b6c-4e38-9452-b3f4076cfb60.png</t>
  </si>
  <si>
    <t>UF 1.529 a 4.200</t>
  </si>
  <si>
    <t>Ambn Propiedades Y Asesorías Inmobiliarias</t>
  </si>
  <si>
    <t>https://http2.mlstatic.com/storage/vis-accounts/267316417_vip-c14e5b4b-c3c7-4b1c-a39f-dc1ca638a7c3.png</t>
  </si>
  <si>
    <t>UF 2.100 a 14.000</t>
  </si>
  <si>
    <t>Bmrk</t>
  </si>
  <si>
    <t>UF 1.784 a 21.900</t>
  </si>
  <si>
    <t>Renato Ahumada</t>
  </si>
  <si>
    <t>UF 1.656 a 11.000</t>
  </si>
  <si>
    <t>Mònica Rodríguez</t>
  </si>
  <si>
    <t>UF 2.730 a 18.500</t>
  </si>
  <si>
    <t>Dlpropiedades Ltda</t>
  </si>
  <si>
    <t>UF 3.400 a 25.500</t>
  </si>
  <si>
    <t>Zarrikueta Propiedades</t>
  </si>
  <si>
    <t>UF 5.606 a 5.606</t>
  </si>
  <si>
    <t>Cimientos Gestión Inmobiliaria</t>
  </si>
  <si>
    <t>https://resources.mlstatic.com/classifieds_accounts/MLC_real_estate_agency/330123267_vip.jpg</t>
  </si>
  <si>
    <t>UF 1.390 a 23.900</t>
  </si>
  <si>
    <t>Inmoges</t>
  </si>
  <si>
    <t>https://http2.mlstatic.com/storage/vis-accounts/1722596697_vip-efa4da4a-f292-4c87-80b1-a4ab1dd2a4e9.jpg</t>
  </si>
  <si>
    <t>UF 2.172 a 79.040</t>
  </si>
  <si>
    <t>Propiedadersmilenium2023042510</t>
  </si>
  <si>
    <t>UF 1.605 a 96.400</t>
  </si>
  <si>
    <t>Klau Spa</t>
  </si>
  <si>
    <t>https://http2.mlstatic.com/storage/vis-accounts/172879259_vip-93a24619-9700-405d-9899-5b3ab7c662a3.png</t>
  </si>
  <si>
    <t>UF 2.300 a 45.000</t>
  </si>
  <si>
    <t>Alfa Propiedades</t>
  </si>
  <si>
    <t>https://http2.mlstatic.com/storage/vis-accounts/1854558145_vip-b748f7ca-9ef4-4455-be93-817834bf66e8.png</t>
  </si>
  <si>
    <t>UF 6.250 a 10.500</t>
  </si>
  <si>
    <t>Umbralis</t>
  </si>
  <si>
    <t>UF 2.499 a 25.500</t>
  </si>
  <si>
    <t>Vivelite Gestión Inmobiliaria</t>
  </si>
  <si>
    <t>UF 2.150 a 2.150</t>
  </si>
  <si>
    <t>Propiedades Cucurella</t>
  </si>
  <si>
    <t>https://http2.mlstatic.com/storage/vis-accounts/378064543_vip-aa7b3ac8-c7a9-489d-b24b-7a2188b666ca.png</t>
  </si>
  <si>
    <t>UF 1.800 a 27.900</t>
  </si>
  <si>
    <t>Bluegroup Brokers</t>
  </si>
  <si>
    <t>https://http2.mlstatic.com/storage/vis-accounts/2184455365_vip-02285e24-247a-4c16-b62d-b19a2e3990ba.jpg</t>
  </si>
  <si>
    <t>UF 4.700 a 15.900</t>
  </si>
  <si>
    <t>Barberis Barrios Propiedades</t>
  </si>
  <si>
    <t>https://http2.mlstatic.com/storage/vis-accounts/2339954229_vip-df2e71bd-4eee-4005-808c-d5bcfda23e8a.png</t>
  </si>
  <si>
    <t>UF 3.440 a 8.000</t>
  </si>
  <si>
    <t>Moscoso Y Tapia Spa</t>
  </si>
  <si>
    <t>UF 2.300 a 9.300</t>
  </si>
  <si>
    <t>Roble Propiedades Osorno</t>
  </si>
  <si>
    <t>UF 2.092 a 7.645</t>
  </si>
  <si>
    <t>Total Home Propiedades</t>
  </si>
  <si>
    <t>https://http2.mlstatic.com/storage/vis-accounts/1628129303_vip-a6ce293d-eab5-4897-9c5d-914fb89337a9.png</t>
  </si>
  <si>
    <t>UF 1.402 a 7.990</t>
  </si>
  <si>
    <t>Move In By Settling In Chile</t>
  </si>
  <si>
    <t>https://http2.mlstatic.com/storage/vis-accounts/261092548_vip-0ff7e387-30f7-40c1-a6a2-164603dc5b67.png</t>
  </si>
  <si>
    <t>UF 2.350 a 41.788</t>
  </si>
  <si>
    <t>Moral Properties &amp; Help Moving</t>
  </si>
  <si>
    <t>https://http2.mlstatic.com/storage/vis-accounts/330112782_vip-0e099337-042f-4528-a4ee-af014852cd9b.png</t>
  </si>
  <si>
    <t>UF 1.750 a 42.500</t>
  </si>
  <si>
    <t>Magdalena Pinochet Propiedades</t>
  </si>
  <si>
    <t>https://resources.mlstatic.com/classifieds_accounts/MLC_real_estate_agency/330120111_vip.jpg</t>
  </si>
  <si>
    <t>UF 1.750 a 18.390</t>
  </si>
  <si>
    <t>Fil Group Asesorías</t>
  </si>
  <si>
    <t>UF 1.550 a 24.000</t>
  </si>
  <si>
    <t>City Propiedades Ltda</t>
  </si>
  <si>
    <t>https://resources.mlstatic.com/classifieds_accounts/MLC_real_estate_agency/330122464_vip_v2.JPG</t>
  </si>
  <si>
    <t>UF 2.200 a 14.900</t>
  </si>
  <si>
    <t>Capital Brokers</t>
  </si>
  <si>
    <t>https://http2.mlstatic.com/storage/vis-accounts/330116051_vip-70dc5337-c5ba-42e2-a63f-cab41f27b976.jpg</t>
  </si>
  <si>
    <t>UF 2.100 a 90.000</t>
  </si>
  <si>
    <t>Propsal Gestión Inmobiliaria Spa</t>
  </si>
  <si>
    <t>https://http2.mlstatic.com/storage/vis-accounts/330116470_vip-f7381bf2-1175-4020-ad1c-c0b826298f90.png</t>
  </si>
  <si>
    <t>UF 1.250 a 19.900</t>
  </si>
  <si>
    <t>Vivaprop Spa</t>
  </si>
  <si>
    <t>https://resources.mlstatic.com/classifieds_accounts/MLC_real_estate_agency/330117965_vip.jpg</t>
  </si>
  <si>
    <t>UF 8.100 a 39.000</t>
  </si>
  <si>
    <t>Tejuelapropiedades</t>
  </si>
  <si>
    <t>UF 3.800 a 4.750</t>
  </si>
  <si>
    <t>Bih &amp; Asociados</t>
  </si>
  <si>
    <t>https://http2.mlstatic.com/storage/vis-accounts/299573821_vip-27820745-6a4b-4486-a24f-63ea84ad154e.jpg</t>
  </si>
  <si>
    <t>UF 1.590 a 68.300</t>
  </si>
  <si>
    <t>UF 2.421 a 23.500</t>
  </si>
  <si>
    <t>Renfe Propiedades</t>
  </si>
  <si>
    <t>https://resources.mlstatic.com/classifieds_accounts/MLC_real_estate_agency/330119340_vip.jpg</t>
  </si>
  <si>
    <t>UF 1.720 a 6.370</t>
  </si>
  <si>
    <t>Macspropiedades</t>
  </si>
  <si>
    <t>https://http2.mlstatic.com/storage/vis-accounts/330123809_vip-e8271cb1-384d-4ec7-82a1-f408cbdb87ce.png</t>
  </si>
  <si>
    <t>UF 910 a 11.200</t>
  </si>
  <si>
    <t>Lass Propiedadess</t>
  </si>
  <si>
    <t>https://resources.mlstatic.com/classifieds_accounts/MLC_real_estate_agency/330115115_vip.jpg</t>
  </si>
  <si>
    <t>UF 1.733 a 4.077</t>
  </si>
  <si>
    <t>Home Hunters Asesoría Y Gestión Inmobiliaria</t>
  </si>
  <si>
    <t>https://resources.mlstatic.com/classifieds_accounts/MLC_real_estate_agency/216783410_vip.jpg</t>
  </si>
  <si>
    <t>UF 2.600 a 45.000</t>
  </si>
  <si>
    <t>Manriquez - Gildemeister Propiedades</t>
  </si>
  <si>
    <t>https://resources.mlstatic.com/classifieds_accounts/MLC_real_estate_agency/55616889_vip.jpg</t>
  </si>
  <si>
    <t>UF 1.750 a 20.500</t>
  </si>
  <si>
    <t>Dub Propiedades Limitada</t>
  </si>
  <si>
    <t>https://resources.mlstatic.com/classifieds_accounts/MLC_real_estate_agency/213277264_vip_v2.jpg</t>
  </si>
  <si>
    <t>UF 17.890 a 60.000</t>
  </si>
  <si>
    <t>Cmc Propiedades</t>
  </si>
  <si>
    <t>https://resources.mlstatic.com/classifieds_accounts/MLC_real_estate_agency/330114488_vip.jpg</t>
  </si>
  <si>
    <t>UF 2.727 a 10.950</t>
  </si>
  <si>
    <t>Rab Propiedades</t>
  </si>
  <si>
    <t>https://resources.mlstatic.com/classifieds_accounts/MLC_real_estate_agency/330120844_vip.jpg</t>
  </si>
  <si>
    <t>UF 1.500 a 4.550</t>
  </si>
  <si>
    <t>Property Savvy</t>
  </si>
  <si>
    <t>https://http2.mlstatic.com/storage/vis-accounts/55561744_vip-a97adf58-ac1c-469f-bb47-7a9f4cf05e76.png</t>
  </si>
  <si>
    <t>UF 1.900 a 29.900</t>
  </si>
  <si>
    <t>Delacasa Propiedades</t>
  </si>
  <si>
    <t>https://http2.mlstatic.com/storage/vis-accounts/49913803_vip-bf4b1d2d-4e60-4d97-8ba7-fb6a36e23430.jpg</t>
  </si>
  <si>
    <t>UF 1.250 a 32.000</t>
  </si>
  <si>
    <t>Psa Gestión Inmobiliaria Spa</t>
  </si>
  <si>
    <t>https://resources.mlstatic.com/classifieds_accounts/MLC_real_estate_agency/330120102_vip.png</t>
  </si>
  <si>
    <t>UF 9.000 a 10.490</t>
  </si>
  <si>
    <t>Propiedades Sylviabalbontín</t>
  </si>
  <si>
    <t>https://http2.mlstatic.com/storage/vis-accounts/3226294_vip-0cfdff3f-603e-4b58-943f-bc086fd697c6.jpg</t>
  </si>
  <si>
    <t>UF 1.733 a 34.500</t>
  </si>
  <si>
    <t>Mimica Gestión Inmobiliaria</t>
  </si>
  <si>
    <t>https://http2.mlstatic.com/storage/vis-accounts/55640183_vip-a4c634bd-51f2-49ab-a90f-a658168203fe.png</t>
  </si>
  <si>
    <t>UF 3.150 a 38.000</t>
  </si>
  <si>
    <t>Celina Propiedades</t>
  </si>
  <si>
    <t>https://resources.mlstatic.com/classifieds_accounts/MLC_real_estate_agency/330115843_vip_v2.png</t>
  </si>
  <si>
    <t>UF 7.100 a 48.680</t>
  </si>
  <si>
    <t>Traumhaus Propiedades</t>
  </si>
  <si>
    <t>https://resources.mlstatic.com/classifieds_accounts/MLC_real_estate_agency/232878417_vip_v2.jpg</t>
  </si>
  <si>
    <t>UF 4.052 a 16.900</t>
  </si>
  <si>
    <t>Ca&amp;Cs Carvajal Y Contreras Asesorías Y Servicios Inmobiliarios</t>
  </si>
  <si>
    <t>https://resources.mlstatic.com/classifieds_accounts/MLC_real_estate_agency/330123842_vip.jpg</t>
  </si>
  <si>
    <t>UF 2.340 a 22.500</t>
  </si>
  <si>
    <t>UF 1.766 a 11.500</t>
  </si>
  <si>
    <t>Naciaspropiedades</t>
  </si>
  <si>
    <t>https://http2.mlstatic.com/storage/vis-accounts/2199717301_vip-ef6267ab-5869-4dc0-948a-352b22f660b4.png</t>
  </si>
  <si>
    <t>UF 2.200 a 15.000</t>
  </si>
  <si>
    <t>Rivierapropiedades</t>
  </si>
  <si>
    <t>UF 1.656 a 24.900</t>
  </si>
  <si>
    <t>Judith Alejandra Brizuela Roblero</t>
  </si>
  <si>
    <t>https://http2.mlstatic.com/storage/vis-accounts/531928273_vip-76072c48-7399-490c-9500-e66fc395b4c6.jpg</t>
  </si>
  <si>
    <t>UF 3.567 a 3.567</t>
  </si>
  <si>
    <t>Danielgarciahome</t>
  </si>
  <si>
    <t>UF 2.293 a 7.100</t>
  </si>
  <si>
    <t>Corretajeactivo</t>
  </si>
  <si>
    <t>UF 2.039 a 2.039</t>
  </si>
  <si>
    <t>Lc20250208174044</t>
  </si>
  <si>
    <t>UF 1.249 a 10.990</t>
  </si>
  <si>
    <t>Corredora De Propiedades Macarena Wilson Cruz</t>
  </si>
  <si>
    <t>https://resources.mlstatic.com/classifieds_accounts/MLC_real_estate_agency/208156420_vip.jpg</t>
  </si>
  <si>
    <t>UF 10.500 a 59.500</t>
  </si>
  <si>
    <t>Lcn Propiedades</t>
  </si>
  <si>
    <t>https://http2.mlstatic.com/storage/vis-accounts/210380621_vip-432ce4f6-085b-4666-a32c-c149fd45888f.jpg</t>
  </si>
  <si>
    <t>UF 1.365 a 5.000</t>
  </si>
  <si>
    <t>Altarent</t>
  </si>
  <si>
    <t>https://http2.mlstatic.com/storage/vis-accounts/352425266_vip-899d8685-9a6e-4ce0-acf0-1011182a7465.png</t>
  </si>
  <si>
    <t>UF 3.000 a 23.900</t>
  </si>
  <si>
    <t>Sav Propiedades</t>
  </si>
  <si>
    <t>https://resources.mlstatic.com/classifieds_accounts/MLC_real_estate_agency/330121914_vip.jpg</t>
  </si>
  <si>
    <t>UF 1.800 a 5.500</t>
  </si>
  <si>
    <t>Del Plata Propiedades</t>
  </si>
  <si>
    <t>https://resources.mlstatic.com/classifieds_accounts/MLC_real_estate_agency/330114645_vip_v3.jpg</t>
  </si>
  <si>
    <t>UF 1.700 a 14.000</t>
  </si>
  <si>
    <t>Del Sante Corredores De Propiedades</t>
  </si>
  <si>
    <t>https://resources.mlstatic.com/classifieds_accounts/MLC_real_estate_agency/330115956_vip.jpg</t>
  </si>
  <si>
    <t>UF 14.900 a 18.000</t>
  </si>
  <si>
    <t>Giprian Propiedades</t>
  </si>
  <si>
    <t>UF 1.962 a 8.000</t>
  </si>
  <si>
    <t>Finhabit Propiedades Ltda.</t>
  </si>
  <si>
    <t>https://resources.mlstatic.com/classifieds_accounts/MLC_real_estate_agency/330115905_vip_v2.gif</t>
  </si>
  <si>
    <t>UF 1.019 a 23.500</t>
  </si>
  <si>
    <t>Vanessa Price Asesorías Y Gestión Ltda.</t>
  </si>
  <si>
    <t>https://http2.mlstatic.com/storage/vis-accounts/631457461_vip-b1bdfd16-e058-400d-ba22-1e3b70f9f3da.gif</t>
  </si>
  <si>
    <t>UF 1.325 a 11.980</t>
  </si>
  <si>
    <t>Pyg Larrain Propiedades</t>
  </si>
  <si>
    <t>https://resources.mlstatic.com/classifieds_accounts/MLC_real_estate_agency/330106270_vip.png</t>
  </si>
  <si>
    <t>UF 6.625 a 149.500</t>
  </si>
  <si>
    <t>No Compres Para Vivir</t>
  </si>
  <si>
    <t>UF 2.300 a 4.100</t>
  </si>
  <si>
    <t>Inmobiliaria Alonso Y Ascui</t>
  </si>
  <si>
    <t>https://resources.mlstatic.com/classifieds_accounts/MLC_real_estate_agency/474249118_vip.png</t>
  </si>
  <si>
    <t>UF 1.529 a 36.900</t>
  </si>
  <si>
    <t>Centroinmobiliario Spa</t>
  </si>
  <si>
    <t>https://http2.mlstatic.com/storage/vis-accounts/683623736_vip-a4f9b143-c01e-4c4f-b472-f562cc5604b9.png</t>
  </si>
  <si>
    <t>UF 3.800 a 9.400</t>
  </si>
  <si>
    <t>Yc Propiedades</t>
  </si>
  <si>
    <t>https://resources.mlstatic.com/classifieds_accounts/MLC_real_estate_agency/459361823_vip.jpg</t>
  </si>
  <si>
    <t>UF 2.200 a 8.690</t>
  </si>
  <si>
    <t>Hauser &amp; Co</t>
  </si>
  <si>
    <t>https://http2.mlstatic.com/storage/vis-accounts/121357352_vip-5e1aff37-66b4-4ada-8d7c-95a683dac28a.jpg</t>
  </si>
  <si>
    <t>UF 2.400 a 22.000</t>
  </si>
  <si>
    <t>Peñafiel Propiedades Y Gestión Inmobiliaria</t>
  </si>
  <si>
    <t>https://resources.mlstatic.com/classifieds_accounts/MLC_real_estate_agency/315790782_vip.gif</t>
  </si>
  <si>
    <t>UF 2.013 a 21.000</t>
  </si>
  <si>
    <t>Gidi Propiedades</t>
  </si>
  <si>
    <t>UF 2.293 a 15.000</t>
  </si>
  <si>
    <t>Vivian Valenzuela</t>
  </si>
  <si>
    <t>UF 2.300 a 4.591</t>
  </si>
  <si>
    <t>Rodrigo Cañas De La Cerda Propiedades</t>
  </si>
  <si>
    <t>https://resources.mlstatic.com/classifieds_accounts/MLC_real_estate_agency/401883573_vip.jpg</t>
  </si>
  <si>
    <t>UF 2.000 a 5.150</t>
  </si>
  <si>
    <t>Remax Futuro</t>
  </si>
  <si>
    <t>https://http2.mlstatic.com/storage/vis-accounts/308177835_vip-80aca5f5-2231-43a3-8677-a1628bb0e5fa.jpg</t>
  </si>
  <si>
    <t>UF 1.506 a 31.500</t>
  </si>
  <si>
    <t>Carrillo Propiedades</t>
  </si>
  <si>
    <t>https://resources.mlstatic.com/classifieds_accounts/MLC_real_estate_agency/304804410_vip.jpg</t>
  </si>
  <si>
    <t>UF 3.900 a 22.500</t>
  </si>
  <si>
    <t>Andeshouse Propiedades</t>
  </si>
  <si>
    <t>UF 14.500 a 14.500</t>
  </si>
  <si>
    <t>Home Sur Propiedades Spa</t>
  </si>
  <si>
    <t>https://http2.mlstatic.com/storage/vis-accounts/138336498_vip-5834dd90-e6d1-4e60-8253-d56af447544f.jpg</t>
  </si>
  <si>
    <t>UF 2.625 a 9.600</t>
  </si>
  <si>
    <t>Zelaya Propiedades</t>
  </si>
  <si>
    <t>https://http2.mlstatic.com/storage/vis-accounts/659728878_vip-aa03fbe7-a50b-49bc-b86e-578be80c8947.png</t>
  </si>
  <si>
    <t>UF 4.300 a 16.100</t>
  </si>
  <si>
    <t>Berni Boetsch V.</t>
  </si>
  <si>
    <t>https://resources.mlstatic.com/classifieds_accounts/MLC_real_estate_agency/379994386_vip_v3.jpg</t>
  </si>
  <si>
    <t>UF 7.200 a 95.000</t>
  </si>
  <si>
    <t>Propiedades Concreta Spa</t>
  </si>
  <si>
    <t>https://http2.mlstatic.com/storage/vis-accounts/459780966_vip-ceae766e-d204-4076-8ca0-3a403d788417.png</t>
  </si>
  <si>
    <t>UF 2.050 a 12.900</t>
  </si>
  <si>
    <t>Prodecasa</t>
  </si>
  <si>
    <t>https://http2.mlstatic.com/storage/vis-accounts/435794832_vip-05e31200-f18f-438e-b76a-297fdc6f7aae.jpg</t>
  </si>
  <si>
    <t>UF 1.475 a 13.500</t>
  </si>
  <si>
    <t>Infocasa</t>
  </si>
  <si>
    <t>https://resources.mlstatic.com/classifieds_accounts/MLC_real_estate_agency/85174262_vip_v4.jpg</t>
  </si>
  <si>
    <t>UF 1.600 a 52.500</t>
  </si>
  <si>
    <t>Pacpropiedades</t>
  </si>
  <si>
    <t>https://resources.mlstatic.com/classifieds_accounts/MLC_real_estate_agency/330121907_vip.jpg</t>
  </si>
  <si>
    <t>UF 1.529 a 24.500</t>
  </si>
  <si>
    <t>Eugenio Hevia Propiedades</t>
  </si>
  <si>
    <t>https://http2.mlstatic.com/storage/vis-accounts/166377988_vip-e91e5166-ea88-459b-a758-cb2b5dabf93c.png</t>
  </si>
  <si>
    <t>UF 5.970 a 29.800</t>
  </si>
  <si>
    <t>Engel&amp;Völkers Pichilemu - Matanzas - Vichuquén</t>
  </si>
  <si>
    <t>https://http2.mlstatic.com/storage/vis-accounts/665822013_vip-50db84c3-5ddb-4f04-964c-cef512abc893.jpg</t>
  </si>
  <si>
    <t>UF 4.500 a 58.000</t>
  </si>
  <si>
    <t>https://http2.mlstatic.com/storage/vis-accounts/200751574_vip-fb76079b-f576-4848-9e29-ac71072928a8.png</t>
  </si>
  <si>
    <t>UF 3.400 a 42.000</t>
  </si>
  <si>
    <t>Home Select</t>
  </si>
  <si>
    <t>https://http2.mlstatic.com/storage/vis-accounts/83385764_vip-446e433f-07c8-4d04-8ef0-38b46d263897.png</t>
  </si>
  <si>
    <t>UF 7.000 a 70.000</t>
  </si>
  <si>
    <t>C' Arias Propiedades</t>
  </si>
  <si>
    <t>UF 2.497 a 9.990</t>
  </si>
  <si>
    <t>R&amp;C Propiedades</t>
  </si>
  <si>
    <t>https://resources.mlstatic.com/classifieds_accounts/MLC_real_estate_agency/195225226_vip.jpg</t>
  </si>
  <si>
    <t>UF 2.295 a 8.400</t>
  </si>
  <si>
    <t>Yupanqui Bienes Raíces</t>
  </si>
  <si>
    <t>https://http2.mlstatic.com/storage/vis-accounts/55759860_vip-ed06442f-9cc0-4927-8309-08122216857e.jpg</t>
  </si>
  <si>
    <t>UF 2.268 a 12.500</t>
  </si>
  <si>
    <t>Kind Propiedades</t>
  </si>
  <si>
    <t>https://http2.mlstatic.com/storage/vis-accounts/330116153_vip-8442366a-da35-4972-ace6-0038a0ec977a.jpg</t>
  </si>
  <si>
    <t>UF 64.000 a 64.000</t>
  </si>
  <si>
    <t>Vr Propiedades</t>
  </si>
  <si>
    <t>https://http2.mlstatic.com/storage/vis-accounts/15090308_vip-0777a3c3-a3f0-43a7-b904-22d2434ad1e1.png</t>
  </si>
  <si>
    <t>UF 1.835 a 12.500</t>
  </si>
  <si>
    <t>Broker Inmobiliario Chile Spa</t>
  </si>
  <si>
    <t>https://resources.mlstatic.com/classifieds_accounts/MLC_real_estate_agency/468376090_vip.jpg</t>
  </si>
  <si>
    <t>UF 1.970 a 39.500</t>
  </si>
  <si>
    <t>Ahouse</t>
  </si>
  <si>
    <t>https://http2.mlstatic.com/storage/vis-accounts/549649040_vip-b6c3fd27-f06c-4b5f-b7f2-ea589efefded.png</t>
  </si>
  <si>
    <t>UF 1.500 a 22.600</t>
  </si>
  <si>
    <t>Vivafeliz Propiedades</t>
  </si>
  <si>
    <t>https://resources.mlstatic.com/classifieds_accounts/MLC_real_estate_agency/131478585_vip.jpg</t>
  </si>
  <si>
    <t>UF 1.605 a 22.000</t>
  </si>
  <si>
    <t>Nativa Propiedades</t>
  </si>
  <si>
    <t>https://resources.mlstatic.com/classifieds_accounts/MLC_real_estate_agency/525054317_vip_v2.jpg</t>
  </si>
  <si>
    <t>UF 1.700 a 6.800</t>
  </si>
  <si>
    <t>Mb Gestion</t>
  </si>
  <si>
    <t>https://http2.mlstatic.com/storage/vis-accounts/642331462_vip-e810be63-092d-40d6-871f-a518304a83e0.png</t>
  </si>
  <si>
    <t>UF 5.200 a 17.800</t>
  </si>
  <si>
    <t>Propiedadesmurano</t>
  </si>
  <si>
    <t>UF 2.268 a 3.313</t>
  </si>
  <si>
    <t>Daniel Carrasco Gestión Inmobiliaria</t>
  </si>
  <si>
    <t>https://http2.mlstatic.com/storage/vis-accounts/423940387_vip-85573a38-f02c-457b-b035-cfc5f0d7fc6d.png</t>
  </si>
  <si>
    <t>UF 1.784 a 28.000</t>
  </si>
  <si>
    <t>Kusianovich &amp; Hornung Propiedades</t>
  </si>
  <si>
    <t>https://http2.mlstatic.com/storage/vis-accounts/237173317_vip-1d84b20a-7a3a-492c-bdde-600260c11b8d.jpg</t>
  </si>
  <si>
    <t>UF 1.900 a 38.000</t>
  </si>
  <si>
    <t>Ángeles Corretaje</t>
  </si>
  <si>
    <t>https://resources.mlstatic.com/classifieds_accounts/MLC_real_estate_agency/500981911_vip.jpg</t>
  </si>
  <si>
    <t>UF 3.250 a 6.870</t>
  </si>
  <si>
    <t>Frey Propiedades</t>
  </si>
  <si>
    <t>https://http2.mlstatic.com/storage/vis-accounts/388813807_vip-ea322017-4ea9-4408-8506-9dd6ac2308d5.jpg</t>
  </si>
  <si>
    <t>UF 1.249 a 5.498</t>
  </si>
  <si>
    <t>C A S A D E U</t>
  </si>
  <si>
    <t>https://http2.mlstatic.com/storage/vis-accounts/649939470_vip-909cf676-6f50-497a-9a48-346d332be20e.png</t>
  </si>
  <si>
    <t>UF 6.400 a 52.000</t>
  </si>
  <si>
    <t>Samsara Propiedades Y Asesorías</t>
  </si>
  <si>
    <t>https://http2.mlstatic.com/storage/vis-accounts/534701192_vip-9efb9e46-bdb0-4702-92fe-832fbd64480a.png</t>
  </si>
  <si>
    <t>UF 6.500 a 16.990</t>
  </si>
  <si>
    <t>Msp Propiedades</t>
  </si>
  <si>
    <t>https://http2.mlstatic.com/storage/vis-accounts/352538085_vip-b8a8a9ff-52aa-460c-8ca6-889806ebab28.jpg</t>
  </si>
  <si>
    <t>UF 4.100 a 23.000</t>
  </si>
  <si>
    <t>Proconcreto.Cl</t>
  </si>
  <si>
    <t>UF 2.050 a 3.900</t>
  </si>
  <si>
    <t>Alfa Omega Propiedades</t>
  </si>
  <si>
    <t>https://resources.mlstatic.com/classifieds_accounts/MLC_real_estate_agency/520692275_vip.jpg</t>
  </si>
  <si>
    <t>UF 1.185 a 20.950</t>
  </si>
  <si>
    <t>Remax Costanera Spa</t>
  </si>
  <si>
    <t>UF 1.390 a 89.990</t>
  </si>
  <si>
    <t>Aserfincobienes20231116120358</t>
  </si>
  <si>
    <t>UF 1.096 a 9.900</t>
  </si>
  <si>
    <t>América Propiedades</t>
  </si>
  <si>
    <t>https://http2.mlstatic.com/storage/vis-accounts/607243752_vip-a0b9cd44-bab6-45ee-8081-c462bc15e05b.jpg</t>
  </si>
  <si>
    <t>UF 3.450 a 16.000</t>
  </si>
  <si>
    <t>Blamey Propiedades</t>
  </si>
  <si>
    <t>https://http2.mlstatic.com/storage/vis-accounts/625945807_vip-0829e748-6233-4b8a-84cb-27f8cf382328.png</t>
  </si>
  <si>
    <t>UF 2.166 a 21.600</t>
  </si>
  <si>
    <t>Byr Gestión</t>
  </si>
  <si>
    <t>https://http2.mlstatic.com/storage/vis-accounts/351429286_vip-1a2247b0-04dc-4957-b0f0-39a895ced6d3.png</t>
  </si>
  <si>
    <t>UF 1.550 a 32.000</t>
  </si>
  <si>
    <t>Keka Realty Spa</t>
  </si>
  <si>
    <t>https://http2.mlstatic.com/storage/vis-accounts/344995206_vip-1661c0ef-325e-436e-a28a-8135a09805a7.png</t>
  </si>
  <si>
    <t>UF 3.799 a 42.000</t>
  </si>
  <si>
    <t>Equus Gestión Inmobiliaria</t>
  </si>
  <si>
    <t>https://http2.mlstatic.com/storage/vis-accounts/684752995_vip-0473c428-5108-44c8-b9c9-a07f80c7bdab.jpg</t>
  </si>
  <si>
    <t>UF 1.274 a 18.900</t>
  </si>
  <si>
    <t>Remax Eco Partners</t>
  </si>
  <si>
    <t>UF 1.325 a 56.060</t>
  </si>
  <si>
    <t>Piedra Blanca Propiedades</t>
  </si>
  <si>
    <t>UF 2.290 a 6.410</t>
  </si>
  <si>
    <t>Pilar Propiedades</t>
  </si>
  <si>
    <t>UF 1.820 a 75.000</t>
  </si>
  <si>
    <t>Verdemar Propiedades</t>
  </si>
  <si>
    <t>https://http2.mlstatic.com/storage/vis-accounts/1839598867_vip-bd7be110-0583-44a5-9062-f9bcdc5224fa.jpg</t>
  </si>
  <si>
    <t>UF 4.700 a 15.200</t>
  </si>
  <si>
    <t>Ureta Y Prado Gestión Inmobiliaria</t>
  </si>
  <si>
    <t>https://resources.mlstatic.com/classifieds_accounts/MLC_real_estate_agency/630815709_vip.jpg</t>
  </si>
  <si>
    <t>UF 7.500 a 49.950</t>
  </si>
  <si>
    <t>Aro Y Nexo Spa</t>
  </si>
  <si>
    <t>https://http2.mlstatic.com/storage/vis-accounts/1579714233_vip-1cc0cbad-aad0-40f7-8697-307393242db3.png</t>
  </si>
  <si>
    <t>UF 2.039 a 5.600</t>
  </si>
  <si>
    <t>Ferreira Propiedades Spa</t>
  </si>
  <si>
    <t>UF 3.058 a 10.960</t>
  </si>
  <si>
    <t>La Casa Azul Spa</t>
  </si>
  <si>
    <t>UF 2.200 a 28.500</t>
  </si>
  <si>
    <t>Fg Property</t>
  </si>
  <si>
    <t>https://http2.mlstatic.com/storage/vis-accounts/1923426923_vip-cd7431dc-5bbc-425f-9c4a-6825f9435089.jpg</t>
  </si>
  <si>
    <t>UF 1.800 a 59.900</t>
  </si>
  <si>
    <t>L F Propiedades</t>
  </si>
  <si>
    <t>https://http2.mlstatic.com/storage/vis-accounts/1767727990_vip-c5cf76af-9c9a-4eba-bcbc-a8f06ccb25d3.png</t>
  </si>
  <si>
    <t>UF 2.990 a 14.200</t>
  </si>
  <si>
    <t>Titi Barrientos</t>
  </si>
  <si>
    <t>UF 1.758 a 11.950</t>
  </si>
  <si>
    <t>Casas Huechuraba</t>
  </si>
  <si>
    <t>https://http2.mlstatic.com/storage/vis-accounts/1881301983_vip-3604bce8-4536-4ddc-8f24-e6ac3913414b.png</t>
  </si>
  <si>
    <t>UF 3.290 a 11.800</t>
  </si>
  <si>
    <t>Karencumsille</t>
  </si>
  <si>
    <t>UF 2.200 a 2.700</t>
  </si>
  <si>
    <t>Nmonteropropiedades</t>
  </si>
  <si>
    <t>UF 3.200 a 5.850</t>
  </si>
  <si>
    <t>Ok Propiedades</t>
  </si>
  <si>
    <t>https://resources.mlstatic.com/classifieds_accounts/MLC_real_estate_agency/330115659_vip.gif</t>
  </si>
  <si>
    <t>UF 1.860 a 7.550</t>
  </si>
  <si>
    <t>Gethouse</t>
  </si>
  <si>
    <t>https://resources.mlstatic.com/classifieds_accounts/MLC_real_estate_agency/330427769_vip_v4.jpg</t>
  </si>
  <si>
    <t>UF 2.750 a 12.200</t>
  </si>
  <si>
    <t>Link Inmobiliario</t>
  </si>
  <si>
    <t>https://resources.mlstatic.com/classifieds_accounts/MLC_real_estate_agency/330120246_vip.jpg</t>
  </si>
  <si>
    <t>UF 1.690 a 35.000</t>
  </si>
  <si>
    <t>Addressprop</t>
  </si>
  <si>
    <t>https://resources.mlstatic.com/classifieds_accounts/MLC_real_estate_agency/330113791_vip.jpg</t>
  </si>
  <si>
    <t>UF 2.200 a 49.800</t>
  </si>
  <si>
    <t>Ferrari Propiedades</t>
  </si>
  <si>
    <t>https://resources.mlstatic.com/classifieds_accounts/MLC_real_estate_agency/337970306_vip.jpg</t>
  </si>
  <si>
    <t>UF 1.850 a 13.850</t>
  </si>
  <si>
    <t>M Francisca Rojas F Propiedades</t>
  </si>
  <si>
    <t>https://resources.mlstatic.com/classifieds_accounts/MLC_real_estate_agency/330120982_vip.jpg</t>
  </si>
  <si>
    <t>UF 8.000 a 13.900</t>
  </si>
  <si>
    <t>Montero Propiedades</t>
  </si>
  <si>
    <t>https://resources.mlstatic.com/classifieds_accounts/MLC_real_estate_agency/330115156_vip.gif</t>
  </si>
  <si>
    <t>UF 4.077 a 4.077</t>
  </si>
  <si>
    <t>Univazo Propiedades</t>
  </si>
  <si>
    <t>https://resources.mlstatic.com/classifieds_accounts/MLC_real_estate_agency/330114788_vip.png</t>
  </si>
  <si>
    <t>UF 945 a 19.000</t>
  </si>
  <si>
    <t>Mev Propiedades</t>
  </si>
  <si>
    <t>https://http2.mlstatic.com/storage/vis-accounts/481097660_vip-e49464b0-56ca-42ed-96a1-7e6bc744b5d0.png</t>
  </si>
  <si>
    <t>UF 10.000 a 97.500</t>
  </si>
  <si>
    <t>Mena &amp; Cía. Propiedades</t>
  </si>
  <si>
    <t>https://resources.mlstatic.com/classifieds_accounts/MLC_real_estate_agency/404607446_vip_v2.jpg</t>
  </si>
  <si>
    <t>UF 1.580 a 6.250</t>
  </si>
  <si>
    <t>Inversiones E Inmobiliaria El Sol Dorado Spa</t>
  </si>
  <si>
    <t>https://http2.mlstatic.com/storage/vis-accounts/439617615_vip-bac6192b-9bcb-40f9-a56b-8d257c75d90d.jpg</t>
  </si>
  <si>
    <t>UF 3.100 a 25.000</t>
  </si>
  <si>
    <t>Solari Propiedades</t>
  </si>
  <si>
    <t>https://resources.mlstatic.com/classifieds_accounts/MLC_real_estate_agency/461089539_vip.jpg</t>
  </si>
  <si>
    <t>UF 2.235 a 7.600</t>
  </si>
  <si>
    <t>Arrigo Propiedades</t>
  </si>
  <si>
    <t>https://http2.mlstatic.com/storage/vis-accounts/20885518_vip-87e8d368-d0e8-45a3-8808-cb78f2adc09c.png</t>
  </si>
  <si>
    <t>UF 1.714 a 29.959</t>
  </si>
  <si>
    <t>Campos Propiedades</t>
  </si>
  <si>
    <t>https://http2.mlstatic.com/storage/vis-accounts/447849935_vip-3e5e40d0-bb56-4845-b121-5e824da9cd80.png</t>
  </si>
  <si>
    <t>UF 1.750 a 17.200</t>
  </si>
  <si>
    <t>For Sale Propiedades</t>
  </si>
  <si>
    <t>https://resources.mlstatic.com/classifieds_accounts/MLC_real_estate_agency/330198231_vip_v2.jpg</t>
  </si>
  <si>
    <t>UF 5.250 a 75.000</t>
  </si>
  <si>
    <t>Victoria Propiedades</t>
  </si>
  <si>
    <t>https://http2.mlstatic.com/storage/vis-accounts/306724725_vip-b867ba5f-2e2d-45a7-ba4a-a5d1b4cb4938.png</t>
  </si>
  <si>
    <t>UF 1.900 a 9.640</t>
  </si>
  <si>
    <t>M R Gestión</t>
  </si>
  <si>
    <t>https://resources.mlstatic.com/classifieds_accounts/MLC_real_estate_agency/493624968_vip.jpg</t>
  </si>
  <si>
    <t>UF 1.452 a 16.500</t>
  </si>
  <si>
    <t>Beysa Propiedades</t>
  </si>
  <si>
    <t>https://http2.mlstatic.com/storage/vis-accounts/330116706_vip-3629bf1a-c23d-465b-84e0-28105c51c5ed.png</t>
  </si>
  <si>
    <t>UF 2.293 a 8.400</t>
  </si>
  <si>
    <t>Andares Propiedades</t>
  </si>
  <si>
    <t>UF 1.350 a 6.500</t>
  </si>
  <si>
    <t>Asesorias E Inversiones Leiva</t>
  </si>
  <si>
    <t>https://resources.mlstatic.com/classifieds_accounts/MLC_real_estate_agency/378063136_vip_v3.jpg</t>
  </si>
  <si>
    <t>UF 1.900 a 15.800</t>
  </si>
  <si>
    <t>Espasia</t>
  </si>
  <si>
    <t>https://resources.mlstatic.com/classifieds_accounts/MLC_real_estate_agency/265226667_vip_v2.jpg</t>
  </si>
  <si>
    <t>UF 850 a 38.900</t>
  </si>
  <si>
    <t>Piso 2 Propiedades</t>
  </si>
  <si>
    <t>https://resources.mlstatic.com/classifieds_accounts/MLC_real_estate_agency/54703266_vip.png</t>
  </si>
  <si>
    <t>UF 1.700 a 98.000</t>
  </si>
  <si>
    <t>Ananías Clark Propiedades</t>
  </si>
  <si>
    <t>https://http2.mlstatic.com/storage/vis-accounts/345548091_vip-e9c18613-0dd1-4b27-a362-c55042c99f6a.jpg</t>
  </si>
  <si>
    <t>UF 2.316 a 16.700</t>
  </si>
  <si>
    <t>Frvgestioninmobiliaria</t>
  </si>
  <si>
    <t>UF 2.013 a 13.200</t>
  </si>
  <si>
    <t>Nsr Properties</t>
  </si>
  <si>
    <t>https://resources.mlstatic.com/classifieds_accounts/MLC_real_estate_agency/309172328_vip.jpg</t>
  </si>
  <si>
    <t>UF 4.250 a 25.500</t>
  </si>
  <si>
    <t>Casamagna Studio</t>
  </si>
  <si>
    <t>https://resources.mlstatic.com/classifieds_accounts/MLC_real_estate_agency/447068156_vip.png</t>
  </si>
  <si>
    <t>UF 1.147 a 25.000</t>
  </si>
  <si>
    <t>Dulcehogar Propiedades</t>
  </si>
  <si>
    <t>https://http2.mlstatic.com/storage/vis-accounts/55204476_vip-a7e7a99c-e113-4e6f-a2ca-a4b32756b1cd.jpg</t>
  </si>
  <si>
    <t>UF 5.290 a 14.995</t>
  </si>
  <si>
    <t>Century 21 Aprica</t>
  </si>
  <si>
    <t>https://http2.mlstatic.com/storage/vis-accounts/506841364_vip-45ad207c-6b59-4300-991d-9ea7bda52e8e.jpg</t>
  </si>
  <si>
    <t>UF 1.500 a 34.500</t>
  </si>
  <si>
    <t>Hozz Propiedades</t>
  </si>
  <si>
    <t>https://http2.mlstatic.com/storage/vis-accounts/428097991_vip-75198cde-638c-45a0-9913-c6f90c80a723.jpg</t>
  </si>
  <si>
    <t>UF 4.100 a 50.900</t>
  </si>
  <si>
    <t>Inmo_Y_Corretaje_Silvia_Cerda</t>
  </si>
  <si>
    <t>UF 2.166 a 3.850</t>
  </si>
  <si>
    <t>Gia Propiedades</t>
  </si>
  <si>
    <t>https://http2.mlstatic.com/storage/vis-accounts/151283900_vip-9e645f15-194e-4e52-b627-7fe0cd36161c.png</t>
  </si>
  <si>
    <t>UF 1.500 a 32.200</t>
  </si>
  <si>
    <t>Searle Propiedades</t>
  </si>
  <si>
    <t>https://resources.mlstatic.com/classifieds_accounts/MLC_real_estate_agency/357275407_vip.jpg</t>
  </si>
  <si>
    <t>UF 1.360 a 8.700</t>
  </si>
  <si>
    <t>Corredores De Propiedades Vifra</t>
  </si>
  <si>
    <t>UF 2.803 a 4.300</t>
  </si>
  <si>
    <t>Daniela Constanzo Bernardino</t>
  </si>
  <si>
    <t>https://http2.mlstatic.com/storage/vis-accounts/193086923_vip-9b727ac3-bf9c-4373-893f-0be7585a6914.jpg</t>
  </si>
  <si>
    <t>UF 7.990 a 16.990</t>
  </si>
  <si>
    <t>Llave Propiedades</t>
  </si>
  <si>
    <t>https://resources.mlstatic.com/classifieds_accounts/MLC_real_estate_agency/330122010_vip_v3.jpg</t>
  </si>
  <si>
    <t>UF 4.400 a 49.000</t>
  </si>
  <si>
    <t>Jaime Laucirica Cohn / Gestión Inmobiliaria</t>
  </si>
  <si>
    <t>https://resources.mlstatic.com/classifieds_accounts/MLC_real_estate_agency/330117791_vip_v3.jpg</t>
  </si>
  <si>
    <t>UF 2.590 a 40.000</t>
  </si>
  <si>
    <t>Brick Properties</t>
  </si>
  <si>
    <t>https://resources.mlstatic.com/classifieds_accounts/MLC_real_estate_agency/326087914_vip.jpg</t>
  </si>
  <si>
    <t>UF 1.360 a 21.990</t>
  </si>
  <si>
    <t>Johansen Propiedades Spa</t>
  </si>
  <si>
    <t>https://http2.mlstatic.com/storage/vis-accounts/261421758_vip-73450b63-855b-4476-9374-bd305e480d06.jpg</t>
  </si>
  <si>
    <t>UF 2.500 a 75.500</t>
  </si>
  <si>
    <t>Nativo Propiedades</t>
  </si>
  <si>
    <t>https://http2.mlstatic.com/storage/vis-accounts/213734907_vip-30fb016d-7a3b-4e46-826a-1fff126b39bf.jpg</t>
  </si>
  <si>
    <t>UF 1.274 a 46.500</t>
  </si>
  <si>
    <t>Like Propiedades</t>
  </si>
  <si>
    <t>https://resources.mlstatic.com/classifieds_accounts/MLC_real_estate_agency/417671112_vip_v2.jpg</t>
  </si>
  <si>
    <t>UF 1.425 a 22.500</t>
  </si>
  <si>
    <t>Spm Propiedades</t>
  </si>
  <si>
    <t>https://http2.mlstatic.com/storage/vis-accounts/377907447_vip-36955fe3-6b89-4848-b004-cffff3fac13b.jpg</t>
  </si>
  <si>
    <t>UF 1.907 a 11.467</t>
  </si>
  <si>
    <t>Arias&amp;Asociados</t>
  </si>
  <si>
    <t>UF 1.950 a 29.850</t>
  </si>
  <si>
    <t>Mau_Propiedades</t>
  </si>
  <si>
    <t>https://http2.mlstatic.com/storage/vis-accounts/60216726_vip-32b0d65c-0eb8-4249-9b73-7f99927854f0.png</t>
  </si>
  <si>
    <t>UF 2.250 a 19.900</t>
  </si>
  <si>
    <t>Demetrio Propiedades</t>
  </si>
  <si>
    <t>https://http2.mlstatic.com/storage/vis-accounts/241013525_vip-910cdbd0-60c0-45e1-8511-cfd4ad465d82.png</t>
  </si>
  <si>
    <t>UF 3.490 a 16.900</t>
  </si>
  <si>
    <t>Atipik Propiedades</t>
  </si>
  <si>
    <t>https://http2.mlstatic.com/storage/vis-accounts/354694027_vip-4c50cdc8-5467-4c66-a015-845e1dae01cd.png</t>
  </si>
  <si>
    <t>UF 5.400 a 19.500</t>
  </si>
  <si>
    <t>Kaulen Propiedades</t>
  </si>
  <si>
    <t>https://resources.mlstatic.com/classifieds_accounts/MLC_real_estate_agency/34757411_vip_v2.png</t>
  </si>
  <si>
    <t>UF 3.800 a 18.000</t>
  </si>
  <si>
    <t>De Mateo Propiedades</t>
  </si>
  <si>
    <t>https://resources.mlstatic.com/classifieds_accounts/MLC_real_estate_agency/478007501_vip.jpg</t>
  </si>
  <si>
    <t>UF 1.274 a 9.646</t>
  </si>
  <si>
    <t>Welt Propiedades Spa</t>
  </si>
  <si>
    <t>https://http2.mlstatic.com/storage/vis-accounts/224393634_vip-0abb99ef-ed59-4f0e-bab4-03eea14532d2.png</t>
  </si>
  <si>
    <t>UF 1.911 a 26.800</t>
  </si>
  <si>
    <t>Matos &amp; L. Propiedades</t>
  </si>
  <si>
    <t>https://resources.mlstatic.com/classifieds_accounts/MLC_real_estate_agency/401035207_vip.png</t>
  </si>
  <si>
    <t>UF 1.198 a 5.606</t>
  </si>
  <si>
    <t>Activo Inmobiliario</t>
  </si>
  <si>
    <t>https://resources.mlstatic.com/classifieds_accounts/MLC_real_estate_agency/311145009_vip.jpg</t>
  </si>
  <si>
    <t>UF 3.000 a 14.800</t>
  </si>
  <si>
    <t>Ana María Barraza Propiedades &amp; Relocation.</t>
  </si>
  <si>
    <t>https://resources.mlstatic.com/classifieds_accounts/MLC_real_estate_agency/281191420_vip_v3.jpg</t>
  </si>
  <si>
    <t>UF 7.950 a 26.200</t>
  </si>
  <si>
    <t>Hoffmann Heinsohn Propiedades</t>
  </si>
  <si>
    <t>https://http2.mlstatic.com/storage/vis-accounts/315739078_vip-9449bc71-e6a1-441a-bf96-8e3de6ccc5c2.jpg</t>
  </si>
  <si>
    <t>UF 3.260 a 3.260</t>
  </si>
  <si>
    <t>Kpra Propiedades</t>
  </si>
  <si>
    <t>https://resources.mlstatic.com/classifieds_accounts/MLC_real_estate_agency/338476034_vip.jpg</t>
  </si>
  <si>
    <t>UF 1.755 a 41.213</t>
  </si>
  <si>
    <t>Propiedades Dimetti</t>
  </si>
  <si>
    <t>https://resources.mlstatic.com/classifieds_accounts/MLC_real_estate_agency/315711782_vip.jpg</t>
  </si>
  <si>
    <t>UF 2.293 a 4.275</t>
  </si>
  <si>
    <t>Mat Gestión Inmobiliaria Spa</t>
  </si>
  <si>
    <t>https://resources.mlstatic.com/classifieds_accounts/MLC_real_estate_agency/132134822_vip_v2.jpg</t>
  </si>
  <si>
    <t>UF 4.250 a 11.000</t>
  </si>
  <si>
    <t>Vivirpro</t>
  </si>
  <si>
    <t>https://resources.mlstatic.com/classifieds_accounts/MLC_real_estate_agency/78224033_vip.jpg</t>
  </si>
  <si>
    <t>UF 2.500 a 8.130</t>
  </si>
  <si>
    <t>Orbis Gestión Inmobiliaria</t>
  </si>
  <si>
    <t>https://http2.mlstatic.com/storage/vis-accounts/32919005_vip-deb52d01-3f66-4442-be02-22a36bf03676.jpg</t>
  </si>
  <si>
    <t>UF 2.940 a 235.000</t>
  </si>
  <si>
    <t>Luengo Propiedades</t>
  </si>
  <si>
    <t>https://resources.mlstatic.com/classifieds_accounts/MLC_real_estate_agency/330121469_vip.jpg</t>
  </si>
  <si>
    <t>UF 3.695 a 20.386</t>
  </si>
  <si>
    <t>Doolan Propiedades</t>
  </si>
  <si>
    <t>https://http2.mlstatic.com/storage/vis-accounts/330117997_vip-3249157b-b7df-43b1-a0fc-b249bf2a4dd5.jpg</t>
  </si>
  <si>
    <t>UF 2.025 a 3.950</t>
  </si>
  <si>
    <t>Proventar Propiedades</t>
  </si>
  <si>
    <t>https://http2.mlstatic.com/storage/vis-accounts/247734680_vip-9bd2f2d9-17b7-4f85-a16d-66d885d8e000.jpg</t>
  </si>
  <si>
    <t>UF 2.497 a 10.300</t>
  </si>
  <si>
    <t>Torres Galté Propiedades</t>
  </si>
  <si>
    <t>https://http2.mlstatic.com/storage/vis-accounts/170940085_vip-6c608ed5-2dda-4882-8dfd-a03ee44b58fd.jpg</t>
  </si>
  <si>
    <t>UF 1.940 a 39.800</t>
  </si>
  <si>
    <t>Sirg Corretajes</t>
  </si>
  <si>
    <t>https://http2.mlstatic.com/storage/vis-accounts/186557864_vip-8902f9e9-ae42-4598-86e8-18cb09359c65.jpg</t>
  </si>
  <si>
    <t>UF 1.571 a 11.000</t>
  </si>
  <si>
    <t>Directo Propiedades</t>
  </si>
  <si>
    <t>https://http2.mlstatic.com/storage/vis-accounts/352531882_vip-8798542b-5969-4e09-971d-d1673ae5a16a.jpg</t>
  </si>
  <si>
    <t>UF 7.900 a 62.900</t>
  </si>
  <si>
    <t>Golden Propiedades</t>
  </si>
  <si>
    <t>https://resources.mlstatic.com/classifieds_accounts/MLC_real_estate_agency/330122811_vip_v3.JPG</t>
  </si>
  <si>
    <t>UF 2.900 a 120.000</t>
  </si>
  <si>
    <t>Metropolis Propiedades</t>
  </si>
  <si>
    <t>https://http2.mlstatic.com/storage/vis-accounts/154700909_vip-24251725-1e0c-468b-909d-f398370feb33.gif</t>
  </si>
  <si>
    <t>UF 2.400 a 168.925</t>
  </si>
  <si>
    <t>Sr Propiedades</t>
  </si>
  <si>
    <t>https://resources.mlstatic.com/classifieds_accounts/MLC_real_estate_agency/330123790_vip.png</t>
  </si>
  <si>
    <t>UF 3.350 a 67.500</t>
  </si>
  <si>
    <t>Andrassy Propiedades Spa</t>
  </si>
  <si>
    <t>https://resources.mlstatic.com/classifieds_accounts/MLC_real_estate_agency/330117011_vip.jpg</t>
  </si>
  <si>
    <t>UF 2.800 a 24.300</t>
  </si>
  <si>
    <t>Propiedades Tucasa.Cl</t>
  </si>
  <si>
    <t>https://resources.mlstatic.com/classifieds_accounts/MLC_real_estate_agency/330115755_vip_v3.png</t>
  </si>
  <si>
    <t>UF 1.198 a 32.000</t>
  </si>
  <si>
    <t>Steinsapir Stitchkin Propiedades</t>
  </si>
  <si>
    <t>https://http2.mlstatic.com/storage/vis-accounts/330118675_vip-0ea04e1c-4dd9-467f-a82f-fc3d72b0be0a.jpg</t>
  </si>
  <si>
    <t>UF 2.150 a 46.000</t>
  </si>
  <si>
    <t>Procruz Propiedades</t>
  </si>
  <si>
    <t>https://http2.mlstatic.com/storage/vis-accounts/309404897_vip-f5daf8c0-85cb-45b8-9ce5-9f7baf9dc210.png</t>
  </si>
  <si>
    <t>UF 2.421 a 6.000</t>
  </si>
  <si>
    <t>Ivonne Nercasseau Propiedades</t>
  </si>
  <si>
    <t>UF 1.529 a 11.467</t>
  </si>
  <si>
    <t>Correa &amp; Co Propiedades</t>
  </si>
  <si>
    <t>https://http2.mlstatic.com/storage/vis-accounts/349795254_vip-b756d5d6-8d39-4c0a-bc6c-745bdb452d88.png</t>
  </si>
  <si>
    <t>UF 7.800 a 68.000</t>
  </si>
  <si>
    <t>Merino Leppe Propiedades</t>
  </si>
  <si>
    <t>https://http2.mlstatic.com/storage/vis-accounts/143938031_vip-392b3e24-50f7-466a-8818-173992de0057.jpg</t>
  </si>
  <si>
    <t>UF 6.800 a 65.000</t>
  </si>
  <si>
    <t>Mas Propiedades</t>
  </si>
  <si>
    <t>https://http2.mlstatic.com/storage/vis-accounts/315781446_vip-937b4aec-9e84-4324-857d-f079988143a9.jpg</t>
  </si>
  <si>
    <t>UF 5.470 a 40.000</t>
  </si>
  <si>
    <t>Drina Poblete Gestion Y Servicios E.I.R.L.</t>
  </si>
  <si>
    <t>https://resources.mlstatic.com/classifieds_accounts/MLC_real_estate_agency/457242265_vip.jpg</t>
  </si>
  <si>
    <t>UF 2.200 a 7.650</t>
  </si>
  <si>
    <t>Abogada Piraino Propiedades</t>
  </si>
  <si>
    <t>https://http2.mlstatic.com/storage/vis-accounts/1127545736_vip-34c353a3-68ae-409e-b4f4-39ec83dafd85.jpg</t>
  </si>
  <si>
    <t>UF 1.750 a 6.150</t>
  </si>
  <si>
    <t>Alberto A. Lizana Hartgen</t>
  </si>
  <si>
    <t>https://http2.mlstatic.com/storage/vis-accounts/352564407_vip-8209bbec-ed43-4144-8072-cc19f6a6d637.jpg</t>
  </si>
  <si>
    <t>UF 3.400 a 18.000</t>
  </si>
  <si>
    <t>Mkt Propiedades</t>
  </si>
  <si>
    <t>https://http2.mlstatic.com/storage/vis-accounts/29203310_vip-eccfd09d-6274-454d-9f9f-bdc1fd120081.png</t>
  </si>
  <si>
    <t>UF 3.300 a 75.000</t>
  </si>
  <si>
    <t>Ahumadacarrascomarioleonardo</t>
  </si>
  <si>
    <t>UF 1.402 a 15.544</t>
  </si>
  <si>
    <t>Giannoni Humud Propiedades</t>
  </si>
  <si>
    <t>https://http2.mlstatic.com/storage/vis-accounts/135596822_vip-a4856a7d-f04b-4829-80e0-563c1b1a713b.jpg</t>
  </si>
  <si>
    <t>UF 1.490 a 27.700</t>
  </si>
  <si>
    <t>Alejandra Polidori</t>
  </si>
  <si>
    <t>https://http2.mlstatic.com/storage/vis-accounts/330121512_vip-20ba9b54-a7f8-483a-ac5a-3a9e792ccec8.png</t>
  </si>
  <si>
    <t>UF 1.274 a 17.500</t>
  </si>
  <si>
    <t>Peralta Propiedades</t>
  </si>
  <si>
    <t>https://resources.mlstatic.com/classifieds_accounts/MLC_real_estate_agency/330117452_vip.jpg</t>
  </si>
  <si>
    <t>UF 1.733 a 10.500</t>
  </si>
  <si>
    <t>Vitacura Brokers</t>
  </si>
  <si>
    <t>https://http2.mlstatic.com/storage/vis-accounts/457513954_vip-c95cf136-e84d-4e86-ab7c-82a5d2d20d92.png</t>
  </si>
  <si>
    <t>Dunamis Brokers</t>
  </si>
  <si>
    <t>https://resources.mlstatic.com/classifieds_accounts/MLC_real_estate_agency/300223946_vip.jpg</t>
  </si>
  <si>
    <t>UF 1.000 a 13.490</t>
  </si>
  <si>
    <t>Von Kunowsky Bienes Raíces</t>
  </si>
  <si>
    <t>https://http2.mlstatic.com/storage/vis-accounts/434842762_vip-560ab77f-5fcd-4bb8-8339-65bfede44d82.png</t>
  </si>
  <si>
    <t>UF 1.070 a 16.400</t>
  </si>
  <si>
    <t>Campo Urbano Propiedades Ltda.</t>
  </si>
  <si>
    <t>https://http2.mlstatic.com/storage/vis-accounts/352538072_vip-f1d7d29c-060b-46e1-8db7-4d0db9a67a87.png</t>
  </si>
  <si>
    <t>UF 2.150 a 19.700</t>
  </si>
  <si>
    <t>Management Inmobiliario</t>
  </si>
  <si>
    <t>https://resources.mlstatic.com/classifieds_accounts/MLC_real_estate_agency/330119801_vip.jpg</t>
  </si>
  <si>
    <t>UF 3.250 a 36.900</t>
  </si>
  <si>
    <t>Agentes Inmobiliarios Chile</t>
  </si>
  <si>
    <t>UF 2.550 a 5.490</t>
  </si>
  <si>
    <t>Suite Home</t>
  </si>
  <si>
    <t>UF 1.200 a 23.000</t>
  </si>
  <si>
    <t>C Y S Propiedades Providencia</t>
  </si>
  <si>
    <t>https://resources.mlstatic.com/classifieds_accounts/MLC_real_estate_agency/330198092_vip_v2.png</t>
  </si>
  <si>
    <t>UF 1.570 a 44.900</t>
  </si>
  <si>
    <t>Cym Propiedades</t>
  </si>
  <si>
    <t>https://http2.mlstatic.com/storage/vis-accounts/279164583_vip-88745e64-8522-4957-995d-b5fb718cabe8.png</t>
  </si>
  <si>
    <t>UF 4.500 a 44.500</t>
  </si>
  <si>
    <t>Fuenzalida Propiedades La Florida</t>
  </si>
  <si>
    <t>https://http2.mlstatic.com/storage/vis-accounts/352546715_vip-848b43fd-d095-45b4-8ec2-c96c008a2226.jpg</t>
  </si>
  <si>
    <t>UF 1.070 a 23.000</t>
  </si>
  <si>
    <t>Propiedades Jorquera Y Asociados Ltda.</t>
  </si>
  <si>
    <t>https://http2.mlstatic.com/storage/vis-accounts/173115208_vip-8785b21e-9cec-4112-989e-d1b354a12cf9.jpg</t>
  </si>
  <si>
    <t>UF 8.300 a 28.000</t>
  </si>
  <si>
    <t>Fuenzalida Propiedades La Reina</t>
  </si>
  <si>
    <t>https://http2.mlstatic.com/storage/vis-accounts/330116112_vip-4ca68bcb-96e8-432f-a67a-b5658445b047.jpg</t>
  </si>
  <si>
    <t>UF 1.100 a 61.157</t>
  </si>
  <si>
    <t>Hybrothers</t>
  </si>
  <si>
    <t>https://http2.mlstatic.com/storage/vis-accounts/698839060_vip-fed8bed7-7ab3-42d3-a8c6-fecce9b74a0e.jpg</t>
  </si>
  <si>
    <t>UF 1.600 a 13.500</t>
  </si>
  <si>
    <t>Enter House</t>
  </si>
  <si>
    <t>https://resources.mlstatic.com/classifieds_accounts/MLC_real_estate_agency/330114520_vip_v3.jpg</t>
  </si>
  <si>
    <t>UF 2.300 a 11.000</t>
  </si>
  <si>
    <t>M.Larraín Propiedades</t>
  </si>
  <si>
    <t>https://resources.mlstatic.com/classifieds_accounts/MLC_real_estate_agency/330199636_vip.gif</t>
  </si>
  <si>
    <t>UF 3.172 a 3.631</t>
  </si>
  <si>
    <t>Propiedades Maipo</t>
  </si>
  <si>
    <t>https://http2.mlstatic.com/storage/vis-accounts/227876555_vip-402646d6-bc71-48e7-b436-10ac28e540b6.gif</t>
  </si>
  <si>
    <t>UF 1.274 a 57.750</t>
  </si>
  <si>
    <t>Stephens Propiedades Ltda.</t>
  </si>
  <si>
    <t>https://http2.mlstatic.com/storage/vis-accounts/486386595_vip-812f2dfa-e401-424e-8921-a44058745cce.jpg</t>
  </si>
  <si>
    <t>UF 1.700 a 14.500</t>
  </si>
  <si>
    <t>Inmobiliaria Zoe</t>
  </si>
  <si>
    <t>https://http2.mlstatic.com/storage/vis-accounts/196565659_vip-559e0b83-d866-4ca8-a8f7-61badcc8b303.jpg</t>
  </si>
  <si>
    <t>UF 1.790 a 13.200</t>
  </si>
  <si>
    <t>Propiedades Sotomayor &amp; Cía</t>
  </si>
  <si>
    <t>https://http2.mlstatic.com/storage/vis-accounts/445570728_vip-1c068fa8-dc53-4bab-98a7-42067f413ff1.png</t>
  </si>
  <si>
    <t>UF 1.911 a 40.000</t>
  </si>
  <si>
    <t>Msinmobiliario</t>
  </si>
  <si>
    <t>https://resources.mlstatic.com/classifieds_accounts/MLC_real_estate_agency/257554148_vip_v2.jpg</t>
  </si>
  <si>
    <t>UF 1.402 a 48.000</t>
  </si>
  <si>
    <t>Uribarri Propiedades</t>
  </si>
  <si>
    <t>https://http2.mlstatic.com/storage/vis-accounts/276682604_vip-68872e76-fed7-4c0f-9778-261d3c06b43e.jpg</t>
  </si>
  <si>
    <t>UF 6.900 a 18.000</t>
  </si>
  <si>
    <t>Kreitton</t>
  </si>
  <si>
    <t>https://http2.mlstatic.com/storage/vis-accounts/164354342_vip-0010f15c-8a2f-46e2-a385-d1f29c617df4.jpg</t>
  </si>
  <si>
    <t>UF 866 a 15.990</t>
  </si>
  <si>
    <t>Punto Propiedades</t>
  </si>
  <si>
    <t>https://http2.mlstatic.com/storage/vis-accounts/144965582_vip-d0ff4296-828f-4740-8278-fe9f09c44980.jpg</t>
  </si>
  <si>
    <t>UF 841 a 22.500</t>
  </si>
  <si>
    <t>T Y T - Propiedades</t>
  </si>
  <si>
    <t>https://resources.mlstatic.com/classifieds_accounts/MLC_real_estate_agency/190132139_vip.jpg</t>
  </si>
  <si>
    <t>UF 2.890 a 22.900</t>
  </si>
  <si>
    <t>Anjarí Propiedades</t>
  </si>
  <si>
    <t>UF 1.200 a 11.000</t>
  </si>
  <si>
    <t>Koonex.Propiedades</t>
  </si>
  <si>
    <t>https://http2.mlstatic.com/storage/vis-accounts/1317383088_vip-7b0c0078-4578-456d-98ab-adaeb8986fd5.png</t>
  </si>
  <si>
    <t>UF 7.300 a 14.500</t>
  </si>
  <si>
    <t>Jparraguez Propiedades</t>
  </si>
  <si>
    <t>UF 3.650 a 15.100</t>
  </si>
  <si>
    <t>A&amp;C Propiedades</t>
  </si>
  <si>
    <t>https://http2.mlstatic.com/storage/vis-accounts/203881341_vip-681826b4-261a-4f25-a773-94b6e42ad0fc.jpg</t>
  </si>
  <si>
    <t>UF 2.390 a 9.200</t>
  </si>
  <si>
    <t>Cral Propiedades</t>
  </si>
  <si>
    <t>https://http2.mlstatic.com/storage/vis-accounts/275205956_vip-24ba18f5-e668-458b-8621-ad366f2b0cc2.jpg</t>
  </si>
  <si>
    <t>UF 8.154 a 18.400</t>
  </si>
  <si>
    <t>Tarekpropiedades</t>
  </si>
  <si>
    <t>https://http2.mlstatic.com/storage/vis-accounts/648928696_vip-0d913c60-4968-41de-8e6c-a91e07ede899.png</t>
  </si>
  <si>
    <t>UF 4.189 a 13.123</t>
  </si>
  <si>
    <t>Interpropiedades Ltda</t>
  </si>
  <si>
    <t>Inversiones Y Servicios Profesionales B&amp;C Spa</t>
  </si>
  <si>
    <t>UF 2.550 a 4.686</t>
  </si>
  <si>
    <t>Patricia Lavin Pacheco</t>
  </si>
  <si>
    <t>https://resources.mlstatic.com/classifieds_accounts/MLC_real_estate_agency/292684779_vip.jpg</t>
  </si>
  <si>
    <t>UF 2.013 a 27.000</t>
  </si>
  <si>
    <t>Lirasilviapassini</t>
  </si>
  <si>
    <t>UF 2.800 a 30.578</t>
  </si>
  <si>
    <t>Propiedades Dja</t>
  </si>
  <si>
    <t>https://http2.mlstatic.com/storage/vis-accounts/667513409_vip-b38cb3c5-3f93-4654-b473-5db75c8dc04d.png</t>
  </si>
  <si>
    <t>UF 3.500 a 6.600</t>
  </si>
  <si>
    <t>Fuenzalida Propiedades Costanera</t>
  </si>
  <si>
    <t>https://http2.mlstatic.com/storage/vis-accounts/330120941_vip-c23bd3d2-17f9-4305-9c6a-49750fb3cdef.jpg</t>
  </si>
  <si>
    <t>UF 1.165 a 29.000</t>
  </si>
  <si>
    <t>Aim</t>
  </si>
  <si>
    <t>https://resources.mlstatic.com/classifieds_accounts/MLC_real_estate_agency/330117778_vip.jpg</t>
  </si>
  <si>
    <t>UF 6.100 a 7.500</t>
  </si>
  <si>
    <t>Cobo Propiedades</t>
  </si>
  <si>
    <t>https://resources.mlstatic.com/classifieds_accounts/MLC_real_estate_agency/18952681_vip_v2.png</t>
  </si>
  <si>
    <t>UF 2.680 a 38.000</t>
  </si>
  <si>
    <t>Global Propiedades</t>
  </si>
  <si>
    <t>UF 3.400 a 17.900</t>
  </si>
  <si>
    <t>Rolyec</t>
  </si>
  <si>
    <t>https://http2.mlstatic.com/storage/vis-accounts/91512935_vip-b318a923-88ae-4a5b-b35f-ba84bd764bea.png</t>
  </si>
  <si>
    <t>UF 7.600 a 7.600</t>
  </si>
  <si>
    <t>Dedica Propiedades Limitada</t>
  </si>
  <si>
    <t>https://http2.mlstatic.com/storage/vis-accounts/315340024_vip-a9aa3a41-fa23-48df-843d-b23b42e51a87.png</t>
  </si>
  <si>
    <t>UF 1.700 a 11.530</t>
  </si>
  <si>
    <t>https://www,portalinmobiliario,com/static_assets/landing/campana/corredores/img/verde_claro,svg</t>
  </si>
  <si>
    <t>https://www,portalinmobiliario,com/static_assets/landing/campana/corredores/img/gris,svg</t>
  </si>
  <si>
    <t>Tramos_Prom_Propiedades</t>
  </si>
  <si>
    <t>Lina Ortiz  Gestión Inmobiliaria</t>
  </si>
  <si>
    <t>Amancay  Inmobiliaria</t>
  </si>
  <si>
    <t>2.Menor a 10 P</t>
  </si>
  <si>
    <t>3.Mayor a 10 P</t>
  </si>
  <si>
    <t>4.Mayor a 20 P</t>
  </si>
  <si>
    <t>5.Mayor a 40 P</t>
  </si>
  <si>
    <t>6.Mayor a 70 P</t>
  </si>
  <si>
    <t>7.Mayor a 100 P</t>
  </si>
  <si>
    <t>Cuenta de Tramos_Prom_Propiedades</t>
  </si>
  <si>
    <t>Q Planes 50 USD</t>
  </si>
  <si>
    <t>Venta Plan 50 USD</t>
  </si>
  <si>
    <t>Q Planes 30 USD</t>
  </si>
  <si>
    <t>Venta Plan 30 USD</t>
  </si>
  <si>
    <t>Escenario Moderarado Gestión Inmobiliaria</t>
  </si>
  <si>
    <t>Costo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</si>
</sst>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 &quot;$&quot;* #,##0_ ;_ &quot;$&quot;* \-#,##0_ ;_ &quot;$&quot;* &quot;-&quot;_ ;_ @_ "/>
    <numFmt numFmtId="164" formatCode="#,##0_ ;\-#,##0\ "/>
    <numFmt numFmtId="165" formatCode="[$$-340A]#,##0;[Red][$$-340A]\-#,##0"/>
    <numFmt numFmtId="166" formatCode="#,##0.0"/>
    <numFmt numFmtId="167" formatCode="0.0%"/>
    <numFmt numFmtId="168" formatCode="_ [$$-340A]* #,##0_ ;_ [$$-340A]* \-#,##0_ ;_ [$$-340A]* &quot;-&quot;_ ;_ @_ 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b/>
      <sz val="11"/>
      <color rgb="FF00B05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dashed">
        <color rgb="FF002060"/>
      </bottom>
      <diagonal/>
    </border>
    <border>
      <left style="thin">
        <color rgb="FF002060"/>
      </left>
      <right style="thin">
        <color rgb="FF002060"/>
      </right>
      <top style="dashed">
        <color rgb="FF002060"/>
      </top>
      <bottom style="dashed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dashed">
        <color rgb="FF002060"/>
      </top>
      <bottom/>
      <diagonal/>
    </border>
    <border>
      <left style="thin">
        <color rgb="FF002060"/>
      </left>
      <right style="thin">
        <color rgb="FF002060"/>
      </right>
      <top/>
      <bottom style="dashed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rgb="FF002060"/>
      </left>
      <right/>
      <top style="thick">
        <color rgb="FF002060"/>
      </top>
      <bottom style="medium">
        <color theme="0"/>
      </bottom>
      <diagonal/>
    </border>
    <border>
      <left/>
      <right/>
      <top style="thick">
        <color rgb="FF002060"/>
      </top>
      <bottom style="medium">
        <color theme="0"/>
      </bottom>
      <diagonal/>
    </border>
    <border>
      <left/>
      <right style="thick">
        <color rgb="FF002060"/>
      </right>
      <top style="thick">
        <color rgb="FF002060"/>
      </top>
      <bottom style="medium">
        <color theme="0"/>
      </bottom>
      <diagonal/>
    </border>
    <border>
      <left style="medium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0"/>
      </bottom>
      <diagonal/>
    </border>
    <border>
      <left/>
      <right/>
      <top style="medium">
        <color theme="4" tint="-0.24994659260841701"/>
      </top>
      <bottom style="medium">
        <color theme="0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4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9" fontId="0" fillId="0" borderId="0" xfId="1" applyFont="1"/>
    <xf numFmtId="42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42" fontId="7" fillId="0" borderId="0" xfId="0" applyNumberFormat="1" applyFont="1"/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3" fillId="0" borderId="0" xfId="0" applyFont="1" applyAlignment="1">
      <alignment horizontal="center" vertical="center" wrapText="1"/>
    </xf>
    <xf numFmtId="3" fontId="0" fillId="0" borderId="1" xfId="0" applyNumberFormat="1" applyBorder="1"/>
    <xf numFmtId="0" fontId="2" fillId="2" borderId="4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42" fontId="0" fillId="0" borderId="6" xfId="0" applyNumberFormat="1" applyBorder="1"/>
    <xf numFmtId="165" fontId="0" fillId="0" borderId="6" xfId="0" applyNumberFormat="1" applyBorder="1"/>
    <xf numFmtId="3" fontId="0" fillId="0" borderId="8" xfId="0" applyNumberFormat="1" applyBorder="1"/>
    <xf numFmtId="42" fontId="7" fillId="0" borderId="7" xfId="0" applyNumberFormat="1" applyFont="1" applyBorder="1"/>
    <xf numFmtId="165" fontId="0" fillId="0" borderId="8" xfId="0" applyNumberFormat="1" applyBorder="1"/>
    <xf numFmtId="165" fontId="0" fillId="0" borderId="9" xfId="0" applyNumberFormat="1" applyBorder="1"/>
    <xf numFmtId="165" fontId="3" fillId="0" borderId="7" xfId="0" applyNumberFormat="1" applyFont="1" applyBorder="1"/>
    <xf numFmtId="3" fontId="0" fillId="0" borderId="10" xfId="0" applyNumberFormat="1" applyBorder="1"/>
    <xf numFmtId="0" fontId="2" fillId="2" borderId="3" xfId="0" applyFont="1" applyFill="1" applyBorder="1" applyAlignment="1">
      <alignment horizontal="center" vertical="center" wrapText="1"/>
    </xf>
    <xf numFmtId="42" fontId="0" fillId="0" borderId="10" xfId="0" applyNumberFormat="1" applyBorder="1"/>
    <xf numFmtId="3" fontId="10" fillId="0" borderId="0" xfId="0" applyNumberFormat="1" applyFont="1"/>
    <xf numFmtId="9" fontId="3" fillId="0" borderId="0" xfId="1" applyFont="1"/>
    <xf numFmtId="166" fontId="0" fillId="0" borderId="1" xfId="0" applyNumberFormat="1" applyBorder="1" applyAlignment="1">
      <alignment horizontal="right"/>
    </xf>
    <xf numFmtId="0" fontId="4" fillId="0" borderId="0" xfId="0" applyFont="1"/>
    <xf numFmtId="0" fontId="11" fillId="0" borderId="2" xfId="0" applyFont="1" applyBorder="1"/>
    <xf numFmtId="0" fontId="11" fillId="0" borderId="5" xfId="0" applyFont="1" applyBorder="1"/>
    <xf numFmtId="0" fontId="11" fillId="0" borderId="6" xfId="0" applyFont="1" applyBorder="1"/>
    <xf numFmtId="42" fontId="11" fillId="0" borderId="6" xfId="0" applyNumberFormat="1" applyFont="1" applyBorder="1"/>
    <xf numFmtId="3" fontId="11" fillId="0" borderId="6" xfId="0" applyNumberFormat="1" applyFont="1" applyBorder="1"/>
    <xf numFmtId="3" fontId="11" fillId="0" borderId="8" xfId="0" applyNumberFormat="1" applyFont="1" applyBorder="1"/>
    <xf numFmtId="0" fontId="11" fillId="0" borderId="0" xfId="0" applyFont="1"/>
    <xf numFmtId="3" fontId="8" fillId="0" borderId="5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6" xfId="0" applyFont="1" applyBorder="1" applyAlignment="1">
      <alignment vertical="center"/>
    </xf>
    <xf numFmtId="3" fontId="8" fillId="0" borderId="6" xfId="0" applyNumberFormat="1" applyFont="1" applyBorder="1" applyAlignment="1">
      <alignment vertical="center"/>
    </xf>
    <xf numFmtId="42" fontId="11" fillId="0" borderId="6" xfId="0" applyNumberFormat="1" applyFont="1" applyBorder="1" applyAlignment="1">
      <alignment vertical="center"/>
    </xf>
    <xf numFmtId="42" fontId="8" fillId="0" borderId="6" xfId="0" applyNumberFormat="1" applyFont="1" applyBorder="1" applyAlignment="1">
      <alignment vertical="center"/>
    </xf>
    <xf numFmtId="42" fontId="11" fillId="0" borderId="0" xfId="0" applyNumberFormat="1" applyFont="1" applyAlignment="1">
      <alignment vertical="center"/>
    </xf>
    <xf numFmtId="42" fontId="0" fillId="0" borderId="0" xfId="0" applyNumberFormat="1" applyAlignment="1">
      <alignment vertical="center"/>
    </xf>
    <xf numFmtId="3" fontId="11" fillId="0" borderId="6" xfId="0" applyNumberFormat="1" applyFont="1" applyBorder="1" applyAlignment="1">
      <alignment vertical="center"/>
    </xf>
    <xf numFmtId="3" fontId="11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3" fontId="11" fillId="0" borderId="8" xfId="0" applyNumberFormat="1" applyFont="1" applyBorder="1" applyAlignment="1">
      <alignment vertical="center"/>
    </xf>
    <xf numFmtId="3" fontId="8" fillId="0" borderId="8" xfId="0" applyNumberFormat="1" applyFont="1" applyBorder="1" applyAlignment="1">
      <alignment vertical="center"/>
    </xf>
    <xf numFmtId="42" fontId="12" fillId="0" borderId="7" xfId="0" applyNumberFormat="1" applyFont="1" applyBorder="1" applyAlignment="1">
      <alignment vertical="center"/>
    </xf>
    <xf numFmtId="42" fontId="12" fillId="0" borderId="0" xfId="0" applyNumberFormat="1" applyFont="1" applyAlignment="1">
      <alignment vertical="center"/>
    </xf>
    <xf numFmtId="42" fontId="7" fillId="0" borderId="0" xfId="0" applyNumberFormat="1" applyFont="1" applyAlignment="1">
      <alignment vertical="center"/>
    </xf>
    <xf numFmtId="165" fontId="11" fillId="0" borderId="6" xfId="0" applyNumberFormat="1" applyFont="1" applyBorder="1" applyAlignment="1">
      <alignment vertical="center"/>
    </xf>
    <xf numFmtId="165" fontId="8" fillId="0" borderId="6" xfId="0" applyNumberFormat="1" applyFont="1" applyBorder="1" applyAlignment="1">
      <alignment vertical="center"/>
    </xf>
    <xf numFmtId="165" fontId="11" fillId="0" borderId="8" xfId="0" applyNumberFormat="1" applyFont="1" applyBorder="1" applyAlignment="1">
      <alignment vertical="center"/>
    </xf>
    <xf numFmtId="165" fontId="8" fillId="0" borderId="8" xfId="0" applyNumberFormat="1" applyFont="1" applyBorder="1" applyAlignment="1">
      <alignment vertical="center"/>
    </xf>
    <xf numFmtId="165" fontId="8" fillId="0" borderId="7" xfId="0" applyNumberFormat="1" applyFont="1" applyBorder="1" applyAlignment="1">
      <alignment vertical="center"/>
    </xf>
    <xf numFmtId="165" fontId="11" fillId="0" borderId="9" xfId="0" applyNumberFormat="1" applyFont="1" applyBorder="1" applyAlignment="1">
      <alignment vertical="center"/>
    </xf>
    <xf numFmtId="165" fontId="8" fillId="0" borderId="9" xfId="0" applyNumberFormat="1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42" fontId="8" fillId="0" borderId="7" xfId="0" applyNumberFormat="1" applyFont="1" applyBorder="1" applyAlignment="1">
      <alignment vertical="center"/>
    </xf>
    <xf numFmtId="9" fontId="8" fillId="0" borderId="7" xfId="1" applyFont="1" applyBorder="1" applyAlignment="1">
      <alignment vertical="center"/>
    </xf>
    <xf numFmtId="0" fontId="8" fillId="0" borderId="7" xfId="0" applyFont="1" applyBorder="1" applyAlignment="1">
      <alignment vertical="center"/>
    </xf>
    <xf numFmtId="3" fontId="8" fillId="0" borderId="7" xfId="0" applyNumberFormat="1" applyFont="1" applyBorder="1" applyAlignment="1">
      <alignment vertical="center"/>
    </xf>
    <xf numFmtId="0" fontId="11" fillId="3" borderId="6" xfId="0" applyFont="1" applyFill="1" applyBorder="1"/>
    <xf numFmtId="3" fontId="8" fillId="3" borderId="6" xfId="0" applyNumberFormat="1" applyFont="1" applyFill="1" applyBorder="1" applyAlignment="1">
      <alignment vertical="center"/>
    </xf>
    <xf numFmtId="165" fontId="3" fillId="0" borderId="15" xfId="0" applyNumberFormat="1" applyFont="1" applyBorder="1"/>
    <xf numFmtId="165" fontId="3" fillId="0" borderId="16" xfId="0" applyNumberFormat="1" applyFont="1" applyBorder="1"/>
    <xf numFmtId="165" fontId="3" fillId="0" borderId="14" xfId="0" applyNumberFormat="1" applyFont="1" applyBorder="1"/>
    <xf numFmtId="0" fontId="14" fillId="4" borderId="17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3" fontId="13" fillId="4" borderId="17" xfId="0" applyNumberFormat="1" applyFont="1" applyFill="1" applyBorder="1" applyAlignment="1">
      <alignment horizontal="center" vertical="center"/>
    </xf>
    <xf numFmtId="166" fontId="13" fillId="4" borderId="17" xfId="0" applyNumberFormat="1" applyFont="1" applyFill="1" applyBorder="1" applyAlignment="1">
      <alignment horizontal="center" vertical="center"/>
    </xf>
    <xf numFmtId="168" fontId="13" fillId="4" borderId="17" xfId="0" applyNumberFormat="1" applyFont="1" applyFill="1" applyBorder="1" applyAlignment="1">
      <alignment horizontal="center" vertical="center"/>
    </xf>
    <xf numFmtId="168" fontId="0" fillId="0" borderId="0" xfId="0" applyNumberFormat="1"/>
    <xf numFmtId="168" fontId="13" fillId="4" borderId="0" xfId="0" applyNumberFormat="1" applyFont="1" applyFill="1" applyAlignment="1">
      <alignment horizontal="center" vertical="center"/>
    </xf>
    <xf numFmtId="42" fontId="0" fillId="0" borderId="21" xfId="0" applyNumberFormat="1" applyBorder="1"/>
    <xf numFmtId="167" fontId="11" fillId="0" borderId="6" xfId="1" applyNumberFormat="1" applyFont="1" applyBorder="1" applyAlignment="1">
      <alignment vertical="center"/>
    </xf>
    <xf numFmtId="167" fontId="8" fillId="0" borderId="6" xfId="1" applyNumberFormat="1" applyFont="1" applyBorder="1" applyAlignment="1">
      <alignment vertical="center"/>
    </xf>
    <xf numFmtId="9" fontId="11" fillId="0" borderId="6" xfId="0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164" fontId="15" fillId="0" borderId="5" xfId="0" applyNumberFormat="1" applyFont="1" applyBorder="1" applyAlignment="1">
      <alignment vertical="center"/>
    </xf>
    <xf numFmtId="3" fontId="9" fillId="0" borderId="5" xfId="0" applyNumberFormat="1" applyFont="1" applyBorder="1" applyAlignment="1">
      <alignment vertical="center"/>
    </xf>
    <xf numFmtId="9" fontId="15" fillId="0" borderId="6" xfId="0" applyNumberFormat="1" applyFont="1" applyBorder="1" applyAlignment="1">
      <alignment vertical="center"/>
    </xf>
    <xf numFmtId="9" fontId="9" fillId="0" borderId="6" xfId="0" applyNumberFormat="1" applyFont="1" applyBorder="1" applyAlignment="1">
      <alignment vertical="center"/>
    </xf>
    <xf numFmtId="3" fontId="15" fillId="0" borderId="8" xfId="0" applyNumberFormat="1" applyFont="1" applyBorder="1" applyAlignment="1">
      <alignment vertical="center"/>
    </xf>
    <xf numFmtId="3" fontId="9" fillId="0" borderId="6" xfId="0" applyNumberFormat="1" applyFont="1" applyBorder="1" applyAlignment="1">
      <alignment vertical="center"/>
    </xf>
    <xf numFmtId="9" fontId="11" fillId="0" borderId="8" xfId="1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165" fontId="8" fillId="0" borderId="15" xfId="0" applyNumberFormat="1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9" fontId="8" fillId="0" borderId="14" xfId="1" applyFont="1" applyBorder="1" applyAlignment="1">
      <alignment vertical="center"/>
    </xf>
    <xf numFmtId="165" fontId="8" fillId="0" borderId="14" xfId="0" applyNumberFormat="1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9" fontId="8" fillId="0" borderId="16" xfId="1" applyFont="1" applyBorder="1" applyAlignment="1">
      <alignment vertical="center"/>
    </xf>
    <xf numFmtId="9" fontId="11" fillId="0" borderId="8" xfId="0" applyNumberFormat="1" applyFont="1" applyBorder="1" applyAlignment="1">
      <alignment vertic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3" fontId="9" fillId="0" borderId="11" xfId="0" applyNumberFormat="1" applyFont="1" applyBorder="1" applyAlignment="1">
      <alignment horizontal="center"/>
    </xf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B62A6AEB-10D4-46A4-82C4-EF3E5BD58D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Ingresos Anuales vs Margen</a:t>
            </a:r>
          </a:p>
        </c:rich>
      </c:tx>
      <c:layout>
        <c:manualLayout>
          <c:xMode val="edge"/>
          <c:yMode val="edge"/>
          <c:x val="2.2861111111111082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9971183946326171"/>
          <c:y val="0.19245509823104093"/>
          <c:w val="0.71480419550228691"/>
          <c:h val="0.686626891900940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'Resumen_P&amp;G'!$A$16</c:f>
              <c:strCache>
                <c:ptCount val="1"/>
                <c:pt idx="0">
                  <c:v> Ingresos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'Resumen_P&amp;G'!$B$2:$C$2</c:f>
              <c:strCache>
                <c:ptCount val="2"/>
                <c:pt idx="0">
                  <c:v>16 Rollos</c:v>
                </c:pt>
                <c:pt idx="1">
                  <c:v>24 Rollos</c:v>
                </c:pt>
              </c:strCache>
            </c:strRef>
          </c:cat>
          <c:val>
            <c:numRef>
              <c:f>('Resumen_P&amp;G'!$B$16,'Resumen_P&amp;G'!$E$16)</c:f>
              <c:numCache>
                <c:formatCode>_("$"* #,##0_);_("$"* \(#,##0\);_("$"* "-"_);_(@_)</c:formatCode>
                <c:ptCount val="2"/>
                <c:pt idx="0">
                  <c:v>193164946.4555338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F-4469-88C7-377A16147A55}"/>
            </c:ext>
          </c:extLst>
        </c:ser>
        <c:ser>
          <c:idx val="2"/>
          <c:order val="2"/>
          <c:tx>
            <c:strRef>
              <c:f>'Resumen_P&amp;G'!$A$25</c:f>
              <c:strCache>
                <c:ptCount val="1"/>
                <c:pt idx="0">
                  <c:v>MB $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'Resumen_P&amp;G'!$B$2:$C$2</c:f>
              <c:strCache>
                <c:ptCount val="2"/>
                <c:pt idx="0">
                  <c:v>16 Rollos</c:v>
                </c:pt>
                <c:pt idx="1">
                  <c:v>24 Rollos</c:v>
                </c:pt>
              </c:strCache>
            </c:strRef>
          </c:cat>
          <c:val>
            <c:numRef>
              <c:f>('Resumen_P&amp;G'!$B$25,'Resumen_P&amp;G'!$E$25)</c:f>
              <c:numCache>
                <c:formatCode>[$$-340A]#,##0;[Red][$$-340A]\-#,##0</c:formatCode>
                <c:ptCount val="2"/>
                <c:pt idx="0">
                  <c:v>68865979.182213545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5F-4469-88C7-377A16147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350159024"/>
        <c:axId val="1350159504"/>
      </c:barChart>
      <c:lineChart>
        <c:grouping val="standard"/>
        <c:varyColors val="0"/>
        <c:ser>
          <c:idx val="1"/>
          <c:order val="1"/>
          <c:tx>
            <c:strRef>
              <c:f>'Resumen_P&amp;G'!$A$26</c:f>
              <c:strCache>
                <c:ptCount val="1"/>
                <c:pt idx="0">
                  <c:v> MB %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  <a:tailEnd type="stealth" w="med" len="lg"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'Resumen_P&amp;G'!$B$2:$C$2</c:f>
              <c:strCache>
                <c:ptCount val="2"/>
                <c:pt idx="0">
                  <c:v>16 Rollos</c:v>
                </c:pt>
                <c:pt idx="1">
                  <c:v>24 Rollos</c:v>
                </c:pt>
              </c:strCache>
            </c:strRef>
          </c:cat>
          <c:val>
            <c:numRef>
              <c:f>('Resumen_P&amp;G'!$B$26,'Resumen_P&amp;G'!$E$26)</c:f>
              <c:numCache>
                <c:formatCode>0%</c:formatCode>
                <c:ptCount val="2"/>
                <c:pt idx="0">
                  <c:v>0.35651385225872934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5F-4469-88C7-377A16147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2619679"/>
        <c:axId val="1862618239"/>
      </c:lineChart>
      <c:catAx>
        <c:axId val="135015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50159504"/>
        <c:crosses val="autoZero"/>
        <c:auto val="1"/>
        <c:lblAlgn val="ctr"/>
        <c:lblOffset val="100"/>
        <c:noMultiLvlLbl val="0"/>
      </c:catAx>
      <c:valAx>
        <c:axId val="135015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50159024"/>
        <c:crosses val="autoZero"/>
        <c:crossBetween val="between"/>
      </c:valAx>
      <c:valAx>
        <c:axId val="186261823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62619679"/>
        <c:crosses val="max"/>
        <c:crossBetween val="between"/>
      </c:valAx>
      <c:catAx>
        <c:axId val="18626196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2618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811568988487974"/>
          <c:y val="8.2468017135922889E-2"/>
          <c:w val="0.4740238309204976"/>
          <c:h val="6.2642218213927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24680E4-7AF6-4092-953C-5C27F40263BA}" formatIdx="0">
          <cx:tx>
            <cx:txData>
              <cx:f>_xlchart.v1.0</cx:f>
              <cx:v>numero_propiedades_en_venta 6 6 10 3 4 7 25 8 5 5 10 7 37 42 96 28 4 279 15 12 7 5 10 152 11 29 34 8 178 134 70 5 54 11 98 56 51 52 168 1 8 144 147 482 25 47 8 3 98 94 16 41 104 15 87 23 22 143 264 25 383 103 1 30 6 18 114 123 387 26 239 2 5 79 9 86 72 10 9 55 10 131 196 95 465 23 7 243 9 3 7 15 4 83 3 6 59 79 23 472 7 16 59 31 376 20 14 145 363 11 8 108 14 68 99 98 16 46 56 580 5 53 1335 6 1277 7 119 23 50 233 3 14 90 34 8 169 51 53 101 95 132 122 14 190 71 227 15 16 247 12 244 6 86 7 23 63 430 14 10 45 41 96 195 12 6 21 72 7 47 143 4 33 142 254 1155 16 17 11 22 199 1291 21 64 67 31 6537 14 50 8 58 11 46 182 184 11 29 44 34 116 29 19 119 2 13 3 10 249 8 8 288 25 1752 1 44 65 96 62 23 99 170 35 14 52 150 8 14 8 50 19 71 9 18 22 17 18 9 28 61 72 34 3 39 6 10 24 7 7 8 14 6 3 1 26 15 43 26 9 15 96 12 2 32 6 3 10 4 7 52 54 10 12 17 8 90 61 13 20 8 9 7 14 53 29 16 3 62 5 1 3 2 2 9 7 5 44 20 27 5 5 8 6 26 4 8 14 6 5 14 16 153 2 33 47 10 2 7 15 85 16 3 14 56 18 14 8 34 20 11 30 3 5 15 18 35 17 26 3 67 25 4 3 7 49 11 20 20 31 20 6 5 9 18 1 11 2 7 6 14 2 10 16 23 4 6 1 32 7 12 9 6 3 10 6 21 12 6 5 27 7 10 22 2 5 5 15 1 7 3 45 21 12 12 29 2 4 1 29 9 2 15 7 6 9 12 9 22 8 2 44 4 3 173 26 14 9 3 3 6 7 7 7 1 57 13 11 8 17 4 14 3 26 16 13 16 8 45 2 22 83 4 30 5 51 23 41 17 4 21 4 130 15 3 50 59 19 46 27 1 5 10 7 151 5 22 3 5 53 12 6 6 1 4 40 6 55 7 87 36 13 20 28 28 7 17 46 18 14 8 4 5 6 18 15 18 9 19 18 33 63 14 20 10 18 4 3 33 22 31 9 3 3 11 6 74 2 3 106 3 6 44 2 3 36 25 11 31 5 10 10 9 22 206 12 46 16 14 154 427 18 46 155 16 8 24 20 8 84 3 17 8 11 5 1 5 25 12 8 5 16 13 9 80 5 14 84 27 3 10 11 40 151 92 10 10 40 6 6 76 11 4 4 2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518583</xdr:colOff>
      <xdr:row>5</xdr:row>
      <xdr:rowOff>57149</xdr:rowOff>
    </xdr:from>
    <xdr:to>
      <xdr:col>12</xdr:col>
      <xdr:colOff>670278</xdr:colOff>
      <xdr:row>24</xdr:row>
      <xdr:rowOff>134054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F64716F8-EF7C-71C0-129E-0223EE780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428625</xdr:colOff>
      <xdr:row>829</xdr:row>
      <xdr:rowOff>76200</xdr:rowOff>
    </xdr:from>
    <xdr:to>
      <xdr:col>20</xdr:col>
      <xdr:colOff>428625</xdr:colOff>
      <xdr:row>843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4D55622-D679-CAB9-1B2C-A42C1DC8AF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99750" y="158000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24_Modelo_Feel_Paper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486.765263657406" createdVersion="8" refreshedVersion="8" minRefreshableVersion="3" recordCount="96" xr:uid="{6E888F15-F4AB-4309-B764-70F8B2A99EA3}">
  <cacheSource type="worksheet">
    <worksheetSource ref="A1:E97" sheet="Dato_x_Región" r:id="rId2"/>
  </cacheSource>
  <cacheFields count="5">
    <cacheField name="Unidad territorial" numFmtId="0">
      <sharedItems count="16">
        <s v="Región De Arica Y Parinacota"/>
        <s v="Región De Tarapacá"/>
        <s v="Región De Antofagasta"/>
        <s v="Región De Atacama"/>
        <s v="Región De Coquimbo"/>
        <s v="Región De Valparaíso"/>
        <s v="Región Metropolitana De Santiago"/>
        <s v="Región Del Libertador Gral. Bernardo O'higgins"/>
        <s v="Región Del Maule"/>
        <s v="Región del Ñuble"/>
        <s v="Región Del Biobío"/>
        <s v="Región De La Araucanía"/>
        <s v="Región De Los Ríos"/>
        <s v="Región De Los Lagos"/>
        <s v="Región De Aysén Del Gral. Carlos Ibáñez Del Campo"/>
        <s v="Región De Magallanes Y De La Antártica Chilena"/>
      </sharedItems>
    </cacheField>
    <cacheField name=" Variable" numFmtId="0">
      <sharedItems count="6">
        <s v=" Hombre"/>
        <s v=" Mujer"/>
        <s v=" Población total"/>
        <s v=" Población  de 0 a 14 años"/>
        <s v=" Población  de 15 a 64 años"/>
        <s v=" Población de 65 años o mas"/>
      </sharedItems>
    </cacheField>
    <cacheField name=" 2024" numFmtId="0">
      <sharedItems/>
    </cacheField>
    <cacheField name="punto" numFmtId="0">
      <sharedItems containsSemiMixedTypes="0" containsString="0" containsNumber="1" containsInteger="1" minValue="7" maxValue="9"/>
    </cacheField>
    <cacheField name="2024 Fin" numFmtId="3">
      <sharedItems containsSemiMixedTypes="0" containsString="0" containsNumber="1" containsInteger="1" minValue="13495" maxValue="84207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486.776558333331" createdVersion="8" refreshedVersion="8" minRefreshableVersion="3" recordCount="2178" xr:uid="{A74009D4-51F1-451E-9C95-C2388E51C02D}">
  <cacheSource type="worksheet">
    <worksheetSource ref="B1:G2179" sheet="Poblacion_x_Comuna"/>
  </cacheSource>
  <cacheFields count="6">
    <cacheField name="Región" numFmtId="0">
      <sharedItems count="17">
        <s v="Total Chile"/>
        <s v="Región De Arica Y Parinacota"/>
        <s v="Región De Tarapacá"/>
        <s v="Región De Antofagasta"/>
        <s v="Región De Atacama"/>
        <s v="Región De Coquimbo"/>
        <s v="Región De Valparaíso"/>
        <s v="Región Metropolitana De Santiago"/>
        <s v="Región Del Libertador Gral. Bernardo O'higgins"/>
        <s v="Región Del Maule"/>
        <s v="Región del Ñuble"/>
        <s v="Región Del Biobío"/>
        <s v="Región De La Araucanía"/>
        <s v="Región De Los Ríos"/>
        <s v="Región De Los Lagos"/>
        <s v="Región De Aysén Del Gral. Carlos Ibáñez Del Campo"/>
        <s v="Región De Magallanes Y De La Antártica Chilena"/>
      </sharedItems>
    </cacheField>
    <cacheField name="Unidad territorial" numFmtId="0">
      <sharedItems count="363">
        <s v="Chile"/>
        <s v="Región De Arica Y Parinacota"/>
        <s v="General Lagos (Región de Arica y Parinacota)"/>
        <s v="Putre (Región de Arica y Parinacota)"/>
        <s v="Arica (Región de Arica y Parinacota)"/>
        <s v="Camarones (Región de Arica y Parinacota)"/>
        <s v="Región De Tarapacá"/>
        <s v="Colchane"/>
        <s v="Camiña"/>
        <s v="Huara"/>
        <s v="Iquique"/>
        <s v="Pozo Almonte"/>
        <s v="Alto Hospicio"/>
        <s v="Pica"/>
        <s v="Región De Antofagasta"/>
        <s v="Ollagüe"/>
        <s v="Tocopilla"/>
        <s v="María Elena"/>
        <s v="Calama"/>
        <s v="Sierra Gorda"/>
        <s v="San Pedro De Atacama"/>
        <s v="Mejillones"/>
        <s v="Antofagasta"/>
        <s v="Taltal"/>
        <s v="Región De Atacama"/>
        <s v="Chañaral"/>
        <s v="Diego De Almagro"/>
        <s v="Caldera"/>
        <s v="Copiapó"/>
        <s v="Tierra Amarilla"/>
        <s v="Huasco"/>
        <s v="Freirina"/>
        <s v="Vallenar"/>
        <s v="Alto Del Carmen"/>
        <s v="Región De Coquimbo"/>
        <s v="La Higuera"/>
        <s v="La Serena"/>
        <s v="Coquimbo"/>
        <s v="Paiguano"/>
        <s v="Vicuña"/>
        <s v="Andacollo"/>
        <s v="Río Hurtado"/>
        <s v="Ovalle"/>
        <s v="Monte Patria"/>
        <s v="Punitaqui"/>
        <s v="Combarbalá"/>
        <s v="Canela"/>
        <s v="Illapel"/>
        <s v="Salamanca"/>
        <s v="Los Vilos"/>
        <s v="Región De Valparaíso"/>
        <s v="Isla De Pascua"/>
        <s v="Petorca"/>
        <s v="Cabildo"/>
        <s v="La Ligua"/>
        <s v="Papudo"/>
        <s v="Zapallar"/>
        <s v="Putaendo"/>
        <s v="Puchuncaví"/>
        <s v="Nogales"/>
        <s v="Santa María"/>
        <s v="San Felipe"/>
        <s v="Panquehue"/>
        <s v="Catemu"/>
        <s v="Quintero"/>
        <s v="Calera"/>
        <s v="Hijuelas"/>
        <s v="San Esteban"/>
        <s v="La Cruz"/>
        <s v="Los Andes"/>
        <s v="Llaillay"/>
        <s v="Rinconada"/>
        <s v="Calle Larga"/>
        <s v="Quillota"/>
        <s v="Concón"/>
        <s v="Olmué"/>
        <s v="Limache"/>
        <s v="Viña Del Mar"/>
        <s v="Valparaíso"/>
        <s v="Villa Alemana"/>
        <s v="Quilpué"/>
        <s v="Casablanca"/>
        <s v="Algarrobo"/>
        <s v="El Quisco"/>
        <s v="El Tabo"/>
        <s v="Cartagena"/>
        <s v="Juan Fernández"/>
        <s v="Santo Domingo"/>
        <s v="San Antonio"/>
        <s v="Región Metropolitana De Santiago"/>
        <s v="Tiltil"/>
        <s v="Colina"/>
        <s v="Lampa"/>
        <s v="Lo Barnechea"/>
        <s v="Quilicura"/>
        <s v="Huechuraba"/>
        <s v="Conchalí"/>
        <s v="Vitacura"/>
        <s v="Curacaví"/>
        <s v="Renca"/>
        <s v="Recoleta"/>
        <s v="Independencia"/>
        <s v="Las Condes"/>
        <s v="Cerro Navia"/>
        <s v="Quinta Normal"/>
        <s v="Providencia"/>
        <s v="Pudahuel"/>
        <s v="La Reina"/>
        <s v="Lo Prado"/>
        <s v="Santiago"/>
        <s v="Ñuñoa"/>
        <s v="Estación Central"/>
        <s v="Peñalolén"/>
        <s v="Macul"/>
        <s v="Pedro Aguirre Cerda"/>
        <s v="San Joaquín"/>
        <s v="San Miguel"/>
        <s v="Cerrillos"/>
        <s v="Maipú"/>
        <s v="María Pinto"/>
        <s v="Lo Espejo"/>
        <s v="La Florida"/>
        <s v="La Cisterna"/>
        <s v="La Granja"/>
        <s v="San Ramón"/>
        <s v="El Bosque"/>
        <s v="Padre Hurtado"/>
        <s v="La Pintana"/>
        <s v="San Bernardo"/>
        <s v="Puente Alto"/>
        <s v="Peñaflor"/>
        <s v="Calera De Tango"/>
        <s v="Pirque"/>
        <s v="San José De Maipo"/>
        <s v="Talagante"/>
        <s v="El Monte"/>
        <s v="Melipilla"/>
        <s v="Buin"/>
        <s v="Isla De Maipo"/>
        <s v="Paine"/>
        <s v="San Pedro"/>
        <s v="Alhué"/>
        <s v="Región Del Libertador Gral. Bernardo O'higgins"/>
        <s v="Navidad"/>
        <s v="Mostazal"/>
        <s v="Codegua"/>
        <s v="Graneros"/>
        <s v="Litueche"/>
        <s v="Rancagua"/>
        <s v="Machalí"/>
        <s v="Doñihue"/>
        <s v="La Estrella"/>
        <s v="Olivar"/>
        <s v="Coinco"/>
        <s v="Requínoa"/>
        <s v="Las Cabras"/>
        <s v="Coltauco"/>
        <s v="Quinta De Tilcoco"/>
        <s v="Pichidegua"/>
        <s v="Peumo"/>
        <s v="Pichilemu"/>
        <s v="Marchihue"/>
        <s v="Rengo"/>
        <s v="San Vicente"/>
        <s v="Malloa"/>
        <s v="Peralillo"/>
        <s v="Palmilla"/>
        <s v="San Fernando"/>
        <s v="Pumanque"/>
        <s v="Placilla"/>
        <s v="Santa Cruz"/>
        <s v="Paredones"/>
        <s v="Nancagua"/>
        <s v="Chimbarongo"/>
        <s v="Lolol"/>
        <s v="Chépica"/>
        <s v="Región Del Maule"/>
        <s v="Teno"/>
        <s v="Vichuquén"/>
        <s v="Rauco"/>
        <s v="Romeral"/>
        <s v="Hualañé"/>
        <s v="Curicó"/>
        <s v="Licantén"/>
        <s v="Sagrada Familia"/>
        <s v="Curepto"/>
        <s v="Molina"/>
        <s v="Río Claro"/>
        <s v="San Rafael"/>
        <s v="Constitución"/>
        <s v="Pelarco"/>
        <s v="Pencahue"/>
        <s v="Talca"/>
        <s v="Maule"/>
        <s v="San Clemente"/>
        <s v="Empedrado"/>
        <s v="San Javier"/>
        <s v="Villa Alegre"/>
        <s v="Colbún"/>
        <s v="Chanco"/>
        <s v="Yerbas Buenas"/>
        <s v="Pelluhue"/>
        <s v="Linares"/>
        <s v="Longaví"/>
        <s v="Cauquenes"/>
        <s v="Retiro"/>
        <s v="Parral"/>
        <s v="Región del Ñuble"/>
        <s v="Cobquecura (Región del Ñuble)"/>
        <s v="Quirihue (Región del Ñuble)"/>
        <s v="Ñiquén (Región del Ñuble)"/>
        <s v="Ninhue (Región del Ñuble)"/>
        <s v="San Carlos (Región del Ñuble)"/>
        <s v="Treguaco (Región del Ñuble)"/>
        <s v="Coelemu (Región del Ñuble)"/>
        <s v="San Nicolás (Región del Ñuble)"/>
        <s v="Portezuelo (Región del Ñuble)"/>
        <s v="San Fabián (Región del Ñuble)"/>
        <s v="Chillán (Región del Ñuble)"/>
        <s v="Coihueco (Región del Ñuble)"/>
        <s v="Chillán Viejo (Región del Ñuble)"/>
        <s v="Ránquil (Región del Ñuble)"/>
        <s v="Pinto (Región del Ñuble)"/>
        <s v="Bulnes (Región del Ñuble)"/>
        <s v="Quillón (Región del Ñuble)"/>
        <s v="San Ignacio (Región del Ñuble)"/>
        <s v="El Carmen (Región del Ñuble)"/>
        <s v="Pemuco (Región del Ñuble)"/>
        <s v="Yungay (Región del Ñuble)"/>
        <s v="Región Del Biobío"/>
        <s v="Tomé"/>
        <s v="Penco"/>
        <s v="Talcahuano"/>
        <s v="Hualpén"/>
        <s v="Concepción"/>
        <s v="Florida"/>
        <s v="San Pedro De La Paz"/>
        <s v="Chiguayante"/>
        <s v="Hualqui"/>
        <s v="Coronel"/>
        <s v="Cabrero"/>
        <s v="Lota"/>
        <s v="Yumbel"/>
        <s v="Santa Juana"/>
        <s v="Arauco"/>
        <s v="San Rosendo"/>
        <s v="Laja"/>
        <s v="Tucapel"/>
        <s v="Antuco"/>
        <s v="Los Ángeles"/>
        <s v="Quilleco"/>
        <s v="Curanilahue"/>
        <s v="Nacimiento"/>
        <s v="Negrete"/>
        <s v="Lebu"/>
        <s v="Los Álamos"/>
        <s v="Santa Bárbara"/>
        <s v="Quilaco"/>
        <s v="Mulchén"/>
        <s v="Cañete"/>
        <s v="Alto Biobío"/>
        <s v="Contulmo"/>
        <s v="Tirúa"/>
        <s v="Región De La Araucanía"/>
        <s v="Renaico"/>
        <s v="Angol"/>
        <s v="Collipulli"/>
        <s v="Los Sauces"/>
        <s v="Purén"/>
        <s v="Ercilla"/>
        <s v="Lumaco"/>
        <s v="Victoria"/>
        <s v="Traiguén"/>
        <s v="Galvarino"/>
        <s v="Perquenco"/>
        <s v="Curacautín"/>
        <s v="Lonquimay"/>
        <s v="Lautaro"/>
        <s v="Cholchol"/>
        <s v="Vilcún"/>
        <s v="Carahue"/>
        <s v="Temuco"/>
        <s v="Nueva Imperial"/>
        <s v="Padre Las Casas"/>
        <s v="Saavedra"/>
        <s v="Melipeuco"/>
        <s v="Cunco"/>
        <s v="Freire"/>
        <s v="Pitrufquén"/>
        <s v="Teodoro Schmidt"/>
        <s v="Gorbea"/>
        <s v="Toltén"/>
        <s v="Pucón"/>
        <s v="Villarrica"/>
        <s v="Curarrehue"/>
        <s v="Loncoche"/>
        <s v="Región De Los Ríos"/>
        <s v="Mariquina (Región de los Ríos)"/>
        <s v="Lanco (Región de los Ríos)"/>
        <s v="Panguipulli (Región de los Ríos)"/>
        <s v="Máfil (Región de los Ríos)"/>
        <s v="Valdivia (Región de los Ríos)"/>
        <s v="Los Lagos (Región de los Ríos)"/>
        <s v="Corral (Región de los Ríos)"/>
        <s v="Paillaco (Región de los Ríos)"/>
        <s v="Futrono (Región de los Ríos)"/>
        <s v="La Unión (Región de los Ríos)"/>
        <s v="Lago Ranco (Región de los Ríos)"/>
        <s v="Río Bueno (Región de los Ríos)"/>
        <s v="Región De Los Lagos"/>
        <s v="San Pablo"/>
        <s v="Osorno"/>
        <s v="San Juan De La Costa"/>
        <s v="Puyehue"/>
        <s v="Río Negro"/>
        <s v="Purranque"/>
        <s v="Puerto Octay"/>
        <s v="Frutillar"/>
        <s v="Fresia"/>
        <s v="Llanquihue"/>
        <s v="Puerto Varas"/>
        <s v="Los Muermos"/>
        <s v="Puerto Montt"/>
        <s v="Maullín"/>
        <s v="Cochamó"/>
        <s v="Calbuco"/>
        <s v="Ancud"/>
        <s v="Hualaihué"/>
        <s v="Quemchi"/>
        <s v="Dalcahue"/>
        <s v="Curaco De Vélez"/>
        <s v="Quinchao"/>
        <s v="Castro"/>
        <s v="Puqueldón"/>
        <s v="Chonchi"/>
        <s v="Queilén"/>
        <s v="Chaitén"/>
        <s v="Quellón"/>
        <s v="Futaleufú"/>
        <s v="Palena"/>
        <s v="Región De Aysén Del Gral. Carlos Ibáñez Del Campo"/>
        <s v="Guaitecas"/>
        <s v="Lago Verde"/>
        <s v="Cisnes"/>
        <s v="Aysén"/>
        <s v="Coyhaique"/>
        <s v="Río Ibáñez"/>
        <s v="Chile Chico"/>
        <s v="Cochrane"/>
        <s v="Tortel"/>
        <s v="O’higgins"/>
        <s v="Región De Magallanes Y De La Antártica Chilena"/>
        <s v="Torres Del Paine"/>
        <s v="Natales"/>
        <s v="Laguna Blanca"/>
        <s v="San Gregorio"/>
        <s v="Río Verde"/>
        <s v="Primavera"/>
        <s v="Punta Arenas"/>
        <s v="Porvenir"/>
        <s v="Timaukel"/>
        <s v="Cabo De Hornos"/>
        <s v="Antártica"/>
      </sharedItems>
    </cacheField>
    <cacheField name=" Variable" numFmtId="0">
      <sharedItems count="6">
        <s v=" Hombre"/>
        <s v=" Mujer"/>
        <s v=" Población total"/>
        <s v=" Población  de 0 a 14 años"/>
        <s v=" Población  de 15 a 64 años"/>
        <s v=" Población de 65 años o mas"/>
      </sharedItems>
    </cacheField>
    <cacheField name=" 2024 ini" numFmtId="3">
      <sharedItems/>
    </cacheField>
    <cacheField name="punto" numFmtId="0">
      <sharedItems containsSemiMixedTypes="0" containsString="0" containsNumber="1" containsInteger="1" minValue="3" maxValue="10"/>
    </cacheField>
    <cacheField name="2024 Fin" numFmtId="3">
      <sharedItems containsSemiMixedTypes="0" containsString="0" containsNumber="1" containsInteger="1" minValue="0" maxValue="200863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34.087621296298" createdVersion="8" refreshedVersion="8" minRefreshableVersion="3" recordCount="844" xr:uid="{88965B5D-71F9-4788-B88D-BA4D9018B23E}">
  <cacheSource type="worksheet">
    <worksheetSource ref="H1:H845" sheet="Hoja3"/>
  </cacheSource>
  <cacheFields count="1">
    <cacheField name="Tramos_Prom_Propiedades" numFmtId="0">
      <sharedItems count="6">
        <s v="2.Menor a 10 P"/>
        <s v="3.Mayor a 10 P"/>
        <s v="4.Mayor a 20 P"/>
        <s v="5.Mayor a 40 P"/>
        <s v="6.Mayor a 70 P"/>
        <s v="7.Mayor a 100 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s v=" 132125.0"/>
    <n v="8"/>
    <n v="132125"/>
  </r>
  <r>
    <x v="0"/>
    <x v="1"/>
    <s v=" 129654.0"/>
    <n v="8"/>
    <n v="129654"/>
  </r>
  <r>
    <x v="0"/>
    <x v="2"/>
    <s v=" 261779.0"/>
    <n v="8"/>
    <n v="261779"/>
  </r>
  <r>
    <x v="0"/>
    <x v="3"/>
    <s v=" 51543.0"/>
    <n v="7"/>
    <n v="51543"/>
  </r>
  <r>
    <x v="0"/>
    <x v="4"/>
    <s v=" 176644.0"/>
    <n v="8"/>
    <n v="176644"/>
  </r>
  <r>
    <x v="0"/>
    <x v="5"/>
    <s v=" 33592.0"/>
    <n v="7"/>
    <n v="33592"/>
  </r>
  <r>
    <x v="1"/>
    <x v="0"/>
    <s v=" 204628.0"/>
    <n v="8"/>
    <n v="204628"/>
  </r>
  <r>
    <x v="1"/>
    <x v="1"/>
    <s v=" 201659.0"/>
    <n v="8"/>
    <n v="201659"/>
  </r>
  <r>
    <x v="1"/>
    <x v="2"/>
    <s v=" 406287.0"/>
    <n v="8"/>
    <n v="406287"/>
  </r>
  <r>
    <x v="1"/>
    <x v="3"/>
    <s v=" 89422.0"/>
    <n v="7"/>
    <n v="89422"/>
  </r>
  <r>
    <x v="1"/>
    <x v="4"/>
    <s v=" 278679.0"/>
    <n v="8"/>
    <n v="278679"/>
  </r>
  <r>
    <x v="1"/>
    <x v="5"/>
    <s v=" 38186.0"/>
    <n v="7"/>
    <n v="38186"/>
  </r>
  <r>
    <x v="2"/>
    <x v="0"/>
    <s v=" 361009.0"/>
    <n v="8"/>
    <n v="361009"/>
  </r>
  <r>
    <x v="2"/>
    <x v="1"/>
    <s v=" 357223.0"/>
    <n v="8"/>
    <n v="357223"/>
  </r>
  <r>
    <x v="2"/>
    <x v="2"/>
    <s v=" 718232.0"/>
    <n v="8"/>
    <n v="718232"/>
  </r>
  <r>
    <x v="2"/>
    <x v="3"/>
    <s v=" 143591.0"/>
    <n v="8"/>
    <n v="143591"/>
  </r>
  <r>
    <x v="2"/>
    <x v="4"/>
    <s v=" 510597.0"/>
    <n v="8"/>
    <n v="510597"/>
  </r>
  <r>
    <x v="2"/>
    <x v="5"/>
    <s v=" 64044.0"/>
    <n v="7"/>
    <n v="64044"/>
  </r>
  <r>
    <x v="3"/>
    <x v="0"/>
    <s v=" 161331.0"/>
    <n v="8"/>
    <n v="161331"/>
  </r>
  <r>
    <x v="3"/>
    <x v="1"/>
    <s v=" 158661.0"/>
    <n v="8"/>
    <n v="158661"/>
  </r>
  <r>
    <x v="3"/>
    <x v="2"/>
    <s v=" 319992.0"/>
    <n v="8"/>
    <n v="319992"/>
  </r>
  <r>
    <x v="3"/>
    <x v="3"/>
    <s v=" 67742.0"/>
    <n v="7"/>
    <n v="67742"/>
  </r>
  <r>
    <x v="3"/>
    <x v="4"/>
    <s v=" 212383.0"/>
    <n v="8"/>
    <n v="212383"/>
  </r>
  <r>
    <x v="3"/>
    <x v="5"/>
    <s v=" 39867.0"/>
    <n v="7"/>
    <n v="39867"/>
  </r>
  <r>
    <x v="4"/>
    <x v="0"/>
    <s v=" 430248.0"/>
    <n v="8"/>
    <n v="430248"/>
  </r>
  <r>
    <x v="4"/>
    <x v="1"/>
    <s v=" 449019.0"/>
    <n v="8"/>
    <n v="449019"/>
  </r>
  <r>
    <x v="4"/>
    <x v="2"/>
    <s v=" 879267.0"/>
    <n v="8"/>
    <n v="879267"/>
  </r>
  <r>
    <x v="4"/>
    <x v="3"/>
    <s v=" 170557.0"/>
    <n v="8"/>
    <n v="170557"/>
  </r>
  <r>
    <x v="4"/>
    <x v="4"/>
    <s v=" 580371.0"/>
    <n v="8"/>
    <n v="580371"/>
  </r>
  <r>
    <x v="4"/>
    <x v="5"/>
    <s v=" 128339.0"/>
    <n v="8"/>
    <n v="128339"/>
  </r>
  <r>
    <x v="5"/>
    <x v="0"/>
    <s v=" 990348.0"/>
    <n v="8"/>
    <n v="990348"/>
  </r>
  <r>
    <x v="5"/>
    <x v="1"/>
    <s v=" 1035345.0"/>
    <n v="9"/>
    <n v="1035345"/>
  </r>
  <r>
    <x v="5"/>
    <x v="2"/>
    <s v=" 2025693.0"/>
    <n v="9"/>
    <n v="2025693"/>
  </r>
  <r>
    <x v="5"/>
    <x v="3"/>
    <s v=" 354619.0"/>
    <n v="8"/>
    <n v="354619"/>
  </r>
  <r>
    <x v="5"/>
    <x v="4"/>
    <s v=" 1334614.0"/>
    <n v="9"/>
    <n v="1334614"/>
  </r>
  <r>
    <x v="5"/>
    <x v="5"/>
    <s v=" 336460.0"/>
    <n v="8"/>
    <n v="336460"/>
  </r>
  <r>
    <x v="6"/>
    <x v="0"/>
    <s v=" 4166844.0"/>
    <n v="9"/>
    <n v="4166844"/>
  </r>
  <r>
    <x v="6"/>
    <x v="1"/>
    <s v=" 4253885.0"/>
    <n v="9"/>
    <n v="4253885"/>
  </r>
  <r>
    <x v="6"/>
    <x v="2"/>
    <s v=" 8420729.0"/>
    <n v="9"/>
    <n v="8420729"/>
  </r>
  <r>
    <x v="6"/>
    <x v="3"/>
    <s v=" 1527250.0"/>
    <n v="9"/>
    <n v="1527250"/>
  </r>
  <r>
    <x v="6"/>
    <x v="4"/>
    <s v=" 5839488.0"/>
    <n v="9"/>
    <n v="5839488"/>
  </r>
  <r>
    <x v="6"/>
    <x v="5"/>
    <s v=" 1053991.0"/>
    <n v="9"/>
    <n v="1053991"/>
  </r>
  <r>
    <x v="7"/>
    <x v="0"/>
    <s v=" 512497.0"/>
    <n v="8"/>
    <n v="512497"/>
  </r>
  <r>
    <x v="7"/>
    <x v="1"/>
    <s v=" 513089.0"/>
    <n v="8"/>
    <n v="513089"/>
  </r>
  <r>
    <x v="7"/>
    <x v="2"/>
    <s v=" 1025586.0"/>
    <n v="9"/>
    <n v="1025586"/>
  </r>
  <r>
    <x v="7"/>
    <x v="3"/>
    <s v=" 190517.0"/>
    <n v="8"/>
    <n v="190517"/>
  </r>
  <r>
    <x v="7"/>
    <x v="4"/>
    <s v=" 677098.0"/>
    <n v="8"/>
    <n v="677098"/>
  </r>
  <r>
    <x v="7"/>
    <x v="5"/>
    <s v=" 157971.0"/>
    <n v="8"/>
    <n v="157971"/>
  </r>
  <r>
    <x v="8"/>
    <x v="0"/>
    <s v=" 574048.0"/>
    <n v="8"/>
    <n v="574048"/>
  </r>
  <r>
    <x v="8"/>
    <x v="1"/>
    <s v=" 597934.0"/>
    <n v="8"/>
    <n v="597934"/>
  </r>
  <r>
    <x v="8"/>
    <x v="2"/>
    <s v=" 1171982.0"/>
    <n v="9"/>
    <n v="1171982"/>
  </r>
  <r>
    <x v="8"/>
    <x v="3"/>
    <s v=" 218832.0"/>
    <n v="8"/>
    <n v="218832"/>
  </r>
  <r>
    <x v="8"/>
    <x v="4"/>
    <s v=" 769415.0"/>
    <n v="8"/>
    <n v="769415"/>
  </r>
  <r>
    <x v="8"/>
    <x v="5"/>
    <s v=" 183735.0"/>
    <n v="8"/>
    <n v="183735"/>
  </r>
  <r>
    <x v="9"/>
    <x v="0"/>
    <s v=" 251232.0"/>
    <n v="8"/>
    <n v="251232"/>
  </r>
  <r>
    <x v="9"/>
    <x v="1"/>
    <s v=" 270479.0"/>
    <n v="8"/>
    <n v="270479"/>
  </r>
  <r>
    <x v="9"/>
    <x v="2"/>
    <s v=" 521711.0"/>
    <n v="8"/>
    <n v="521711"/>
  </r>
  <r>
    <x v="9"/>
    <x v="3"/>
    <s v=" 91717.0"/>
    <n v="7"/>
    <n v="91717"/>
  </r>
  <r>
    <x v="9"/>
    <x v="4"/>
    <s v=" 339587.0"/>
    <n v="8"/>
    <n v="339587"/>
  </r>
  <r>
    <x v="9"/>
    <x v="5"/>
    <s v=" 90407.0"/>
    <n v="7"/>
    <n v="90407"/>
  </r>
  <r>
    <x v="10"/>
    <x v="0"/>
    <s v=" 819922.0"/>
    <n v="8"/>
    <n v="819922"/>
  </r>
  <r>
    <x v="10"/>
    <x v="1"/>
    <s v=" 866303.0"/>
    <n v="8"/>
    <n v="866303"/>
  </r>
  <r>
    <x v="10"/>
    <x v="2"/>
    <s v=" 1686225.0"/>
    <n v="9"/>
    <n v="1686225"/>
  </r>
  <r>
    <x v="10"/>
    <x v="3"/>
    <s v=" 304476.0"/>
    <n v="8"/>
    <n v="304476"/>
  </r>
  <r>
    <x v="10"/>
    <x v="4"/>
    <s v=" 1130592.0"/>
    <n v="9"/>
    <n v="1130592"/>
  </r>
  <r>
    <x v="10"/>
    <x v="5"/>
    <s v=" 251157.0"/>
    <n v="8"/>
    <n v="251157"/>
  </r>
  <r>
    <x v="11"/>
    <x v="0"/>
    <s v=" 503438.0"/>
    <n v="8"/>
    <n v="503438"/>
  </r>
  <r>
    <x v="11"/>
    <x v="1"/>
    <s v=" 528726.0"/>
    <n v="8"/>
    <n v="528726"/>
  </r>
  <r>
    <x v="11"/>
    <x v="2"/>
    <s v=" 1032164.0"/>
    <n v="9"/>
    <n v="1032164"/>
  </r>
  <r>
    <x v="11"/>
    <x v="3"/>
    <s v=" 196063.0"/>
    <n v="8"/>
    <n v="196063"/>
  </r>
  <r>
    <x v="11"/>
    <x v="4"/>
    <s v=" 675894.0"/>
    <n v="8"/>
    <n v="675894"/>
  </r>
  <r>
    <x v="11"/>
    <x v="5"/>
    <s v=" 160207.0"/>
    <n v="8"/>
    <n v="160207"/>
  </r>
  <r>
    <x v="12"/>
    <x v="0"/>
    <s v=" 201540.0"/>
    <n v="8"/>
    <n v="201540"/>
  </r>
  <r>
    <x v="12"/>
    <x v="1"/>
    <s v=" 211246.0"/>
    <n v="8"/>
    <n v="211246"/>
  </r>
  <r>
    <x v="12"/>
    <x v="2"/>
    <s v=" 412786.0"/>
    <n v="8"/>
    <n v="412786"/>
  </r>
  <r>
    <x v="12"/>
    <x v="3"/>
    <s v=" 73654.0"/>
    <n v="7"/>
    <n v="73654"/>
  </r>
  <r>
    <x v="12"/>
    <x v="4"/>
    <s v=" 275126.0"/>
    <n v="8"/>
    <n v="275126"/>
  </r>
  <r>
    <x v="12"/>
    <x v="5"/>
    <s v=" 64006.0"/>
    <n v="7"/>
    <n v="64006"/>
  </r>
  <r>
    <x v="13"/>
    <x v="0"/>
    <s v=" 453413.0"/>
    <n v="8"/>
    <n v="453413"/>
  </r>
  <r>
    <x v="13"/>
    <x v="1"/>
    <s v=" 458758.0"/>
    <n v="8"/>
    <n v="458758"/>
  </r>
  <r>
    <x v="13"/>
    <x v="2"/>
    <s v=" 912171.0"/>
    <n v="8"/>
    <n v="912171"/>
  </r>
  <r>
    <x v="13"/>
    <x v="3"/>
    <s v=" 165246.0"/>
    <n v="8"/>
    <n v="165246"/>
  </r>
  <r>
    <x v="13"/>
    <x v="4"/>
    <s v=" 619349.0"/>
    <n v="8"/>
    <n v="619349"/>
  </r>
  <r>
    <x v="13"/>
    <x v="5"/>
    <s v=" 127576.0"/>
    <n v="8"/>
    <n v="127576"/>
  </r>
  <r>
    <x v="14"/>
    <x v="0"/>
    <s v=" 54651.0"/>
    <n v="7"/>
    <n v="54651"/>
  </r>
  <r>
    <x v="14"/>
    <x v="1"/>
    <s v=" 53887.0"/>
    <n v="7"/>
    <n v="53887"/>
  </r>
  <r>
    <x v="14"/>
    <x v="2"/>
    <s v=" 108538.0"/>
    <n v="8"/>
    <n v="108538"/>
  </r>
  <r>
    <x v="14"/>
    <x v="3"/>
    <s v=" 21702.0"/>
    <n v="7"/>
    <n v="21702"/>
  </r>
  <r>
    <x v="14"/>
    <x v="4"/>
    <s v=" 73341.0"/>
    <n v="7"/>
    <n v="73341"/>
  </r>
  <r>
    <x v="14"/>
    <x v="5"/>
    <s v=" 13495.0"/>
    <n v="7"/>
    <n v="13495"/>
  </r>
  <r>
    <x v="15"/>
    <x v="0"/>
    <s v=" 93226.0"/>
    <n v="7"/>
    <n v="93226"/>
  </r>
  <r>
    <x v="15"/>
    <x v="1"/>
    <s v=" 90009.0"/>
    <n v="7"/>
    <n v="90009"/>
  </r>
  <r>
    <x v="15"/>
    <x v="2"/>
    <s v=" 183235.0"/>
    <n v="8"/>
    <n v="183235"/>
  </r>
  <r>
    <x v="15"/>
    <x v="3"/>
    <s v=" 31094.0"/>
    <n v="7"/>
    <n v="31094"/>
  </r>
  <r>
    <x v="15"/>
    <x v="4"/>
    <s v=" 125987.0"/>
    <n v="8"/>
    <n v="125987"/>
  </r>
  <r>
    <x v="15"/>
    <x v="5"/>
    <s v=" 26154.0"/>
    <n v="7"/>
    <n v="2615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8">
  <r>
    <x v="0"/>
    <x v="0"/>
    <x v="0"/>
    <s v=" 9910500.0"/>
    <n v="9"/>
    <n v="9910500"/>
  </r>
  <r>
    <x v="0"/>
    <x v="0"/>
    <x v="1"/>
    <s v=" 10175877.0"/>
    <n v="10"/>
    <n v="10175877"/>
  </r>
  <r>
    <x v="0"/>
    <x v="0"/>
    <x v="2"/>
    <s v=" 20086377.0"/>
    <n v="10"/>
    <n v="20086377"/>
  </r>
  <r>
    <x v="0"/>
    <x v="0"/>
    <x v="3"/>
    <s v=" 3698025.0"/>
    <n v="9"/>
    <n v="3698025"/>
  </r>
  <r>
    <x v="0"/>
    <x v="0"/>
    <x v="4"/>
    <s v=" 13619165.0"/>
    <n v="10"/>
    <n v="13619165"/>
  </r>
  <r>
    <x v="0"/>
    <x v="0"/>
    <x v="5"/>
    <s v=" 2769187.0"/>
    <n v="9"/>
    <n v="2769187"/>
  </r>
  <r>
    <x v="1"/>
    <x v="1"/>
    <x v="0"/>
    <s v=" 132125.0"/>
    <n v="8"/>
    <n v="132125"/>
  </r>
  <r>
    <x v="1"/>
    <x v="1"/>
    <x v="1"/>
    <s v=" 129654.0"/>
    <n v="8"/>
    <n v="129654"/>
  </r>
  <r>
    <x v="1"/>
    <x v="1"/>
    <x v="2"/>
    <s v=" 261779.0"/>
    <n v="8"/>
    <n v="261779"/>
  </r>
  <r>
    <x v="1"/>
    <x v="1"/>
    <x v="3"/>
    <s v=" 51543.0"/>
    <n v="7"/>
    <n v="51543"/>
  </r>
  <r>
    <x v="1"/>
    <x v="1"/>
    <x v="4"/>
    <s v=" 176644.0"/>
    <n v="8"/>
    <n v="176644"/>
  </r>
  <r>
    <x v="1"/>
    <x v="1"/>
    <x v="5"/>
    <s v=" 33592.0"/>
    <n v="7"/>
    <n v="33592"/>
  </r>
  <r>
    <x v="1"/>
    <x v="2"/>
    <x v="0"/>
    <s v=" 427.0"/>
    <n v="5"/>
    <n v="427"/>
  </r>
  <r>
    <x v="1"/>
    <x v="2"/>
    <x v="1"/>
    <s v=" 374.0"/>
    <n v="5"/>
    <n v="374"/>
  </r>
  <r>
    <x v="1"/>
    <x v="2"/>
    <x v="2"/>
    <s v=" 801.0"/>
    <n v="5"/>
    <n v="801"/>
  </r>
  <r>
    <x v="1"/>
    <x v="2"/>
    <x v="3"/>
    <s v=" 110.0"/>
    <n v="5"/>
    <n v="110"/>
  </r>
  <r>
    <x v="1"/>
    <x v="2"/>
    <x v="4"/>
    <s v=" 546.0"/>
    <n v="5"/>
    <n v="546"/>
  </r>
  <r>
    <x v="1"/>
    <x v="2"/>
    <x v="5"/>
    <s v=" 145.0"/>
    <n v="5"/>
    <n v="145"/>
  </r>
  <r>
    <x v="1"/>
    <x v="3"/>
    <x v="0"/>
    <s v=" 1488.0"/>
    <n v="6"/>
    <n v="1488"/>
  </r>
  <r>
    <x v="1"/>
    <x v="3"/>
    <x v="1"/>
    <s v=" 1081.0"/>
    <n v="6"/>
    <n v="1081"/>
  </r>
  <r>
    <x v="1"/>
    <x v="3"/>
    <x v="2"/>
    <s v=" 2569.0"/>
    <n v="6"/>
    <n v="2569"/>
  </r>
  <r>
    <x v="1"/>
    <x v="3"/>
    <x v="3"/>
    <s v=" 291.0"/>
    <n v="5"/>
    <n v="291"/>
  </r>
  <r>
    <x v="1"/>
    <x v="3"/>
    <x v="4"/>
    <s v=" 1928.0"/>
    <n v="6"/>
    <n v="1928"/>
  </r>
  <r>
    <x v="1"/>
    <x v="3"/>
    <x v="5"/>
    <s v=" 350.0"/>
    <n v="5"/>
    <n v="350"/>
  </r>
  <r>
    <x v="1"/>
    <x v="4"/>
    <x v="0"/>
    <s v=" 129570.0"/>
    <n v="8"/>
    <n v="129570"/>
  </r>
  <r>
    <x v="1"/>
    <x v="4"/>
    <x v="1"/>
    <s v=" 127593.0"/>
    <n v="8"/>
    <n v="127593"/>
  </r>
  <r>
    <x v="1"/>
    <x v="4"/>
    <x v="2"/>
    <s v=" 257163.0"/>
    <n v="8"/>
    <n v="257163"/>
  </r>
  <r>
    <x v="1"/>
    <x v="4"/>
    <x v="3"/>
    <s v=" 50964.0"/>
    <n v="7"/>
    <n v="50964"/>
  </r>
  <r>
    <x v="1"/>
    <x v="4"/>
    <x v="4"/>
    <s v=" 173370.0"/>
    <n v="8"/>
    <n v="173370"/>
  </r>
  <r>
    <x v="1"/>
    <x v="4"/>
    <x v="5"/>
    <s v=" 32829.0"/>
    <n v="7"/>
    <n v="32829"/>
  </r>
  <r>
    <x v="1"/>
    <x v="5"/>
    <x v="0"/>
    <s v=" 640.0"/>
    <n v="5"/>
    <n v="640"/>
  </r>
  <r>
    <x v="1"/>
    <x v="5"/>
    <x v="1"/>
    <s v=" 606.0"/>
    <n v="5"/>
    <n v="606"/>
  </r>
  <r>
    <x v="1"/>
    <x v="5"/>
    <x v="2"/>
    <s v=" 1246.0"/>
    <n v="6"/>
    <n v="1246"/>
  </r>
  <r>
    <x v="1"/>
    <x v="5"/>
    <x v="3"/>
    <s v=" 178.0"/>
    <n v="5"/>
    <n v="178"/>
  </r>
  <r>
    <x v="1"/>
    <x v="5"/>
    <x v="4"/>
    <s v=" 800.0"/>
    <n v="5"/>
    <n v="800"/>
  </r>
  <r>
    <x v="1"/>
    <x v="5"/>
    <x v="5"/>
    <s v=" 268.0"/>
    <n v="5"/>
    <n v="268"/>
  </r>
  <r>
    <x v="2"/>
    <x v="6"/>
    <x v="0"/>
    <s v=" 204628.0"/>
    <n v="8"/>
    <n v="204628"/>
  </r>
  <r>
    <x v="2"/>
    <x v="6"/>
    <x v="1"/>
    <s v=" 201659.0"/>
    <n v="8"/>
    <n v="201659"/>
  </r>
  <r>
    <x v="2"/>
    <x v="6"/>
    <x v="2"/>
    <s v=" 406287.0"/>
    <n v="8"/>
    <n v="406287"/>
  </r>
  <r>
    <x v="2"/>
    <x v="6"/>
    <x v="3"/>
    <s v=" 89422.0"/>
    <n v="7"/>
    <n v="89422"/>
  </r>
  <r>
    <x v="2"/>
    <x v="6"/>
    <x v="4"/>
    <s v=" 278679.0"/>
    <n v="8"/>
    <n v="278679"/>
  </r>
  <r>
    <x v="2"/>
    <x v="6"/>
    <x v="5"/>
    <s v=" 38186.0"/>
    <n v="7"/>
    <n v="38186"/>
  </r>
  <r>
    <x v="2"/>
    <x v="7"/>
    <x v="0"/>
    <s v=" 815.0"/>
    <n v="5"/>
    <n v="815"/>
  </r>
  <r>
    <x v="2"/>
    <x v="7"/>
    <x v="1"/>
    <s v=" 743.0"/>
    <n v="5"/>
    <n v="743"/>
  </r>
  <r>
    <x v="2"/>
    <x v="7"/>
    <x v="2"/>
    <s v=" 1558.0"/>
    <n v="6"/>
    <n v="1558"/>
  </r>
  <r>
    <x v="2"/>
    <x v="7"/>
    <x v="3"/>
    <s v=" 251.0"/>
    <n v="5"/>
    <n v="251"/>
  </r>
  <r>
    <x v="2"/>
    <x v="7"/>
    <x v="4"/>
    <s v=" 995.0"/>
    <n v="5"/>
    <n v="995"/>
  </r>
  <r>
    <x v="2"/>
    <x v="7"/>
    <x v="5"/>
    <s v=" 312.0"/>
    <n v="5"/>
    <n v="312"/>
  </r>
  <r>
    <x v="2"/>
    <x v="8"/>
    <x v="0"/>
    <s v=" 703.0"/>
    <n v="5"/>
    <n v="703"/>
  </r>
  <r>
    <x v="2"/>
    <x v="8"/>
    <x v="1"/>
    <s v=" 671.0"/>
    <n v="5"/>
    <n v="671"/>
  </r>
  <r>
    <x v="2"/>
    <x v="8"/>
    <x v="2"/>
    <s v=" 1374.0"/>
    <n v="6"/>
    <n v="1374"/>
  </r>
  <r>
    <x v="2"/>
    <x v="8"/>
    <x v="3"/>
    <s v=" 272.0"/>
    <n v="5"/>
    <n v="272"/>
  </r>
  <r>
    <x v="2"/>
    <x v="8"/>
    <x v="4"/>
    <s v=" 831.0"/>
    <n v="5"/>
    <n v="831"/>
  </r>
  <r>
    <x v="2"/>
    <x v="8"/>
    <x v="5"/>
    <s v=" 271.0"/>
    <n v="5"/>
    <n v="271"/>
  </r>
  <r>
    <x v="2"/>
    <x v="9"/>
    <x v="0"/>
    <s v=" 1610.0"/>
    <n v="6"/>
    <n v="1610"/>
  </r>
  <r>
    <x v="2"/>
    <x v="9"/>
    <x v="1"/>
    <s v=" 1485.0"/>
    <n v="6"/>
    <n v="1485"/>
  </r>
  <r>
    <x v="2"/>
    <x v="9"/>
    <x v="2"/>
    <s v=" 3095.0"/>
    <n v="6"/>
    <n v="3095"/>
  </r>
  <r>
    <x v="2"/>
    <x v="9"/>
    <x v="3"/>
    <s v=" 658.0"/>
    <n v="5"/>
    <n v="658"/>
  </r>
  <r>
    <x v="2"/>
    <x v="9"/>
    <x v="4"/>
    <s v=" 1865.0"/>
    <n v="6"/>
    <n v="1865"/>
  </r>
  <r>
    <x v="2"/>
    <x v="9"/>
    <x v="5"/>
    <s v=" 572.0"/>
    <n v="5"/>
    <n v="572"/>
  </r>
  <r>
    <x v="2"/>
    <x v="10"/>
    <x v="0"/>
    <s v=" 116534.0"/>
    <n v="8"/>
    <n v="116534"/>
  </r>
  <r>
    <x v="2"/>
    <x v="10"/>
    <x v="1"/>
    <s v=" 115428.0"/>
    <n v="8"/>
    <n v="115428"/>
  </r>
  <r>
    <x v="2"/>
    <x v="10"/>
    <x v="2"/>
    <s v=" 231962.0"/>
    <n v="8"/>
    <n v="231962"/>
  </r>
  <r>
    <x v="2"/>
    <x v="10"/>
    <x v="3"/>
    <s v=" 44442.0"/>
    <n v="7"/>
    <n v="44442"/>
  </r>
  <r>
    <x v="2"/>
    <x v="10"/>
    <x v="4"/>
    <s v=" 161119.0"/>
    <n v="8"/>
    <n v="161119"/>
  </r>
  <r>
    <x v="2"/>
    <x v="10"/>
    <x v="5"/>
    <s v=" 26401.0"/>
    <n v="7"/>
    <n v="26401"/>
  </r>
  <r>
    <x v="2"/>
    <x v="11"/>
    <x v="0"/>
    <s v=" 9740.0"/>
    <n v="6"/>
    <n v="9740"/>
  </r>
  <r>
    <x v="2"/>
    <x v="11"/>
    <x v="1"/>
    <s v=" 8973.0"/>
    <n v="6"/>
    <n v="8973"/>
  </r>
  <r>
    <x v="2"/>
    <x v="11"/>
    <x v="2"/>
    <s v=" 18713.0"/>
    <n v="7"/>
    <n v="18713"/>
  </r>
  <r>
    <x v="2"/>
    <x v="11"/>
    <x v="3"/>
    <s v=" 4421.0"/>
    <n v="6"/>
    <n v="4421"/>
  </r>
  <r>
    <x v="2"/>
    <x v="11"/>
    <x v="4"/>
    <s v=" 12438.0"/>
    <n v="7"/>
    <n v="12438"/>
  </r>
  <r>
    <x v="2"/>
    <x v="11"/>
    <x v="5"/>
    <s v=" 1854.0"/>
    <n v="6"/>
    <n v="1854"/>
  </r>
  <r>
    <x v="2"/>
    <x v="12"/>
    <x v="0"/>
    <s v=" 72047.0"/>
    <n v="7"/>
    <n v="72047"/>
  </r>
  <r>
    <x v="2"/>
    <x v="12"/>
    <x v="1"/>
    <s v=" 71247.0"/>
    <n v="7"/>
    <n v="71247"/>
  </r>
  <r>
    <x v="2"/>
    <x v="12"/>
    <x v="2"/>
    <s v=" 143294.0"/>
    <n v="8"/>
    <n v="143294"/>
  </r>
  <r>
    <x v="2"/>
    <x v="12"/>
    <x v="3"/>
    <s v=" 38032.0"/>
    <n v="7"/>
    <n v="38032"/>
  </r>
  <r>
    <x v="2"/>
    <x v="12"/>
    <x v="4"/>
    <s v=" 97562.0"/>
    <n v="7"/>
    <n v="97562"/>
  </r>
  <r>
    <x v="2"/>
    <x v="12"/>
    <x v="5"/>
    <s v=" 7700.0"/>
    <n v="6"/>
    <n v="7700"/>
  </r>
  <r>
    <x v="2"/>
    <x v="13"/>
    <x v="0"/>
    <s v=" 3179.0"/>
    <n v="6"/>
    <n v="3179"/>
  </r>
  <r>
    <x v="2"/>
    <x v="13"/>
    <x v="1"/>
    <s v=" 3112.0"/>
    <n v="6"/>
    <n v="3112"/>
  </r>
  <r>
    <x v="2"/>
    <x v="13"/>
    <x v="2"/>
    <s v=" 6291.0"/>
    <n v="6"/>
    <n v="6291"/>
  </r>
  <r>
    <x v="2"/>
    <x v="13"/>
    <x v="3"/>
    <s v=" 1346.0"/>
    <n v="6"/>
    <n v="1346"/>
  </r>
  <r>
    <x v="2"/>
    <x v="13"/>
    <x v="4"/>
    <s v=" 3869.0"/>
    <n v="6"/>
    <n v="3869"/>
  </r>
  <r>
    <x v="2"/>
    <x v="13"/>
    <x v="5"/>
    <s v=" 1076.0"/>
    <n v="6"/>
    <n v="1076"/>
  </r>
  <r>
    <x v="3"/>
    <x v="14"/>
    <x v="0"/>
    <s v=" 361009.0"/>
    <n v="8"/>
    <n v="361009"/>
  </r>
  <r>
    <x v="3"/>
    <x v="14"/>
    <x v="1"/>
    <s v=" 357223.0"/>
    <n v="8"/>
    <n v="357223"/>
  </r>
  <r>
    <x v="3"/>
    <x v="14"/>
    <x v="2"/>
    <s v=" 718232.0"/>
    <n v="8"/>
    <n v="718232"/>
  </r>
  <r>
    <x v="3"/>
    <x v="14"/>
    <x v="3"/>
    <s v=" 143591.0"/>
    <n v="8"/>
    <n v="143591"/>
  </r>
  <r>
    <x v="3"/>
    <x v="14"/>
    <x v="4"/>
    <s v=" 510597.0"/>
    <n v="8"/>
    <n v="510597"/>
  </r>
  <r>
    <x v="3"/>
    <x v="14"/>
    <x v="5"/>
    <s v=" 64044.0"/>
    <n v="7"/>
    <n v="64044"/>
  </r>
  <r>
    <x v="3"/>
    <x v="15"/>
    <x v="0"/>
    <s v=" 143.0"/>
    <n v="5"/>
    <n v="143"/>
  </r>
  <r>
    <x v="3"/>
    <x v="15"/>
    <x v="1"/>
    <s v=" 126.0"/>
    <n v="5"/>
    <n v="126"/>
  </r>
  <r>
    <x v="3"/>
    <x v="15"/>
    <x v="2"/>
    <s v=" 269.0"/>
    <n v="5"/>
    <n v="269"/>
  </r>
  <r>
    <x v="3"/>
    <x v="15"/>
    <x v="3"/>
    <s v=" 51.0"/>
    <n v="4"/>
    <n v="51"/>
  </r>
  <r>
    <x v="3"/>
    <x v="15"/>
    <x v="4"/>
    <s v=" 186.0"/>
    <n v="5"/>
    <n v="186"/>
  </r>
  <r>
    <x v="3"/>
    <x v="15"/>
    <x v="5"/>
    <s v=" 32.0"/>
    <n v="4"/>
    <n v="32"/>
  </r>
  <r>
    <x v="3"/>
    <x v="16"/>
    <x v="0"/>
    <s v=" 14199.0"/>
    <n v="7"/>
    <n v="14199"/>
  </r>
  <r>
    <x v="3"/>
    <x v="16"/>
    <x v="1"/>
    <s v=" 14155.0"/>
    <n v="7"/>
    <n v="14155"/>
  </r>
  <r>
    <x v="3"/>
    <x v="16"/>
    <x v="2"/>
    <s v=" 28354.0"/>
    <n v="7"/>
    <n v="28354"/>
  </r>
  <r>
    <x v="3"/>
    <x v="16"/>
    <x v="3"/>
    <s v=" 6191.0"/>
    <n v="6"/>
    <n v="6191"/>
  </r>
  <r>
    <x v="3"/>
    <x v="16"/>
    <x v="4"/>
    <s v=" 18649.0"/>
    <n v="7"/>
    <n v="18649"/>
  </r>
  <r>
    <x v="3"/>
    <x v="16"/>
    <x v="5"/>
    <s v=" 3514.0"/>
    <n v="6"/>
    <n v="3514"/>
  </r>
  <r>
    <x v="3"/>
    <x v="17"/>
    <x v="0"/>
    <s v=" 3340.0"/>
    <n v="6"/>
    <n v="3340"/>
  </r>
  <r>
    <x v="3"/>
    <x v="17"/>
    <x v="1"/>
    <s v=" 3167.0"/>
    <n v="6"/>
    <n v="3167"/>
  </r>
  <r>
    <x v="3"/>
    <x v="17"/>
    <x v="2"/>
    <s v=" 6507.0"/>
    <n v="6"/>
    <n v="6507"/>
  </r>
  <r>
    <x v="3"/>
    <x v="17"/>
    <x v="3"/>
    <s v=" 1265.0"/>
    <n v="6"/>
    <n v="1265"/>
  </r>
  <r>
    <x v="3"/>
    <x v="17"/>
    <x v="4"/>
    <s v=" 4787.0"/>
    <n v="6"/>
    <n v="4787"/>
  </r>
  <r>
    <x v="3"/>
    <x v="17"/>
    <x v="5"/>
    <s v=" 455.0"/>
    <n v="5"/>
    <n v="455"/>
  </r>
  <r>
    <x v="3"/>
    <x v="18"/>
    <x v="0"/>
    <s v=" 98682.0"/>
    <n v="7"/>
    <n v="98682"/>
  </r>
  <r>
    <x v="3"/>
    <x v="18"/>
    <x v="1"/>
    <s v=" 97470.0"/>
    <n v="7"/>
    <n v="97470"/>
  </r>
  <r>
    <x v="3"/>
    <x v="18"/>
    <x v="2"/>
    <s v=" 196152.0"/>
    <n v="8"/>
    <n v="196152"/>
  </r>
  <r>
    <x v="3"/>
    <x v="18"/>
    <x v="3"/>
    <s v=" 41210.0"/>
    <n v="7"/>
    <n v="41210"/>
  </r>
  <r>
    <x v="3"/>
    <x v="18"/>
    <x v="4"/>
    <s v=" 139237.0"/>
    <n v="8"/>
    <n v="139237"/>
  </r>
  <r>
    <x v="3"/>
    <x v="18"/>
    <x v="5"/>
    <s v=" 15705.0"/>
    <n v="7"/>
    <n v="15705"/>
  </r>
  <r>
    <x v="3"/>
    <x v="19"/>
    <x v="0"/>
    <s v=" 948.0"/>
    <n v="5"/>
    <n v="948"/>
  </r>
  <r>
    <x v="3"/>
    <x v="19"/>
    <x v="1"/>
    <s v=" 852.0"/>
    <n v="5"/>
    <n v="852"/>
  </r>
  <r>
    <x v="3"/>
    <x v="19"/>
    <x v="2"/>
    <s v=" 1800.0"/>
    <n v="6"/>
    <n v="1800"/>
  </r>
  <r>
    <x v="3"/>
    <x v="19"/>
    <x v="3"/>
    <s v=" 354.0"/>
    <n v="5"/>
    <n v="354"/>
  </r>
  <r>
    <x v="3"/>
    <x v="19"/>
    <x v="4"/>
    <s v=" 1339.0"/>
    <n v="6"/>
    <n v="1339"/>
  </r>
  <r>
    <x v="3"/>
    <x v="19"/>
    <x v="5"/>
    <s v=" 107.0"/>
    <n v="5"/>
    <n v="107"/>
  </r>
  <r>
    <x v="3"/>
    <x v="20"/>
    <x v="0"/>
    <s v=" 5561.0"/>
    <n v="6"/>
    <n v="5561"/>
  </r>
  <r>
    <x v="3"/>
    <x v="20"/>
    <x v="1"/>
    <s v=" 5469.0"/>
    <n v="6"/>
    <n v="5469"/>
  </r>
  <r>
    <x v="3"/>
    <x v="20"/>
    <x v="2"/>
    <s v=" 11030.0"/>
    <n v="7"/>
    <n v="11030"/>
  </r>
  <r>
    <x v="3"/>
    <x v="20"/>
    <x v="3"/>
    <s v=" 2043.0"/>
    <n v="6"/>
    <n v="2043"/>
  </r>
  <r>
    <x v="3"/>
    <x v="20"/>
    <x v="4"/>
    <s v=" 8081.0"/>
    <n v="6"/>
    <n v="8081"/>
  </r>
  <r>
    <x v="3"/>
    <x v="20"/>
    <x v="5"/>
    <s v=" 906.0"/>
    <n v="5"/>
    <n v="906"/>
  </r>
  <r>
    <x v="3"/>
    <x v="21"/>
    <x v="0"/>
    <s v=" 8235.0"/>
    <n v="6"/>
    <n v="8235"/>
  </r>
  <r>
    <x v="3"/>
    <x v="21"/>
    <x v="1"/>
    <s v=" 7642.0"/>
    <n v="6"/>
    <n v="7642"/>
  </r>
  <r>
    <x v="3"/>
    <x v="21"/>
    <x v="2"/>
    <s v=" 15877.0"/>
    <n v="7"/>
    <n v="15877"/>
  </r>
  <r>
    <x v="3"/>
    <x v="21"/>
    <x v="3"/>
    <s v=" 3164.0"/>
    <n v="6"/>
    <n v="3164"/>
  </r>
  <r>
    <x v="3"/>
    <x v="21"/>
    <x v="4"/>
    <s v=" 11551.0"/>
    <n v="7"/>
    <n v="11551"/>
  </r>
  <r>
    <x v="3"/>
    <x v="21"/>
    <x v="5"/>
    <s v=" 1162.0"/>
    <n v="6"/>
    <n v="1162"/>
  </r>
  <r>
    <x v="3"/>
    <x v="22"/>
    <x v="0"/>
    <s v=" 222812.0"/>
    <n v="8"/>
    <n v="222812"/>
  </r>
  <r>
    <x v="3"/>
    <x v="22"/>
    <x v="1"/>
    <s v=" 221464.0"/>
    <n v="8"/>
    <n v="221464"/>
  </r>
  <r>
    <x v="3"/>
    <x v="22"/>
    <x v="2"/>
    <s v=" 444276.0"/>
    <n v="8"/>
    <n v="444276"/>
  </r>
  <r>
    <x v="3"/>
    <x v="22"/>
    <x v="3"/>
    <s v=" 86282.0"/>
    <n v="7"/>
    <n v="86282"/>
  </r>
  <r>
    <x v="3"/>
    <x v="22"/>
    <x v="4"/>
    <s v=" 317408.0"/>
    <n v="8"/>
    <n v="317408"/>
  </r>
  <r>
    <x v="3"/>
    <x v="22"/>
    <x v="5"/>
    <s v=" 40586.0"/>
    <n v="7"/>
    <n v="40586"/>
  </r>
  <r>
    <x v="3"/>
    <x v="23"/>
    <x v="0"/>
    <s v=" 7089.0"/>
    <n v="6"/>
    <n v="7089"/>
  </r>
  <r>
    <x v="3"/>
    <x v="23"/>
    <x v="1"/>
    <s v=" 6878.0"/>
    <n v="6"/>
    <n v="6878"/>
  </r>
  <r>
    <x v="3"/>
    <x v="23"/>
    <x v="2"/>
    <s v=" 13967.0"/>
    <n v="7"/>
    <n v="13967"/>
  </r>
  <r>
    <x v="3"/>
    <x v="23"/>
    <x v="3"/>
    <s v=" 3031.0"/>
    <n v="6"/>
    <n v="3031"/>
  </r>
  <r>
    <x v="3"/>
    <x v="23"/>
    <x v="4"/>
    <s v=" 9359.0"/>
    <n v="6"/>
    <n v="9359"/>
  </r>
  <r>
    <x v="3"/>
    <x v="23"/>
    <x v="5"/>
    <s v=" 1577.0"/>
    <n v="6"/>
    <n v="1577"/>
  </r>
  <r>
    <x v="4"/>
    <x v="24"/>
    <x v="0"/>
    <s v=" 161331.0"/>
    <n v="8"/>
    <n v="161331"/>
  </r>
  <r>
    <x v="4"/>
    <x v="24"/>
    <x v="1"/>
    <s v=" 158661.0"/>
    <n v="8"/>
    <n v="158661"/>
  </r>
  <r>
    <x v="4"/>
    <x v="24"/>
    <x v="2"/>
    <s v=" 319992.0"/>
    <n v="8"/>
    <n v="319992"/>
  </r>
  <r>
    <x v="4"/>
    <x v="24"/>
    <x v="3"/>
    <s v=" 67742.0"/>
    <n v="7"/>
    <n v="67742"/>
  </r>
  <r>
    <x v="4"/>
    <x v="24"/>
    <x v="4"/>
    <s v=" 212383.0"/>
    <n v="8"/>
    <n v="212383"/>
  </r>
  <r>
    <x v="4"/>
    <x v="24"/>
    <x v="5"/>
    <s v=" 39867.0"/>
    <n v="7"/>
    <n v="39867"/>
  </r>
  <r>
    <x v="4"/>
    <x v="25"/>
    <x v="0"/>
    <s v=" 6599.0"/>
    <n v="6"/>
    <n v="6599"/>
  </r>
  <r>
    <x v="4"/>
    <x v="25"/>
    <x v="1"/>
    <s v=" 6418.0"/>
    <n v="6"/>
    <n v="6418"/>
  </r>
  <r>
    <x v="4"/>
    <x v="25"/>
    <x v="2"/>
    <s v=" 13017.0"/>
    <n v="7"/>
    <n v="13017"/>
  </r>
  <r>
    <x v="4"/>
    <x v="25"/>
    <x v="3"/>
    <s v=" 2873.0"/>
    <n v="6"/>
    <n v="2873"/>
  </r>
  <r>
    <x v="4"/>
    <x v="25"/>
    <x v="4"/>
    <s v=" 8301.0"/>
    <n v="6"/>
    <n v="8301"/>
  </r>
  <r>
    <x v="4"/>
    <x v="25"/>
    <x v="5"/>
    <s v=" 1843.0"/>
    <n v="6"/>
    <n v="1843"/>
  </r>
  <r>
    <x v="4"/>
    <x v="26"/>
    <x v="0"/>
    <s v=" 7061.0"/>
    <n v="6"/>
    <n v="7061"/>
  </r>
  <r>
    <x v="4"/>
    <x v="26"/>
    <x v="1"/>
    <s v=" 6848.0"/>
    <n v="6"/>
    <n v="6848"/>
  </r>
  <r>
    <x v="4"/>
    <x v="26"/>
    <x v="2"/>
    <s v=" 13909.0"/>
    <n v="7"/>
    <n v="13909"/>
  </r>
  <r>
    <x v="4"/>
    <x v="26"/>
    <x v="3"/>
    <s v=" 3217.0"/>
    <n v="6"/>
    <n v="3217"/>
  </r>
  <r>
    <x v="4"/>
    <x v="26"/>
    <x v="4"/>
    <s v=" 9372.0"/>
    <n v="6"/>
    <n v="9372"/>
  </r>
  <r>
    <x v="4"/>
    <x v="26"/>
    <x v="5"/>
    <s v=" 1320.0"/>
    <n v="6"/>
    <n v="1320"/>
  </r>
  <r>
    <x v="4"/>
    <x v="27"/>
    <x v="0"/>
    <s v=" 10132.0"/>
    <n v="7"/>
    <n v="10132"/>
  </r>
  <r>
    <x v="4"/>
    <x v="27"/>
    <x v="1"/>
    <s v=" 9832.0"/>
    <n v="6"/>
    <n v="9832"/>
  </r>
  <r>
    <x v="4"/>
    <x v="27"/>
    <x v="2"/>
    <s v=" 19964.0"/>
    <n v="7"/>
    <n v="19964"/>
  </r>
  <r>
    <x v="4"/>
    <x v="27"/>
    <x v="3"/>
    <s v=" 4164.0"/>
    <n v="6"/>
    <n v="4164"/>
  </r>
  <r>
    <x v="4"/>
    <x v="27"/>
    <x v="4"/>
    <s v=" 13240.0"/>
    <n v="7"/>
    <n v="13240"/>
  </r>
  <r>
    <x v="4"/>
    <x v="27"/>
    <x v="5"/>
    <s v=" 2560.0"/>
    <n v="6"/>
    <n v="2560"/>
  </r>
  <r>
    <x v="4"/>
    <x v="28"/>
    <x v="0"/>
    <s v=" 88474.0"/>
    <n v="7"/>
    <n v="88474"/>
  </r>
  <r>
    <x v="4"/>
    <x v="28"/>
    <x v="1"/>
    <s v=" 87626.0"/>
    <n v="7"/>
    <n v="87626"/>
  </r>
  <r>
    <x v="4"/>
    <x v="28"/>
    <x v="2"/>
    <s v=" 176100.0"/>
    <n v="8"/>
    <n v="176100"/>
  </r>
  <r>
    <x v="4"/>
    <x v="28"/>
    <x v="3"/>
    <s v=" 37279.0"/>
    <n v="7"/>
    <n v="37279"/>
  </r>
  <r>
    <x v="4"/>
    <x v="28"/>
    <x v="4"/>
    <s v=" 119037.0"/>
    <n v="8"/>
    <n v="119037"/>
  </r>
  <r>
    <x v="4"/>
    <x v="28"/>
    <x v="5"/>
    <s v=" 19784.0"/>
    <n v="7"/>
    <n v="19784"/>
  </r>
  <r>
    <x v="4"/>
    <x v="29"/>
    <x v="0"/>
    <s v=" 7453.0"/>
    <n v="6"/>
    <n v="7453"/>
  </r>
  <r>
    <x v="4"/>
    <x v="29"/>
    <x v="1"/>
    <s v=" 6978.0"/>
    <n v="6"/>
    <n v="6978"/>
  </r>
  <r>
    <x v="4"/>
    <x v="29"/>
    <x v="2"/>
    <s v=" 14431.0"/>
    <n v="7"/>
    <n v="14431"/>
  </r>
  <r>
    <x v="4"/>
    <x v="29"/>
    <x v="3"/>
    <s v=" 3180.0"/>
    <n v="6"/>
    <n v="3180"/>
  </r>
  <r>
    <x v="4"/>
    <x v="29"/>
    <x v="4"/>
    <s v=" 9756.0"/>
    <n v="6"/>
    <n v="9756"/>
  </r>
  <r>
    <x v="4"/>
    <x v="29"/>
    <x v="5"/>
    <s v=" 1495.0"/>
    <n v="6"/>
    <n v="1495"/>
  </r>
  <r>
    <x v="4"/>
    <x v="30"/>
    <x v="0"/>
    <s v=" 5898.0"/>
    <n v="6"/>
    <n v="5898"/>
  </r>
  <r>
    <x v="4"/>
    <x v="30"/>
    <x v="1"/>
    <s v=" 5692.0"/>
    <n v="6"/>
    <n v="5692"/>
  </r>
  <r>
    <x v="4"/>
    <x v="30"/>
    <x v="2"/>
    <s v=" 11590.0"/>
    <n v="7"/>
    <n v="11590"/>
  </r>
  <r>
    <x v="4"/>
    <x v="30"/>
    <x v="3"/>
    <s v=" 2364.0"/>
    <n v="6"/>
    <n v="2364"/>
  </r>
  <r>
    <x v="4"/>
    <x v="30"/>
    <x v="4"/>
    <s v=" 7465.0"/>
    <n v="6"/>
    <n v="7465"/>
  </r>
  <r>
    <x v="4"/>
    <x v="30"/>
    <x v="5"/>
    <s v=" 1761.0"/>
    <n v="6"/>
    <n v="1761"/>
  </r>
  <r>
    <x v="4"/>
    <x v="31"/>
    <x v="0"/>
    <s v=" 3961.0"/>
    <n v="6"/>
    <n v="3961"/>
  </r>
  <r>
    <x v="4"/>
    <x v="31"/>
    <x v="1"/>
    <s v=" 3879.0"/>
    <n v="6"/>
    <n v="3879"/>
  </r>
  <r>
    <x v="4"/>
    <x v="31"/>
    <x v="2"/>
    <s v=" 7840.0"/>
    <n v="6"/>
    <n v="7840"/>
  </r>
  <r>
    <x v="4"/>
    <x v="31"/>
    <x v="3"/>
    <s v=" 1653.0"/>
    <n v="6"/>
    <n v="1653"/>
  </r>
  <r>
    <x v="4"/>
    <x v="31"/>
    <x v="4"/>
    <s v=" 4954.0"/>
    <n v="6"/>
    <n v="4954"/>
  </r>
  <r>
    <x v="4"/>
    <x v="31"/>
    <x v="5"/>
    <s v=" 1233.0"/>
    <n v="6"/>
    <n v="1233"/>
  </r>
  <r>
    <x v="4"/>
    <x v="32"/>
    <x v="0"/>
    <s v=" 28774.0"/>
    <n v="7"/>
    <n v="28774"/>
  </r>
  <r>
    <x v="4"/>
    <x v="32"/>
    <x v="1"/>
    <s v=" 28586.0"/>
    <n v="7"/>
    <n v="28586"/>
  </r>
  <r>
    <x v="4"/>
    <x v="32"/>
    <x v="2"/>
    <s v=" 57360.0"/>
    <n v="7"/>
    <n v="57360"/>
  </r>
  <r>
    <x v="4"/>
    <x v="32"/>
    <x v="3"/>
    <s v=" 11965.0"/>
    <n v="7"/>
    <n v="11965"/>
  </r>
  <r>
    <x v="4"/>
    <x v="32"/>
    <x v="4"/>
    <s v=" 36693.0"/>
    <n v="7"/>
    <n v="36693"/>
  </r>
  <r>
    <x v="4"/>
    <x v="32"/>
    <x v="5"/>
    <s v=" 8702.0"/>
    <n v="6"/>
    <n v="8702"/>
  </r>
  <r>
    <x v="4"/>
    <x v="33"/>
    <x v="0"/>
    <s v=" 2979.0"/>
    <n v="6"/>
    <n v="2979"/>
  </r>
  <r>
    <x v="4"/>
    <x v="33"/>
    <x v="1"/>
    <s v=" 2802.0"/>
    <n v="6"/>
    <n v="2802"/>
  </r>
  <r>
    <x v="4"/>
    <x v="33"/>
    <x v="2"/>
    <s v=" 5781.0"/>
    <n v="6"/>
    <n v="5781"/>
  </r>
  <r>
    <x v="4"/>
    <x v="33"/>
    <x v="3"/>
    <s v=" 1047.0"/>
    <n v="6"/>
    <n v="1047"/>
  </r>
  <r>
    <x v="4"/>
    <x v="33"/>
    <x v="4"/>
    <s v=" 3565.0"/>
    <n v="6"/>
    <n v="3565"/>
  </r>
  <r>
    <x v="4"/>
    <x v="33"/>
    <x v="5"/>
    <s v=" 1169.0"/>
    <n v="6"/>
    <n v="1169"/>
  </r>
  <r>
    <x v="5"/>
    <x v="34"/>
    <x v="0"/>
    <s v=" 430248.0"/>
    <n v="8"/>
    <n v="430248"/>
  </r>
  <r>
    <x v="5"/>
    <x v="34"/>
    <x v="1"/>
    <s v=" 449019.0"/>
    <n v="8"/>
    <n v="449019"/>
  </r>
  <r>
    <x v="5"/>
    <x v="34"/>
    <x v="2"/>
    <s v=" 879267.0"/>
    <n v="8"/>
    <n v="879267"/>
  </r>
  <r>
    <x v="5"/>
    <x v="34"/>
    <x v="3"/>
    <s v=" 170557.0"/>
    <n v="8"/>
    <n v="170557"/>
  </r>
  <r>
    <x v="5"/>
    <x v="34"/>
    <x v="4"/>
    <s v=" 580371.0"/>
    <n v="8"/>
    <n v="580371"/>
  </r>
  <r>
    <x v="5"/>
    <x v="34"/>
    <x v="5"/>
    <s v=" 128339.0"/>
    <n v="8"/>
    <n v="128339"/>
  </r>
  <r>
    <x v="5"/>
    <x v="35"/>
    <x v="0"/>
    <s v=" 2284.0"/>
    <n v="6"/>
    <n v="2284"/>
  </r>
  <r>
    <x v="5"/>
    <x v="35"/>
    <x v="1"/>
    <s v=" 2249.0"/>
    <n v="6"/>
    <n v="2249"/>
  </r>
  <r>
    <x v="5"/>
    <x v="35"/>
    <x v="2"/>
    <s v=" 4533.0"/>
    <n v="6"/>
    <n v="4533"/>
  </r>
  <r>
    <x v="5"/>
    <x v="35"/>
    <x v="3"/>
    <s v=" 923.0"/>
    <n v="5"/>
    <n v="923"/>
  </r>
  <r>
    <x v="5"/>
    <x v="35"/>
    <x v="4"/>
    <s v=" 2837.0"/>
    <n v="6"/>
    <n v="2837"/>
  </r>
  <r>
    <x v="5"/>
    <x v="35"/>
    <x v="5"/>
    <s v=" 773.0"/>
    <n v="5"/>
    <n v="773"/>
  </r>
  <r>
    <x v="5"/>
    <x v="36"/>
    <x v="0"/>
    <s v=" 130296.0"/>
    <n v="8"/>
    <n v="130296"/>
  </r>
  <r>
    <x v="5"/>
    <x v="36"/>
    <x v="1"/>
    <s v=" 137104.0"/>
    <n v="8"/>
    <n v="137104"/>
  </r>
  <r>
    <x v="5"/>
    <x v="36"/>
    <x v="2"/>
    <s v=" 267400.0"/>
    <n v="8"/>
    <n v="267400"/>
  </r>
  <r>
    <x v="5"/>
    <x v="36"/>
    <x v="3"/>
    <s v=" 50811.0"/>
    <n v="7"/>
    <n v="50811"/>
  </r>
  <r>
    <x v="5"/>
    <x v="36"/>
    <x v="4"/>
    <s v=" 180290.0"/>
    <n v="8"/>
    <n v="180290"/>
  </r>
  <r>
    <x v="5"/>
    <x v="36"/>
    <x v="5"/>
    <s v=" 36299.0"/>
    <n v="7"/>
    <n v="36299"/>
  </r>
  <r>
    <x v="5"/>
    <x v="37"/>
    <x v="0"/>
    <s v=" 134319.0"/>
    <n v="8"/>
    <n v="134319"/>
  </r>
  <r>
    <x v="5"/>
    <x v="37"/>
    <x v="1"/>
    <s v=" 141325.0"/>
    <n v="8"/>
    <n v="141325"/>
  </r>
  <r>
    <x v="5"/>
    <x v="37"/>
    <x v="2"/>
    <s v=" 275644.0"/>
    <n v="8"/>
    <n v="275644"/>
  </r>
  <r>
    <x v="5"/>
    <x v="37"/>
    <x v="3"/>
    <s v=" 55207.0"/>
    <n v="7"/>
    <n v="55207"/>
  </r>
  <r>
    <x v="5"/>
    <x v="37"/>
    <x v="4"/>
    <s v=" 184127.0"/>
    <n v="8"/>
    <n v="184127"/>
  </r>
  <r>
    <x v="5"/>
    <x v="37"/>
    <x v="5"/>
    <s v=" 36310.0"/>
    <n v="7"/>
    <n v="36310"/>
  </r>
  <r>
    <x v="5"/>
    <x v="38"/>
    <x v="0"/>
    <s v=" 2320.0"/>
    <n v="6"/>
    <n v="2320"/>
  </r>
  <r>
    <x v="5"/>
    <x v="38"/>
    <x v="1"/>
    <s v=" 2389.0"/>
    <n v="6"/>
    <n v="2389"/>
  </r>
  <r>
    <x v="5"/>
    <x v="38"/>
    <x v="2"/>
    <s v=" 4709.0"/>
    <n v="6"/>
    <n v="4709"/>
  </r>
  <r>
    <x v="5"/>
    <x v="38"/>
    <x v="3"/>
    <s v=" 790.0"/>
    <n v="5"/>
    <n v="790"/>
  </r>
  <r>
    <x v="5"/>
    <x v="38"/>
    <x v="4"/>
    <s v=" 3062.0"/>
    <n v="6"/>
    <n v="3062"/>
  </r>
  <r>
    <x v="5"/>
    <x v="38"/>
    <x v="5"/>
    <s v=" 857.0"/>
    <n v="5"/>
    <n v="857"/>
  </r>
  <r>
    <x v="5"/>
    <x v="39"/>
    <x v="0"/>
    <s v=" 15019.0"/>
    <n v="7"/>
    <n v="15019"/>
  </r>
  <r>
    <x v="5"/>
    <x v="39"/>
    <x v="1"/>
    <s v=" 15522.0"/>
    <n v="7"/>
    <n v="15522"/>
  </r>
  <r>
    <x v="5"/>
    <x v="39"/>
    <x v="2"/>
    <s v=" 30541.0"/>
    <n v="7"/>
    <n v="30541"/>
  </r>
  <r>
    <x v="5"/>
    <x v="39"/>
    <x v="3"/>
    <s v=" 5978.0"/>
    <n v="6"/>
    <n v="5978"/>
  </r>
  <r>
    <x v="5"/>
    <x v="39"/>
    <x v="4"/>
    <s v=" 19829.0"/>
    <n v="7"/>
    <n v="19829"/>
  </r>
  <r>
    <x v="5"/>
    <x v="39"/>
    <x v="5"/>
    <s v=" 4734.0"/>
    <n v="6"/>
    <n v="4734"/>
  </r>
  <r>
    <x v="5"/>
    <x v="40"/>
    <x v="0"/>
    <s v=" 5872.0"/>
    <n v="6"/>
    <n v="5872"/>
  </r>
  <r>
    <x v="5"/>
    <x v="40"/>
    <x v="1"/>
    <s v=" 5964.0"/>
    <n v="6"/>
    <n v="5964"/>
  </r>
  <r>
    <x v="5"/>
    <x v="40"/>
    <x v="2"/>
    <s v=" 11836.0"/>
    <n v="7"/>
    <n v="11836"/>
  </r>
  <r>
    <x v="5"/>
    <x v="40"/>
    <x v="3"/>
    <s v=" 2309.0"/>
    <n v="6"/>
    <n v="2309"/>
  </r>
  <r>
    <x v="5"/>
    <x v="40"/>
    <x v="4"/>
    <s v=" 7542.0"/>
    <n v="6"/>
    <n v="7542"/>
  </r>
  <r>
    <x v="5"/>
    <x v="40"/>
    <x v="5"/>
    <s v=" 1985.0"/>
    <n v="6"/>
    <n v="1985"/>
  </r>
  <r>
    <x v="5"/>
    <x v="41"/>
    <x v="0"/>
    <s v=" 2113.0"/>
    <n v="6"/>
    <n v="2113"/>
  </r>
  <r>
    <x v="5"/>
    <x v="41"/>
    <x v="1"/>
    <s v=" 2195.0"/>
    <n v="6"/>
    <n v="2195"/>
  </r>
  <r>
    <x v="5"/>
    <x v="41"/>
    <x v="2"/>
    <s v=" 4308.0"/>
    <n v="6"/>
    <n v="4308"/>
  </r>
  <r>
    <x v="5"/>
    <x v="41"/>
    <x v="3"/>
    <s v=" 664.0"/>
    <n v="5"/>
    <n v="664"/>
  </r>
  <r>
    <x v="5"/>
    <x v="41"/>
    <x v="4"/>
    <s v=" 2601.0"/>
    <n v="6"/>
    <n v="2601"/>
  </r>
  <r>
    <x v="5"/>
    <x v="41"/>
    <x v="5"/>
    <s v=" 1043.0"/>
    <n v="6"/>
    <n v="1043"/>
  </r>
  <r>
    <x v="5"/>
    <x v="42"/>
    <x v="0"/>
    <s v=" 60896.0"/>
    <n v="7"/>
    <n v="60896"/>
  </r>
  <r>
    <x v="5"/>
    <x v="42"/>
    <x v="1"/>
    <s v=" 63505.0"/>
    <n v="7"/>
    <n v="63505"/>
  </r>
  <r>
    <x v="5"/>
    <x v="42"/>
    <x v="2"/>
    <s v=" 124401.0"/>
    <n v="8"/>
    <n v="124401"/>
  </r>
  <r>
    <x v="5"/>
    <x v="42"/>
    <x v="3"/>
    <s v=" 24620.0"/>
    <n v="7"/>
    <n v="24620"/>
  </r>
  <r>
    <x v="5"/>
    <x v="42"/>
    <x v="4"/>
    <s v=" 81212.0"/>
    <n v="7"/>
    <n v="81212"/>
  </r>
  <r>
    <x v="5"/>
    <x v="42"/>
    <x v="5"/>
    <s v=" 18569.0"/>
    <n v="7"/>
    <n v="18569"/>
  </r>
  <r>
    <x v="5"/>
    <x v="43"/>
    <x v="0"/>
    <s v=" 16163.0"/>
    <n v="7"/>
    <n v="16163"/>
  </r>
  <r>
    <x v="5"/>
    <x v="43"/>
    <x v="1"/>
    <s v=" 16509.0"/>
    <n v="7"/>
    <n v="16509"/>
  </r>
  <r>
    <x v="5"/>
    <x v="43"/>
    <x v="2"/>
    <s v=" 32672.0"/>
    <n v="7"/>
    <n v="32672"/>
  </r>
  <r>
    <x v="5"/>
    <x v="43"/>
    <x v="3"/>
    <s v=" 6415.0"/>
    <n v="6"/>
    <n v="6415"/>
  </r>
  <r>
    <x v="5"/>
    <x v="43"/>
    <x v="4"/>
    <s v=" 20925.0"/>
    <n v="7"/>
    <n v="20925"/>
  </r>
  <r>
    <x v="5"/>
    <x v="43"/>
    <x v="5"/>
    <s v=" 5332.0"/>
    <n v="6"/>
    <n v="5332"/>
  </r>
  <r>
    <x v="5"/>
    <x v="44"/>
    <x v="0"/>
    <s v=" 6172.0"/>
    <n v="6"/>
    <n v="6172"/>
  </r>
  <r>
    <x v="5"/>
    <x v="44"/>
    <x v="1"/>
    <s v=" 6342.0"/>
    <n v="6"/>
    <n v="6342"/>
  </r>
  <r>
    <x v="5"/>
    <x v="44"/>
    <x v="2"/>
    <s v=" 12514.0"/>
    <n v="7"/>
    <n v="12514"/>
  </r>
  <r>
    <x v="5"/>
    <x v="44"/>
    <x v="3"/>
    <s v=" 2484.0"/>
    <n v="6"/>
    <n v="2484"/>
  </r>
  <r>
    <x v="5"/>
    <x v="44"/>
    <x v="4"/>
    <s v=" 7719.0"/>
    <n v="6"/>
    <n v="7719"/>
  </r>
  <r>
    <x v="5"/>
    <x v="44"/>
    <x v="5"/>
    <s v=" 2311.0"/>
    <n v="6"/>
    <n v="2311"/>
  </r>
  <r>
    <x v="5"/>
    <x v="45"/>
    <x v="0"/>
    <s v=" 6826.0"/>
    <n v="6"/>
    <n v="6826"/>
  </r>
  <r>
    <x v="5"/>
    <x v="45"/>
    <x v="1"/>
    <s v=" 7029.0"/>
    <n v="6"/>
    <n v="7029"/>
  </r>
  <r>
    <x v="5"/>
    <x v="45"/>
    <x v="2"/>
    <s v=" 13855.0"/>
    <n v="7"/>
    <n v="13855"/>
  </r>
  <r>
    <x v="5"/>
    <x v="45"/>
    <x v="3"/>
    <s v=" 2231.0"/>
    <n v="6"/>
    <n v="2231"/>
  </r>
  <r>
    <x v="5"/>
    <x v="45"/>
    <x v="4"/>
    <s v=" 8411.0"/>
    <n v="6"/>
    <n v="8411"/>
  </r>
  <r>
    <x v="5"/>
    <x v="45"/>
    <x v="5"/>
    <s v=" 3213.0"/>
    <n v="6"/>
    <n v="3213"/>
  </r>
  <r>
    <x v="5"/>
    <x v="46"/>
    <x v="0"/>
    <s v=" 4749.0"/>
    <n v="6"/>
    <n v="4749"/>
  </r>
  <r>
    <x v="5"/>
    <x v="46"/>
    <x v="1"/>
    <s v=" 4760.0"/>
    <n v="6"/>
    <n v="4760"/>
  </r>
  <r>
    <x v="5"/>
    <x v="46"/>
    <x v="2"/>
    <s v=" 9509.0"/>
    <n v="6"/>
    <n v="9509"/>
  </r>
  <r>
    <x v="5"/>
    <x v="46"/>
    <x v="3"/>
    <s v=" 1508.0"/>
    <n v="6"/>
    <n v="1508"/>
  </r>
  <r>
    <x v="5"/>
    <x v="46"/>
    <x v="4"/>
    <s v=" 5703.0"/>
    <n v="6"/>
    <n v="5703"/>
  </r>
  <r>
    <x v="5"/>
    <x v="46"/>
    <x v="5"/>
    <s v=" 2298.0"/>
    <n v="6"/>
    <n v="2298"/>
  </r>
  <r>
    <x v="5"/>
    <x v="47"/>
    <x v="0"/>
    <s v=" 16045.0"/>
    <n v="7"/>
    <n v="16045"/>
  </r>
  <r>
    <x v="5"/>
    <x v="47"/>
    <x v="1"/>
    <s v=" 16976.0"/>
    <n v="7"/>
    <n v="16976"/>
  </r>
  <r>
    <x v="5"/>
    <x v="47"/>
    <x v="2"/>
    <s v=" 33021.0"/>
    <n v="7"/>
    <n v="33021"/>
  </r>
  <r>
    <x v="5"/>
    <x v="47"/>
    <x v="3"/>
    <s v=" 6348.0"/>
    <n v="6"/>
    <n v="6348"/>
  </r>
  <r>
    <x v="5"/>
    <x v="47"/>
    <x v="4"/>
    <s v=" 20972.0"/>
    <n v="7"/>
    <n v="20972"/>
  </r>
  <r>
    <x v="5"/>
    <x v="47"/>
    <x v="5"/>
    <s v=" 5701.0"/>
    <n v="6"/>
    <n v="5701"/>
  </r>
  <r>
    <x v="5"/>
    <x v="48"/>
    <x v="0"/>
    <s v=" 14909.0"/>
    <n v="7"/>
    <n v="14909"/>
  </r>
  <r>
    <x v="5"/>
    <x v="48"/>
    <x v="1"/>
    <s v=" 15007.0"/>
    <n v="7"/>
    <n v="15007"/>
  </r>
  <r>
    <x v="5"/>
    <x v="48"/>
    <x v="2"/>
    <s v=" 29916.0"/>
    <n v="7"/>
    <n v="29916"/>
  </r>
  <r>
    <x v="5"/>
    <x v="48"/>
    <x v="3"/>
    <s v=" 5637.0"/>
    <n v="6"/>
    <n v="5637"/>
  </r>
  <r>
    <x v="5"/>
    <x v="48"/>
    <x v="4"/>
    <s v=" 19318.0"/>
    <n v="7"/>
    <n v="19318"/>
  </r>
  <r>
    <x v="5"/>
    <x v="48"/>
    <x v="5"/>
    <s v=" 4961.0"/>
    <n v="6"/>
    <n v="4961"/>
  </r>
  <r>
    <x v="5"/>
    <x v="49"/>
    <x v="0"/>
    <s v=" 12265.0"/>
    <n v="7"/>
    <n v="12265"/>
  </r>
  <r>
    <x v="5"/>
    <x v="49"/>
    <x v="1"/>
    <s v=" 12143.0"/>
    <n v="7"/>
    <n v="12143"/>
  </r>
  <r>
    <x v="5"/>
    <x v="49"/>
    <x v="2"/>
    <s v=" 24408.0"/>
    <n v="7"/>
    <n v="24408"/>
  </r>
  <r>
    <x v="5"/>
    <x v="49"/>
    <x v="3"/>
    <s v=" 4632.0"/>
    <n v="6"/>
    <n v="4632"/>
  </r>
  <r>
    <x v="5"/>
    <x v="49"/>
    <x v="4"/>
    <s v=" 15823.0"/>
    <n v="7"/>
    <n v="15823"/>
  </r>
  <r>
    <x v="5"/>
    <x v="49"/>
    <x v="5"/>
    <s v=" 3953.0"/>
    <n v="6"/>
    <n v="3953"/>
  </r>
  <r>
    <x v="6"/>
    <x v="50"/>
    <x v="0"/>
    <s v=" 990348.0"/>
    <n v="8"/>
    <n v="990348"/>
  </r>
  <r>
    <x v="6"/>
    <x v="50"/>
    <x v="1"/>
    <s v=" 1035345.0"/>
    <n v="9"/>
    <n v="1035345"/>
  </r>
  <r>
    <x v="6"/>
    <x v="50"/>
    <x v="2"/>
    <s v=" 2025693.0"/>
    <n v="9"/>
    <n v="2025693"/>
  </r>
  <r>
    <x v="6"/>
    <x v="50"/>
    <x v="3"/>
    <s v=" 354619.0"/>
    <n v="8"/>
    <n v="354619"/>
  </r>
  <r>
    <x v="6"/>
    <x v="50"/>
    <x v="4"/>
    <s v=" 1334614.0"/>
    <n v="9"/>
    <n v="1334614"/>
  </r>
  <r>
    <x v="6"/>
    <x v="50"/>
    <x v="5"/>
    <s v=" 336460.0"/>
    <n v="8"/>
    <n v="336460"/>
  </r>
  <r>
    <x v="6"/>
    <x v="51"/>
    <x v="0"/>
    <s v=" 4381.0"/>
    <n v="6"/>
    <n v="4381"/>
  </r>
  <r>
    <x v="6"/>
    <x v="51"/>
    <x v="1"/>
    <s v=" 4491.0"/>
    <n v="6"/>
    <n v="4491"/>
  </r>
  <r>
    <x v="6"/>
    <x v="51"/>
    <x v="2"/>
    <s v=" 8872.0"/>
    <n v="6"/>
    <n v="8872"/>
  </r>
  <r>
    <x v="6"/>
    <x v="51"/>
    <x v="3"/>
    <s v=" 1871.0"/>
    <n v="6"/>
    <n v="1871"/>
  </r>
  <r>
    <x v="6"/>
    <x v="51"/>
    <x v="4"/>
    <s v=" 6351.0"/>
    <n v="6"/>
    <n v="6351"/>
  </r>
  <r>
    <x v="6"/>
    <x v="51"/>
    <x v="5"/>
    <s v=" 650.0"/>
    <n v="5"/>
    <n v="650"/>
  </r>
  <r>
    <x v="6"/>
    <x v="52"/>
    <x v="0"/>
    <s v=" 5281.0"/>
    <n v="6"/>
    <n v="5281"/>
  </r>
  <r>
    <x v="6"/>
    <x v="52"/>
    <x v="1"/>
    <s v=" 5352.0"/>
    <n v="6"/>
    <n v="5352"/>
  </r>
  <r>
    <x v="6"/>
    <x v="52"/>
    <x v="2"/>
    <s v=" 10633.0"/>
    <n v="7"/>
    <n v="10633"/>
  </r>
  <r>
    <x v="6"/>
    <x v="52"/>
    <x v="3"/>
    <s v=" 1830.0"/>
    <n v="6"/>
    <n v="1830"/>
  </r>
  <r>
    <x v="6"/>
    <x v="52"/>
    <x v="4"/>
    <s v=" 6906.0"/>
    <n v="6"/>
    <n v="6906"/>
  </r>
  <r>
    <x v="6"/>
    <x v="52"/>
    <x v="5"/>
    <s v=" 1897.0"/>
    <n v="6"/>
    <n v="1897"/>
  </r>
  <r>
    <x v="6"/>
    <x v="53"/>
    <x v="0"/>
    <s v=" 10211.0"/>
    <n v="7"/>
    <n v="10211"/>
  </r>
  <r>
    <x v="6"/>
    <x v="53"/>
    <x v="1"/>
    <s v=" 10546.0"/>
    <n v="7"/>
    <n v="10546"/>
  </r>
  <r>
    <x v="6"/>
    <x v="53"/>
    <x v="2"/>
    <s v=" 20757.0"/>
    <n v="7"/>
    <n v="20757"/>
  </r>
  <r>
    <x v="6"/>
    <x v="53"/>
    <x v="3"/>
    <s v=" 4160.0"/>
    <n v="6"/>
    <n v="4160"/>
  </r>
  <r>
    <x v="6"/>
    <x v="53"/>
    <x v="4"/>
    <s v=" 13447.0"/>
    <n v="7"/>
    <n v="13447"/>
  </r>
  <r>
    <x v="6"/>
    <x v="53"/>
    <x v="5"/>
    <s v=" 3150.0"/>
    <n v="6"/>
    <n v="3150"/>
  </r>
  <r>
    <x v="6"/>
    <x v="54"/>
    <x v="0"/>
    <s v=" 18843.0"/>
    <n v="7"/>
    <n v="18843"/>
  </r>
  <r>
    <x v="6"/>
    <x v="54"/>
    <x v="1"/>
    <s v=" 19544.0"/>
    <n v="7"/>
    <n v="19544"/>
  </r>
  <r>
    <x v="6"/>
    <x v="54"/>
    <x v="2"/>
    <s v=" 38387.0"/>
    <n v="7"/>
    <n v="38387"/>
  </r>
  <r>
    <x v="6"/>
    <x v="54"/>
    <x v="3"/>
    <s v=" 7042.0"/>
    <n v="6"/>
    <n v="7042"/>
  </r>
  <r>
    <x v="6"/>
    <x v="54"/>
    <x v="4"/>
    <s v=" 25021.0"/>
    <n v="7"/>
    <n v="25021"/>
  </r>
  <r>
    <x v="6"/>
    <x v="54"/>
    <x v="5"/>
    <s v=" 6324.0"/>
    <n v="6"/>
    <n v="6324"/>
  </r>
  <r>
    <x v="6"/>
    <x v="55"/>
    <x v="0"/>
    <s v=" 3198.0"/>
    <n v="6"/>
    <n v="3198"/>
  </r>
  <r>
    <x v="6"/>
    <x v="55"/>
    <x v="1"/>
    <s v=" 3240.0"/>
    <n v="6"/>
    <n v="3240"/>
  </r>
  <r>
    <x v="6"/>
    <x v="55"/>
    <x v="2"/>
    <s v=" 6438.0"/>
    <n v="6"/>
    <n v="6438"/>
  </r>
  <r>
    <x v="6"/>
    <x v="55"/>
    <x v="3"/>
    <s v=" 1131.0"/>
    <n v="6"/>
    <n v="1131"/>
  </r>
  <r>
    <x v="6"/>
    <x v="55"/>
    <x v="4"/>
    <s v=" 4270.0"/>
    <n v="6"/>
    <n v="4270"/>
  </r>
  <r>
    <x v="6"/>
    <x v="55"/>
    <x v="5"/>
    <s v=" 1037.0"/>
    <n v="6"/>
    <n v="1037"/>
  </r>
  <r>
    <x v="6"/>
    <x v="56"/>
    <x v="0"/>
    <s v=" 4161.0"/>
    <n v="6"/>
    <n v="4161"/>
  </r>
  <r>
    <x v="6"/>
    <x v="56"/>
    <x v="1"/>
    <s v=" 4207.0"/>
    <n v="6"/>
    <n v="4207"/>
  </r>
  <r>
    <x v="6"/>
    <x v="56"/>
    <x v="2"/>
    <s v=" 8368.0"/>
    <n v="6"/>
    <n v="8368"/>
  </r>
  <r>
    <x v="6"/>
    <x v="56"/>
    <x v="3"/>
    <s v=" 1409.0"/>
    <n v="6"/>
    <n v="1409"/>
  </r>
  <r>
    <x v="6"/>
    <x v="56"/>
    <x v="4"/>
    <s v=" 5513.0"/>
    <n v="6"/>
    <n v="5513"/>
  </r>
  <r>
    <x v="6"/>
    <x v="56"/>
    <x v="5"/>
    <s v=" 1446.0"/>
    <n v="6"/>
    <n v="1446"/>
  </r>
  <r>
    <x v="6"/>
    <x v="57"/>
    <x v="0"/>
    <s v=" 8915.0"/>
    <n v="6"/>
    <n v="8915"/>
  </r>
  <r>
    <x v="6"/>
    <x v="57"/>
    <x v="1"/>
    <s v=" 9108.0"/>
    <n v="6"/>
    <n v="9108"/>
  </r>
  <r>
    <x v="6"/>
    <x v="57"/>
    <x v="2"/>
    <s v=" 18023.0"/>
    <n v="7"/>
    <n v="18023"/>
  </r>
  <r>
    <x v="6"/>
    <x v="57"/>
    <x v="3"/>
    <s v=" 3278.0"/>
    <n v="6"/>
    <n v="3278"/>
  </r>
  <r>
    <x v="6"/>
    <x v="57"/>
    <x v="4"/>
    <s v=" 11467.0"/>
    <n v="7"/>
    <n v="11467"/>
  </r>
  <r>
    <x v="6"/>
    <x v="57"/>
    <x v="5"/>
    <s v=" 3278.0"/>
    <n v="6"/>
    <n v="3278"/>
  </r>
  <r>
    <x v="6"/>
    <x v="58"/>
    <x v="0"/>
    <s v=" 10529.0"/>
    <n v="7"/>
    <n v="10529"/>
  </r>
  <r>
    <x v="6"/>
    <x v="58"/>
    <x v="1"/>
    <s v=" 10692.0"/>
    <n v="7"/>
    <n v="10692"/>
  </r>
  <r>
    <x v="6"/>
    <x v="58"/>
    <x v="2"/>
    <s v=" 21221.0"/>
    <n v="7"/>
    <n v="21221"/>
  </r>
  <r>
    <x v="6"/>
    <x v="58"/>
    <x v="3"/>
    <s v=" 3880.0"/>
    <n v="6"/>
    <n v="3880"/>
  </r>
  <r>
    <x v="6"/>
    <x v="58"/>
    <x v="4"/>
    <s v=" 13613.0"/>
    <n v="7"/>
    <n v="13613"/>
  </r>
  <r>
    <x v="6"/>
    <x v="58"/>
    <x v="5"/>
    <s v=" 3728.0"/>
    <n v="6"/>
    <n v="3728"/>
  </r>
  <r>
    <x v="6"/>
    <x v="59"/>
    <x v="0"/>
    <s v=" 11660.0"/>
    <n v="7"/>
    <n v="11660"/>
  </r>
  <r>
    <x v="6"/>
    <x v="59"/>
    <x v="1"/>
    <s v=" 11985.0"/>
    <n v="7"/>
    <n v="11985"/>
  </r>
  <r>
    <x v="6"/>
    <x v="59"/>
    <x v="2"/>
    <s v=" 23645.0"/>
    <n v="7"/>
    <n v="23645"/>
  </r>
  <r>
    <x v="6"/>
    <x v="59"/>
    <x v="3"/>
    <s v=" 4504.0"/>
    <n v="6"/>
    <n v="4504"/>
  </r>
  <r>
    <x v="6"/>
    <x v="59"/>
    <x v="4"/>
    <s v=" 15337.0"/>
    <n v="7"/>
    <n v="15337"/>
  </r>
  <r>
    <x v="6"/>
    <x v="59"/>
    <x v="5"/>
    <s v=" 3804.0"/>
    <n v="6"/>
    <n v="3804"/>
  </r>
  <r>
    <x v="6"/>
    <x v="60"/>
    <x v="0"/>
    <s v=" 8405.0"/>
    <n v="6"/>
    <n v="8405"/>
  </r>
  <r>
    <x v="6"/>
    <x v="60"/>
    <x v="1"/>
    <s v=" 8557.0"/>
    <n v="6"/>
    <n v="8557"/>
  </r>
  <r>
    <x v="6"/>
    <x v="60"/>
    <x v="2"/>
    <s v=" 16962.0"/>
    <n v="7"/>
    <n v="16962"/>
  </r>
  <r>
    <x v="6"/>
    <x v="60"/>
    <x v="3"/>
    <s v=" 3216.0"/>
    <n v="6"/>
    <n v="3216"/>
  </r>
  <r>
    <x v="6"/>
    <x v="60"/>
    <x v="4"/>
    <s v=" 11166.0"/>
    <n v="7"/>
    <n v="11166"/>
  </r>
  <r>
    <x v="6"/>
    <x v="60"/>
    <x v="5"/>
    <s v=" 2580.0"/>
    <n v="6"/>
    <n v="2580"/>
  </r>
  <r>
    <x v="6"/>
    <x v="61"/>
    <x v="0"/>
    <s v=" 42479.0"/>
    <n v="7"/>
    <n v="42479"/>
  </r>
  <r>
    <x v="6"/>
    <x v="61"/>
    <x v="1"/>
    <s v=" 44359.0"/>
    <n v="7"/>
    <n v="44359"/>
  </r>
  <r>
    <x v="6"/>
    <x v="61"/>
    <x v="2"/>
    <s v=" 86838.0"/>
    <n v="7"/>
    <n v="86838"/>
  </r>
  <r>
    <x v="6"/>
    <x v="61"/>
    <x v="3"/>
    <s v=" 17069.0"/>
    <n v="7"/>
    <n v="17069"/>
  </r>
  <r>
    <x v="6"/>
    <x v="61"/>
    <x v="4"/>
    <s v=" 57395.0"/>
    <n v="7"/>
    <n v="57395"/>
  </r>
  <r>
    <x v="6"/>
    <x v="61"/>
    <x v="5"/>
    <s v=" 12374.0"/>
    <n v="7"/>
    <n v="12374"/>
  </r>
  <r>
    <x v="6"/>
    <x v="62"/>
    <x v="0"/>
    <s v=" 3906.0"/>
    <n v="6"/>
    <n v="3906"/>
  </r>
  <r>
    <x v="6"/>
    <x v="62"/>
    <x v="1"/>
    <s v=" 3935.0"/>
    <n v="6"/>
    <n v="3935"/>
  </r>
  <r>
    <x v="6"/>
    <x v="62"/>
    <x v="2"/>
    <s v=" 7841.0"/>
    <n v="6"/>
    <n v="7841"/>
  </r>
  <r>
    <x v="6"/>
    <x v="62"/>
    <x v="3"/>
    <s v=" 1505.0"/>
    <n v="6"/>
    <n v="1505"/>
  </r>
  <r>
    <x v="6"/>
    <x v="62"/>
    <x v="4"/>
    <s v=" 5203.0"/>
    <n v="6"/>
    <n v="5203"/>
  </r>
  <r>
    <x v="6"/>
    <x v="62"/>
    <x v="5"/>
    <s v=" 1133.0"/>
    <n v="6"/>
    <n v="1133"/>
  </r>
  <r>
    <x v="6"/>
    <x v="63"/>
    <x v="0"/>
    <s v=" 7804.0"/>
    <n v="6"/>
    <n v="7804"/>
  </r>
  <r>
    <x v="6"/>
    <x v="63"/>
    <x v="1"/>
    <s v=" 7910.0"/>
    <n v="6"/>
    <n v="7910"/>
  </r>
  <r>
    <x v="6"/>
    <x v="63"/>
    <x v="2"/>
    <s v=" 15714.0"/>
    <n v="7"/>
    <n v="15714"/>
  </r>
  <r>
    <x v="6"/>
    <x v="63"/>
    <x v="3"/>
    <s v=" 2998.0"/>
    <n v="6"/>
    <n v="2998"/>
  </r>
  <r>
    <x v="6"/>
    <x v="63"/>
    <x v="4"/>
    <s v=" 10213.0"/>
    <n v="7"/>
    <n v="10213"/>
  </r>
  <r>
    <x v="6"/>
    <x v="63"/>
    <x v="5"/>
    <s v=" 2503.0"/>
    <n v="6"/>
    <n v="2503"/>
  </r>
  <r>
    <x v="6"/>
    <x v="64"/>
    <x v="0"/>
    <s v=" 19081.0"/>
    <n v="7"/>
    <n v="19081"/>
  </r>
  <r>
    <x v="6"/>
    <x v="64"/>
    <x v="1"/>
    <s v=" 19532.0"/>
    <n v="7"/>
    <n v="19532"/>
  </r>
  <r>
    <x v="6"/>
    <x v="64"/>
    <x v="2"/>
    <s v=" 38613.0"/>
    <n v="7"/>
    <n v="38613"/>
  </r>
  <r>
    <x v="6"/>
    <x v="64"/>
    <x v="3"/>
    <s v=" 7321.0"/>
    <n v="6"/>
    <n v="7321"/>
  </r>
  <r>
    <x v="6"/>
    <x v="64"/>
    <x v="4"/>
    <s v=" 25027.0"/>
    <n v="7"/>
    <n v="25027"/>
  </r>
  <r>
    <x v="6"/>
    <x v="64"/>
    <x v="5"/>
    <s v=" 6265.0"/>
    <n v="6"/>
    <n v="6265"/>
  </r>
  <r>
    <x v="6"/>
    <x v="65"/>
    <x v="0"/>
    <s v=" 26433.0"/>
    <n v="7"/>
    <n v="26433"/>
  </r>
  <r>
    <x v="6"/>
    <x v="65"/>
    <x v="1"/>
    <s v=" 27469.0"/>
    <n v="7"/>
    <n v="27469"/>
  </r>
  <r>
    <x v="6"/>
    <x v="65"/>
    <x v="2"/>
    <s v=" 53902.0"/>
    <n v="7"/>
    <n v="53902"/>
  </r>
  <r>
    <x v="6"/>
    <x v="65"/>
    <x v="3"/>
    <s v=" 10068.0"/>
    <n v="7"/>
    <n v="10068"/>
  </r>
  <r>
    <x v="6"/>
    <x v="65"/>
    <x v="4"/>
    <s v=" 35255.0"/>
    <n v="7"/>
    <n v="35255"/>
  </r>
  <r>
    <x v="6"/>
    <x v="65"/>
    <x v="5"/>
    <s v=" 8579.0"/>
    <n v="6"/>
    <n v="8579"/>
  </r>
  <r>
    <x v="6"/>
    <x v="66"/>
    <x v="0"/>
    <s v=" 9678.0"/>
    <n v="6"/>
    <n v="9678"/>
  </r>
  <r>
    <x v="6"/>
    <x v="66"/>
    <x v="1"/>
    <s v=" 9786.0"/>
    <n v="6"/>
    <n v="9786"/>
  </r>
  <r>
    <x v="6"/>
    <x v="66"/>
    <x v="2"/>
    <s v=" 19464.0"/>
    <n v="7"/>
    <n v="19464"/>
  </r>
  <r>
    <x v="6"/>
    <x v="66"/>
    <x v="3"/>
    <s v=" 3711.0"/>
    <n v="6"/>
    <n v="3711"/>
  </r>
  <r>
    <x v="6"/>
    <x v="66"/>
    <x v="4"/>
    <s v=" 12954.0"/>
    <n v="7"/>
    <n v="12954"/>
  </r>
  <r>
    <x v="6"/>
    <x v="66"/>
    <x v="5"/>
    <s v=" 2799.0"/>
    <n v="6"/>
    <n v="2799"/>
  </r>
  <r>
    <x v="6"/>
    <x v="67"/>
    <x v="0"/>
    <s v=" 10714.0"/>
    <n v="7"/>
    <n v="10714"/>
  </r>
  <r>
    <x v="6"/>
    <x v="67"/>
    <x v="1"/>
    <s v=" 11042.0"/>
    <n v="7"/>
    <n v="11042"/>
  </r>
  <r>
    <x v="6"/>
    <x v="67"/>
    <x v="2"/>
    <s v=" 21756.0"/>
    <n v="7"/>
    <n v="21756"/>
  </r>
  <r>
    <x v="6"/>
    <x v="67"/>
    <x v="3"/>
    <s v=" 4350.0"/>
    <n v="6"/>
    <n v="4350"/>
  </r>
  <r>
    <x v="6"/>
    <x v="67"/>
    <x v="4"/>
    <s v=" 14236.0"/>
    <n v="7"/>
    <n v="14236"/>
  </r>
  <r>
    <x v="6"/>
    <x v="67"/>
    <x v="5"/>
    <s v=" 3170.0"/>
    <n v="6"/>
    <n v="3170"/>
  </r>
  <r>
    <x v="6"/>
    <x v="68"/>
    <x v="0"/>
    <s v=" 13624.0"/>
    <n v="7"/>
    <n v="13624"/>
  </r>
  <r>
    <x v="6"/>
    <x v="68"/>
    <x v="1"/>
    <s v=" 14274.0"/>
    <n v="7"/>
    <n v="14274"/>
  </r>
  <r>
    <x v="6"/>
    <x v="68"/>
    <x v="2"/>
    <s v=" 27898.0"/>
    <n v="7"/>
    <n v="27898"/>
  </r>
  <r>
    <x v="6"/>
    <x v="68"/>
    <x v="3"/>
    <s v=" 5832.0"/>
    <n v="6"/>
    <n v="5832"/>
  </r>
  <r>
    <x v="6"/>
    <x v="68"/>
    <x v="4"/>
    <s v=" 18538.0"/>
    <n v="7"/>
    <n v="18538"/>
  </r>
  <r>
    <x v="6"/>
    <x v="68"/>
    <x v="5"/>
    <s v=" 3528.0"/>
    <n v="6"/>
    <n v="3528"/>
  </r>
  <r>
    <x v="6"/>
    <x v="69"/>
    <x v="0"/>
    <s v=" 33700.0"/>
    <n v="7"/>
    <n v="33700"/>
  </r>
  <r>
    <x v="6"/>
    <x v="69"/>
    <x v="1"/>
    <s v=" 35239.0"/>
    <n v="7"/>
    <n v="35239"/>
  </r>
  <r>
    <x v="6"/>
    <x v="69"/>
    <x v="2"/>
    <s v=" 68939.0"/>
    <n v="7"/>
    <n v="68939"/>
  </r>
  <r>
    <x v="6"/>
    <x v="69"/>
    <x v="3"/>
    <s v=" 13048.0"/>
    <n v="7"/>
    <n v="13048"/>
  </r>
  <r>
    <x v="6"/>
    <x v="69"/>
    <x v="4"/>
    <s v=" 45425.0"/>
    <n v="7"/>
    <n v="45425"/>
  </r>
  <r>
    <x v="6"/>
    <x v="69"/>
    <x v="5"/>
    <s v=" 10466.0"/>
    <n v="7"/>
    <n v="10466"/>
  </r>
  <r>
    <x v="6"/>
    <x v="70"/>
    <x v="0"/>
    <s v=" 13506.0"/>
    <n v="7"/>
    <n v="13506"/>
  </r>
  <r>
    <x v="6"/>
    <x v="70"/>
    <x v="1"/>
    <s v=" 13780.0"/>
    <n v="7"/>
    <n v="13780"/>
  </r>
  <r>
    <x v="6"/>
    <x v="70"/>
    <x v="2"/>
    <s v=" 27286.0"/>
    <n v="7"/>
    <n v="27286"/>
  </r>
  <r>
    <x v="6"/>
    <x v="70"/>
    <x v="3"/>
    <s v=" 5335.0"/>
    <n v="6"/>
    <n v="5335"/>
  </r>
  <r>
    <x v="6"/>
    <x v="70"/>
    <x v="4"/>
    <s v=" 17817.0"/>
    <n v="7"/>
    <n v="17817"/>
  </r>
  <r>
    <x v="6"/>
    <x v="70"/>
    <x v="5"/>
    <s v=" 4134.0"/>
    <n v="6"/>
    <n v="4134"/>
  </r>
  <r>
    <x v="6"/>
    <x v="71"/>
    <x v="0"/>
    <s v=" 5971.0"/>
    <n v="6"/>
    <n v="5971"/>
  </r>
  <r>
    <x v="6"/>
    <x v="71"/>
    <x v="1"/>
    <s v=" 6059.0"/>
    <n v="6"/>
    <n v="6059"/>
  </r>
  <r>
    <x v="6"/>
    <x v="71"/>
    <x v="2"/>
    <s v=" 12030.0"/>
    <n v="7"/>
    <n v="12030"/>
  </r>
  <r>
    <x v="6"/>
    <x v="71"/>
    <x v="3"/>
    <s v=" 2560.0"/>
    <n v="6"/>
    <n v="2560"/>
  </r>
  <r>
    <x v="6"/>
    <x v="71"/>
    <x v="4"/>
    <s v=" 7867.0"/>
    <n v="6"/>
    <n v="7867"/>
  </r>
  <r>
    <x v="6"/>
    <x v="71"/>
    <x v="5"/>
    <s v=" 1603.0"/>
    <n v="6"/>
    <n v="1603"/>
  </r>
  <r>
    <x v="6"/>
    <x v="72"/>
    <x v="0"/>
    <s v=" 8689.0"/>
    <n v="6"/>
    <n v="8689"/>
  </r>
  <r>
    <x v="6"/>
    <x v="72"/>
    <x v="1"/>
    <s v=" 8984.0"/>
    <n v="6"/>
    <n v="8984"/>
  </r>
  <r>
    <x v="6"/>
    <x v="72"/>
    <x v="2"/>
    <s v=" 17673.0"/>
    <n v="7"/>
    <n v="17673"/>
  </r>
  <r>
    <x v="6"/>
    <x v="72"/>
    <x v="3"/>
    <s v=" 3676.0"/>
    <n v="6"/>
    <n v="3676"/>
  </r>
  <r>
    <x v="6"/>
    <x v="72"/>
    <x v="4"/>
    <s v=" 11552.0"/>
    <n v="7"/>
    <n v="11552"/>
  </r>
  <r>
    <x v="6"/>
    <x v="72"/>
    <x v="5"/>
    <s v=" 2445.0"/>
    <n v="6"/>
    <n v="2445"/>
  </r>
  <r>
    <x v="6"/>
    <x v="73"/>
    <x v="0"/>
    <s v=" 49274.0"/>
    <n v="7"/>
    <n v="49274"/>
  </r>
  <r>
    <x v="6"/>
    <x v="73"/>
    <x v="1"/>
    <s v=" 51698.0"/>
    <n v="7"/>
    <n v="51698"/>
  </r>
  <r>
    <x v="6"/>
    <x v="73"/>
    <x v="2"/>
    <s v=" 100972.0"/>
    <n v="8"/>
    <n v="100972"/>
  </r>
  <r>
    <x v="6"/>
    <x v="73"/>
    <x v="3"/>
    <s v=" 18480.0"/>
    <n v="7"/>
    <n v="18480"/>
  </r>
  <r>
    <x v="6"/>
    <x v="73"/>
    <x v="4"/>
    <s v=" 66224.0"/>
    <n v="7"/>
    <n v="66224"/>
  </r>
  <r>
    <x v="6"/>
    <x v="73"/>
    <x v="5"/>
    <s v=" 16268.0"/>
    <n v="7"/>
    <n v="16268"/>
  </r>
  <r>
    <x v="6"/>
    <x v="74"/>
    <x v="0"/>
    <s v=" 23578.0"/>
    <n v="7"/>
    <n v="23578"/>
  </r>
  <r>
    <x v="6"/>
    <x v="74"/>
    <x v="1"/>
    <s v=" 24593.0"/>
    <n v="7"/>
    <n v="24593"/>
  </r>
  <r>
    <x v="6"/>
    <x v="74"/>
    <x v="2"/>
    <s v=" 48171.0"/>
    <n v="7"/>
    <n v="48171"/>
  </r>
  <r>
    <x v="6"/>
    <x v="74"/>
    <x v="3"/>
    <s v=" 8689.0"/>
    <n v="6"/>
    <n v="8689"/>
  </r>
  <r>
    <x v="6"/>
    <x v="74"/>
    <x v="4"/>
    <s v=" 32557.0"/>
    <n v="7"/>
    <n v="32557"/>
  </r>
  <r>
    <x v="6"/>
    <x v="74"/>
    <x v="5"/>
    <s v=" 6925.0"/>
    <n v="6"/>
    <n v="6925"/>
  </r>
  <r>
    <x v="6"/>
    <x v="75"/>
    <x v="0"/>
    <s v=" 9956.0"/>
    <n v="6"/>
    <n v="9956"/>
  </r>
  <r>
    <x v="6"/>
    <x v="75"/>
    <x v="1"/>
    <s v=" 10291.0"/>
    <n v="7"/>
    <n v="10291"/>
  </r>
  <r>
    <x v="6"/>
    <x v="75"/>
    <x v="2"/>
    <s v=" 20247.0"/>
    <n v="7"/>
    <n v="20247"/>
  </r>
  <r>
    <x v="6"/>
    <x v="75"/>
    <x v="3"/>
    <s v=" 3481.0"/>
    <n v="6"/>
    <n v="3481"/>
  </r>
  <r>
    <x v="6"/>
    <x v="75"/>
    <x v="4"/>
    <s v=" 12861.0"/>
    <n v="7"/>
    <n v="12861"/>
  </r>
  <r>
    <x v="6"/>
    <x v="75"/>
    <x v="5"/>
    <s v=" 3905.0"/>
    <n v="6"/>
    <n v="3905"/>
  </r>
  <r>
    <x v="6"/>
    <x v="76"/>
    <x v="0"/>
    <s v=" 25142.0"/>
    <n v="7"/>
    <n v="25142"/>
  </r>
  <r>
    <x v="6"/>
    <x v="76"/>
    <x v="1"/>
    <s v=" 26555.0"/>
    <n v="7"/>
    <n v="26555"/>
  </r>
  <r>
    <x v="6"/>
    <x v="76"/>
    <x v="2"/>
    <s v=" 51697.0"/>
    <n v="7"/>
    <n v="51697"/>
  </r>
  <r>
    <x v="6"/>
    <x v="76"/>
    <x v="3"/>
    <s v=" 9622.0"/>
    <n v="6"/>
    <n v="9622"/>
  </r>
  <r>
    <x v="6"/>
    <x v="76"/>
    <x v="4"/>
    <s v=" 33293.0"/>
    <n v="7"/>
    <n v="33293"/>
  </r>
  <r>
    <x v="6"/>
    <x v="76"/>
    <x v="5"/>
    <s v=" 8782.0"/>
    <n v="6"/>
    <n v="8782"/>
  </r>
  <r>
    <x v="6"/>
    <x v="77"/>
    <x v="0"/>
    <s v=" 179355.0"/>
    <n v="8"/>
    <n v="179355"/>
  </r>
  <r>
    <x v="6"/>
    <x v="77"/>
    <x v="1"/>
    <s v=" 192135.0"/>
    <n v="8"/>
    <n v="192135"/>
  </r>
  <r>
    <x v="6"/>
    <x v="77"/>
    <x v="2"/>
    <s v=" 371490.0"/>
    <n v="8"/>
    <n v="371490"/>
  </r>
  <r>
    <x v="6"/>
    <x v="77"/>
    <x v="3"/>
    <s v=" 56391.0"/>
    <n v="7"/>
    <n v="56391"/>
  </r>
  <r>
    <x v="6"/>
    <x v="77"/>
    <x v="4"/>
    <s v=" 248168.0"/>
    <n v="8"/>
    <n v="248168"/>
  </r>
  <r>
    <x v="6"/>
    <x v="77"/>
    <x v="5"/>
    <s v=" 66931.0"/>
    <n v="7"/>
    <n v="66931"/>
  </r>
  <r>
    <x v="6"/>
    <x v="78"/>
    <x v="0"/>
    <s v=" 157693.0"/>
    <n v="8"/>
    <n v="157693"/>
  </r>
  <r>
    <x v="6"/>
    <x v="78"/>
    <x v="1"/>
    <s v=" 163123.0"/>
    <n v="8"/>
    <n v="163123"/>
  </r>
  <r>
    <x v="6"/>
    <x v="78"/>
    <x v="2"/>
    <s v=" 320816.0"/>
    <n v="8"/>
    <n v="320816"/>
  </r>
  <r>
    <x v="6"/>
    <x v="78"/>
    <x v="3"/>
    <s v=" 52366.0"/>
    <n v="7"/>
    <n v="52366"/>
  </r>
  <r>
    <x v="6"/>
    <x v="78"/>
    <x v="4"/>
    <s v=" 215854.0"/>
    <n v="8"/>
    <n v="215854"/>
  </r>
  <r>
    <x v="6"/>
    <x v="78"/>
    <x v="5"/>
    <s v=" 52596.0"/>
    <n v="7"/>
    <n v="52596"/>
  </r>
  <r>
    <x v="6"/>
    <x v="79"/>
    <x v="0"/>
    <s v=" 71537.0"/>
    <n v="7"/>
    <n v="71537"/>
  </r>
  <r>
    <x v="6"/>
    <x v="79"/>
    <x v="1"/>
    <s v=" 75881.0"/>
    <n v="7"/>
    <n v="75881"/>
  </r>
  <r>
    <x v="6"/>
    <x v="79"/>
    <x v="2"/>
    <s v=" 147418.0"/>
    <n v="8"/>
    <n v="147418"/>
  </r>
  <r>
    <x v="6"/>
    <x v="79"/>
    <x v="3"/>
    <s v=" 27008.0"/>
    <n v="7"/>
    <n v="27008"/>
  </r>
  <r>
    <x v="6"/>
    <x v="79"/>
    <x v="4"/>
    <s v=" 96987.0"/>
    <n v="7"/>
    <n v="96987"/>
  </r>
  <r>
    <x v="6"/>
    <x v="79"/>
    <x v="5"/>
    <s v=" 23423.0"/>
    <n v="7"/>
    <n v="23423"/>
  </r>
  <r>
    <x v="6"/>
    <x v="80"/>
    <x v="0"/>
    <s v=" 84226.0"/>
    <n v="7"/>
    <n v="84226"/>
  </r>
  <r>
    <x v="6"/>
    <x v="80"/>
    <x v="1"/>
    <s v=" 89365.0"/>
    <n v="7"/>
    <n v="89365"/>
  </r>
  <r>
    <x v="6"/>
    <x v="80"/>
    <x v="2"/>
    <s v=" 173591.0"/>
    <n v="8"/>
    <n v="173591"/>
  </r>
  <r>
    <x v="6"/>
    <x v="80"/>
    <x v="3"/>
    <s v=" 29151.0"/>
    <n v="7"/>
    <n v="29151"/>
  </r>
  <r>
    <x v="6"/>
    <x v="80"/>
    <x v="4"/>
    <s v=" 113575.0"/>
    <n v="8"/>
    <n v="113575"/>
  </r>
  <r>
    <x v="6"/>
    <x v="80"/>
    <x v="5"/>
    <s v=" 30865.0"/>
    <n v="7"/>
    <n v="30865"/>
  </r>
  <r>
    <x v="6"/>
    <x v="81"/>
    <x v="0"/>
    <s v=" 15069.0"/>
    <n v="7"/>
    <n v="15069"/>
  </r>
  <r>
    <x v="6"/>
    <x v="81"/>
    <x v="1"/>
    <s v=" 15474.0"/>
    <n v="7"/>
    <n v="15474"/>
  </r>
  <r>
    <x v="6"/>
    <x v="81"/>
    <x v="2"/>
    <s v=" 30543.0"/>
    <n v="7"/>
    <n v="30543"/>
  </r>
  <r>
    <x v="6"/>
    <x v="81"/>
    <x v="3"/>
    <s v=" 5728.0"/>
    <n v="6"/>
    <n v="5728"/>
  </r>
  <r>
    <x v="6"/>
    <x v="81"/>
    <x v="4"/>
    <s v=" 20244.0"/>
    <n v="7"/>
    <n v="20244"/>
  </r>
  <r>
    <x v="6"/>
    <x v="81"/>
    <x v="5"/>
    <s v=" 4571.0"/>
    <n v="6"/>
    <n v="4571"/>
  </r>
  <r>
    <x v="6"/>
    <x v="82"/>
    <x v="0"/>
    <s v=" 7935.0"/>
    <n v="6"/>
    <n v="7935"/>
  </r>
  <r>
    <x v="6"/>
    <x v="82"/>
    <x v="1"/>
    <s v=" 8160.0"/>
    <n v="6"/>
    <n v="8160"/>
  </r>
  <r>
    <x v="6"/>
    <x v="82"/>
    <x v="2"/>
    <s v=" 16095.0"/>
    <n v="7"/>
    <n v="16095"/>
  </r>
  <r>
    <x v="6"/>
    <x v="82"/>
    <x v="3"/>
    <s v=" 2577.0"/>
    <n v="6"/>
    <n v="2577"/>
  </r>
  <r>
    <x v="6"/>
    <x v="82"/>
    <x v="4"/>
    <s v=" 9820.0"/>
    <n v="6"/>
    <n v="9820"/>
  </r>
  <r>
    <x v="6"/>
    <x v="82"/>
    <x v="5"/>
    <s v=" 3698.0"/>
    <n v="6"/>
    <n v="3698"/>
  </r>
  <r>
    <x v="6"/>
    <x v="83"/>
    <x v="0"/>
    <s v=" 9294.0"/>
    <n v="6"/>
    <n v="9294"/>
  </r>
  <r>
    <x v="6"/>
    <x v="83"/>
    <x v="1"/>
    <s v=" 9546.0"/>
    <n v="6"/>
    <n v="9546"/>
  </r>
  <r>
    <x v="6"/>
    <x v="83"/>
    <x v="2"/>
    <s v=" 18840.0"/>
    <n v="7"/>
    <n v="18840"/>
  </r>
  <r>
    <x v="6"/>
    <x v="83"/>
    <x v="3"/>
    <s v=" 3031.0"/>
    <n v="6"/>
    <n v="3031"/>
  </r>
  <r>
    <x v="6"/>
    <x v="83"/>
    <x v="4"/>
    <s v=" 11079.0"/>
    <n v="7"/>
    <n v="11079"/>
  </r>
  <r>
    <x v="6"/>
    <x v="83"/>
    <x v="5"/>
    <s v=" 4730.0"/>
    <n v="6"/>
    <n v="4730"/>
  </r>
  <r>
    <x v="6"/>
    <x v="84"/>
    <x v="0"/>
    <s v=" 7540.0"/>
    <n v="6"/>
    <n v="7540"/>
  </r>
  <r>
    <x v="6"/>
    <x v="84"/>
    <x v="1"/>
    <s v=" 7656.0"/>
    <n v="6"/>
    <n v="7656"/>
  </r>
  <r>
    <x v="6"/>
    <x v="84"/>
    <x v="2"/>
    <s v=" 15196.0"/>
    <n v="7"/>
    <n v="15196"/>
  </r>
  <r>
    <x v="6"/>
    <x v="84"/>
    <x v="3"/>
    <s v=" 2285.0"/>
    <n v="6"/>
    <n v="2285"/>
  </r>
  <r>
    <x v="6"/>
    <x v="84"/>
    <x v="4"/>
    <s v=" 9022.0"/>
    <n v="6"/>
    <n v="9022"/>
  </r>
  <r>
    <x v="6"/>
    <x v="84"/>
    <x v="5"/>
    <s v=" 3889.0"/>
    <n v="6"/>
    <n v="3889"/>
  </r>
  <r>
    <x v="6"/>
    <x v="85"/>
    <x v="0"/>
    <s v=" 13353.0"/>
    <n v="7"/>
    <n v="13353"/>
  </r>
  <r>
    <x v="6"/>
    <x v="85"/>
    <x v="1"/>
    <s v=" 13712.0"/>
    <n v="7"/>
    <n v="13712"/>
  </r>
  <r>
    <x v="6"/>
    <x v="85"/>
    <x v="2"/>
    <s v=" 27065.0"/>
    <n v="7"/>
    <n v="27065"/>
  </r>
  <r>
    <x v="6"/>
    <x v="85"/>
    <x v="3"/>
    <s v=" 4956.0"/>
    <n v="6"/>
    <n v="4956"/>
  </r>
  <r>
    <x v="6"/>
    <x v="85"/>
    <x v="4"/>
    <s v=" 16657.0"/>
    <n v="7"/>
    <n v="16657"/>
  </r>
  <r>
    <x v="6"/>
    <x v="85"/>
    <x v="5"/>
    <s v=" 5452.0"/>
    <n v="6"/>
    <n v="5452"/>
  </r>
  <r>
    <x v="6"/>
    <x v="86"/>
    <x v="0"/>
    <s v=" 561.0"/>
    <n v="5"/>
    <n v="561"/>
  </r>
  <r>
    <x v="6"/>
    <x v="86"/>
    <x v="1"/>
    <s v=" 543.0"/>
    <n v="5"/>
    <n v="543"/>
  </r>
  <r>
    <x v="6"/>
    <x v="86"/>
    <x v="2"/>
    <s v=" 1104.0"/>
    <n v="6"/>
    <n v="1104"/>
  </r>
  <r>
    <x v="6"/>
    <x v="86"/>
    <x v="3"/>
    <s v=" 212.0"/>
    <n v="5"/>
    <n v="212"/>
  </r>
  <r>
    <x v="6"/>
    <x v="86"/>
    <x v="4"/>
    <s v=" 763.0"/>
    <n v="5"/>
    <n v="763"/>
  </r>
  <r>
    <x v="6"/>
    <x v="86"/>
    <x v="5"/>
    <s v=" 129.0"/>
    <n v="5"/>
    <n v="129"/>
  </r>
  <r>
    <x v="6"/>
    <x v="87"/>
    <x v="0"/>
    <s v=" 6246.0"/>
    <n v="6"/>
    <n v="6246"/>
  </r>
  <r>
    <x v="6"/>
    <x v="87"/>
    <x v="1"/>
    <s v=" 6363.0"/>
    <n v="6"/>
    <n v="6363"/>
  </r>
  <r>
    <x v="6"/>
    <x v="87"/>
    <x v="2"/>
    <s v=" 12609.0"/>
    <n v="7"/>
    <n v="12609"/>
  </r>
  <r>
    <x v="6"/>
    <x v="87"/>
    <x v="3"/>
    <s v=" 2380.0"/>
    <n v="6"/>
    <n v="2380"/>
  </r>
  <r>
    <x v="6"/>
    <x v="87"/>
    <x v="4"/>
    <s v=" 8172.0"/>
    <n v="6"/>
    <n v="8172"/>
  </r>
  <r>
    <x v="6"/>
    <x v="87"/>
    <x v="5"/>
    <s v=" 2057.0"/>
    <n v="6"/>
    <n v="2057"/>
  </r>
  <r>
    <x v="6"/>
    <x v="88"/>
    <x v="0"/>
    <s v=" 48420.0"/>
    <n v="7"/>
    <n v="48420"/>
  </r>
  <r>
    <x v="6"/>
    <x v="88"/>
    <x v="1"/>
    <s v=" 50159.0"/>
    <n v="7"/>
    <n v="50159"/>
  </r>
  <r>
    <x v="6"/>
    <x v="88"/>
    <x v="2"/>
    <s v=" 98579.0"/>
    <n v="7"/>
    <n v="98579"/>
  </r>
  <r>
    <x v="6"/>
    <x v="88"/>
    <x v="3"/>
    <s v=" 18468.0"/>
    <n v="7"/>
    <n v="18468"/>
  </r>
  <r>
    <x v="6"/>
    <x v="88"/>
    <x v="4"/>
    <s v=" 64765.0"/>
    <n v="7"/>
    <n v="64765"/>
  </r>
  <r>
    <x v="6"/>
    <x v="88"/>
    <x v="5"/>
    <s v=" 15346.0"/>
    <n v="7"/>
    <n v="15346"/>
  </r>
  <r>
    <x v="7"/>
    <x v="89"/>
    <x v="0"/>
    <s v=" 4166844.0"/>
    <n v="9"/>
    <n v="4166844"/>
  </r>
  <r>
    <x v="7"/>
    <x v="89"/>
    <x v="1"/>
    <s v=" 4253885.0"/>
    <n v="9"/>
    <n v="4253885"/>
  </r>
  <r>
    <x v="7"/>
    <x v="89"/>
    <x v="2"/>
    <s v=" 8420729.0"/>
    <n v="9"/>
    <n v="8420729"/>
  </r>
  <r>
    <x v="7"/>
    <x v="89"/>
    <x v="3"/>
    <s v=" 1527250.0"/>
    <n v="9"/>
    <n v="1527250"/>
  </r>
  <r>
    <x v="7"/>
    <x v="89"/>
    <x v="4"/>
    <s v=" 5839488.0"/>
    <n v="9"/>
    <n v="5839488"/>
  </r>
  <r>
    <x v="7"/>
    <x v="89"/>
    <x v="5"/>
    <s v=" 1053991.0"/>
    <n v="9"/>
    <n v="1053991"/>
  </r>
  <r>
    <x v="7"/>
    <x v="90"/>
    <x v="0"/>
    <s v=" 11209.0"/>
    <n v="7"/>
    <n v="11209"/>
  </r>
  <r>
    <x v="7"/>
    <x v="90"/>
    <x v="1"/>
    <s v=" 11273.0"/>
    <n v="7"/>
    <n v="11273"/>
  </r>
  <r>
    <x v="7"/>
    <x v="90"/>
    <x v="2"/>
    <s v=" 22482.0"/>
    <n v="7"/>
    <n v="22482"/>
  </r>
  <r>
    <x v="7"/>
    <x v="90"/>
    <x v="3"/>
    <s v=" 4524.0"/>
    <n v="6"/>
    <n v="4524"/>
  </r>
  <r>
    <x v="7"/>
    <x v="90"/>
    <x v="4"/>
    <s v=" 15197.0"/>
    <n v="7"/>
    <n v="15197"/>
  </r>
  <r>
    <x v="7"/>
    <x v="90"/>
    <x v="5"/>
    <s v=" 2761.0"/>
    <n v="6"/>
    <n v="2761"/>
  </r>
  <r>
    <x v="7"/>
    <x v="91"/>
    <x v="0"/>
    <s v=" 97934.0"/>
    <n v="7"/>
    <n v="97934"/>
  </r>
  <r>
    <x v="7"/>
    <x v="91"/>
    <x v="1"/>
    <s v=" 99436.0"/>
    <n v="7"/>
    <n v="99436"/>
  </r>
  <r>
    <x v="7"/>
    <x v="91"/>
    <x v="2"/>
    <s v=" 197370.0"/>
    <n v="8"/>
    <n v="197370"/>
  </r>
  <r>
    <x v="7"/>
    <x v="91"/>
    <x v="3"/>
    <s v=" 49350.0"/>
    <n v="7"/>
    <n v="49350"/>
  </r>
  <r>
    <x v="7"/>
    <x v="91"/>
    <x v="4"/>
    <s v=" 134152.0"/>
    <n v="8"/>
    <n v="134152"/>
  </r>
  <r>
    <x v="7"/>
    <x v="91"/>
    <x v="5"/>
    <s v=" 13868.0"/>
    <n v="7"/>
    <n v="13868"/>
  </r>
  <r>
    <x v="7"/>
    <x v="92"/>
    <x v="0"/>
    <s v=" 71220.0"/>
    <n v="7"/>
    <n v="71220"/>
  </r>
  <r>
    <x v="7"/>
    <x v="92"/>
    <x v="1"/>
    <s v=" 71812.0"/>
    <n v="7"/>
    <n v="71812"/>
  </r>
  <r>
    <x v="7"/>
    <x v="92"/>
    <x v="2"/>
    <s v=" 143032.0"/>
    <n v="8"/>
    <n v="143032"/>
  </r>
  <r>
    <x v="7"/>
    <x v="92"/>
    <x v="3"/>
    <s v=" 35392.0"/>
    <n v="7"/>
    <n v="35392"/>
  </r>
  <r>
    <x v="7"/>
    <x v="92"/>
    <x v="4"/>
    <s v=" 97805.0"/>
    <n v="7"/>
    <n v="97805"/>
  </r>
  <r>
    <x v="7"/>
    <x v="92"/>
    <x v="5"/>
    <s v=" 9835.0"/>
    <n v="6"/>
    <n v="9835"/>
  </r>
  <r>
    <x v="7"/>
    <x v="93"/>
    <x v="0"/>
    <s v=" 63762.0"/>
    <n v="7"/>
    <n v="63762"/>
  </r>
  <r>
    <x v="7"/>
    <x v="93"/>
    <x v="1"/>
    <s v=" 67291.0"/>
    <n v="7"/>
    <n v="67291"/>
  </r>
  <r>
    <x v="7"/>
    <x v="93"/>
    <x v="2"/>
    <s v=" 131053.0"/>
    <n v="8"/>
    <n v="131053"/>
  </r>
  <r>
    <x v="7"/>
    <x v="93"/>
    <x v="3"/>
    <s v=" 29730.0"/>
    <n v="7"/>
    <n v="29730"/>
  </r>
  <r>
    <x v="7"/>
    <x v="93"/>
    <x v="4"/>
    <s v=" 89342.0"/>
    <n v="7"/>
    <n v="89342"/>
  </r>
  <r>
    <x v="7"/>
    <x v="93"/>
    <x v="5"/>
    <s v=" 11981.0"/>
    <n v="7"/>
    <n v="11981"/>
  </r>
  <r>
    <x v="7"/>
    <x v="94"/>
    <x v="0"/>
    <s v=" 137276.0"/>
    <n v="8"/>
    <n v="137276"/>
  </r>
  <r>
    <x v="7"/>
    <x v="94"/>
    <x v="1"/>
    <s v=" 138468.0"/>
    <n v="8"/>
    <n v="138468"/>
  </r>
  <r>
    <x v="7"/>
    <x v="94"/>
    <x v="2"/>
    <s v=" 275744.0"/>
    <n v="8"/>
    <n v="275744"/>
  </r>
  <r>
    <x v="7"/>
    <x v="94"/>
    <x v="3"/>
    <s v=" 59689.0"/>
    <n v="7"/>
    <n v="59689"/>
  </r>
  <r>
    <x v="7"/>
    <x v="94"/>
    <x v="4"/>
    <s v=" 198070.0"/>
    <n v="8"/>
    <n v="198070"/>
  </r>
  <r>
    <x v="7"/>
    <x v="94"/>
    <x v="5"/>
    <s v=" 17985.0"/>
    <n v="7"/>
    <n v="17985"/>
  </r>
  <r>
    <x v="7"/>
    <x v="95"/>
    <x v="0"/>
    <s v=" 58373.0"/>
    <n v="7"/>
    <n v="58373"/>
  </r>
  <r>
    <x v="7"/>
    <x v="95"/>
    <x v="1"/>
    <s v=" 59954.0"/>
    <n v="7"/>
    <n v="59954"/>
  </r>
  <r>
    <x v="7"/>
    <x v="95"/>
    <x v="2"/>
    <s v=" 118327.0"/>
    <n v="8"/>
    <n v="118327"/>
  </r>
  <r>
    <x v="7"/>
    <x v="95"/>
    <x v="3"/>
    <s v=" 25857.0"/>
    <n v="7"/>
    <n v="25857"/>
  </r>
  <r>
    <x v="7"/>
    <x v="95"/>
    <x v="4"/>
    <s v=" 79287.0"/>
    <n v="7"/>
    <n v="79287"/>
  </r>
  <r>
    <x v="7"/>
    <x v="95"/>
    <x v="5"/>
    <s v=" 13183.0"/>
    <n v="7"/>
    <n v="13183"/>
  </r>
  <r>
    <x v="7"/>
    <x v="96"/>
    <x v="0"/>
    <s v=" 67711.0"/>
    <n v="7"/>
    <n v="67711"/>
  </r>
  <r>
    <x v="7"/>
    <x v="96"/>
    <x v="1"/>
    <s v=" 68963.0"/>
    <n v="7"/>
    <n v="68963"/>
  </r>
  <r>
    <x v="7"/>
    <x v="96"/>
    <x v="2"/>
    <s v=" 136674.0"/>
    <n v="8"/>
    <n v="136674"/>
  </r>
  <r>
    <x v="7"/>
    <x v="96"/>
    <x v="3"/>
    <s v=" 23643.0"/>
    <n v="7"/>
    <n v="23643"/>
  </r>
  <r>
    <x v="7"/>
    <x v="96"/>
    <x v="4"/>
    <s v=" 91052.0"/>
    <n v="7"/>
    <n v="91052"/>
  </r>
  <r>
    <x v="7"/>
    <x v="96"/>
    <x v="5"/>
    <s v=" 21979.0"/>
    <n v="7"/>
    <n v="21979"/>
  </r>
  <r>
    <x v="7"/>
    <x v="97"/>
    <x v="0"/>
    <s v=" 46788.0"/>
    <n v="7"/>
    <n v="46788"/>
  </r>
  <r>
    <x v="7"/>
    <x v="97"/>
    <x v="1"/>
    <s v=" 50261.0"/>
    <n v="7"/>
    <n v="50261"/>
  </r>
  <r>
    <x v="7"/>
    <x v="97"/>
    <x v="2"/>
    <s v=" 97049.0"/>
    <n v="7"/>
    <n v="97049"/>
  </r>
  <r>
    <x v="7"/>
    <x v="97"/>
    <x v="3"/>
    <s v=" 16421.0"/>
    <n v="7"/>
    <n v="16421"/>
  </r>
  <r>
    <x v="7"/>
    <x v="97"/>
    <x v="4"/>
    <s v=" 60908.0"/>
    <n v="7"/>
    <n v="60908"/>
  </r>
  <r>
    <x v="7"/>
    <x v="97"/>
    <x v="5"/>
    <s v=" 19720.0"/>
    <n v="7"/>
    <n v="19720"/>
  </r>
  <r>
    <x v="7"/>
    <x v="98"/>
    <x v="0"/>
    <s v=" 19069.0"/>
    <n v="7"/>
    <n v="19069"/>
  </r>
  <r>
    <x v="7"/>
    <x v="98"/>
    <x v="1"/>
    <s v=" 19298.0"/>
    <n v="7"/>
    <n v="19298"/>
  </r>
  <r>
    <x v="7"/>
    <x v="98"/>
    <x v="2"/>
    <s v=" 38367.0"/>
    <n v="7"/>
    <n v="38367"/>
  </r>
  <r>
    <x v="7"/>
    <x v="98"/>
    <x v="3"/>
    <s v=" 7384.0"/>
    <n v="6"/>
    <n v="7384"/>
  </r>
  <r>
    <x v="7"/>
    <x v="98"/>
    <x v="4"/>
    <s v=" 25621.0"/>
    <n v="7"/>
    <n v="25621"/>
  </r>
  <r>
    <x v="7"/>
    <x v="98"/>
    <x v="5"/>
    <s v=" 5362.0"/>
    <n v="6"/>
    <n v="5362"/>
  </r>
  <r>
    <x v="7"/>
    <x v="99"/>
    <x v="0"/>
    <s v=" 80668.0"/>
    <n v="7"/>
    <n v="80668"/>
  </r>
  <r>
    <x v="7"/>
    <x v="99"/>
    <x v="1"/>
    <s v=" 82434.0"/>
    <n v="7"/>
    <n v="82434"/>
  </r>
  <r>
    <x v="7"/>
    <x v="99"/>
    <x v="2"/>
    <s v=" 163102.0"/>
    <n v="8"/>
    <n v="163102"/>
  </r>
  <r>
    <x v="7"/>
    <x v="99"/>
    <x v="3"/>
    <s v=" 33370.0"/>
    <n v="7"/>
    <n v="33370"/>
  </r>
  <r>
    <x v="7"/>
    <x v="99"/>
    <x v="4"/>
    <s v=" 110313.0"/>
    <n v="8"/>
    <n v="110313"/>
  </r>
  <r>
    <x v="7"/>
    <x v="99"/>
    <x v="5"/>
    <s v=" 19419.0"/>
    <n v="7"/>
    <n v="19419"/>
  </r>
  <r>
    <x v="7"/>
    <x v="100"/>
    <x v="0"/>
    <s v=" 97842.0"/>
    <n v="7"/>
    <n v="97842"/>
  </r>
  <r>
    <x v="7"/>
    <x v="100"/>
    <x v="1"/>
    <s v=" 99014.0"/>
    <n v="7"/>
    <n v="99014"/>
  </r>
  <r>
    <x v="7"/>
    <x v="100"/>
    <x v="2"/>
    <s v=" 196856.0"/>
    <n v="8"/>
    <n v="196856"/>
  </r>
  <r>
    <x v="7"/>
    <x v="100"/>
    <x v="3"/>
    <s v=" 33088.0"/>
    <n v="7"/>
    <n v="33088"/>
  </r>
  <r>
    <x v="7"/>
    <x v="100"/>
    <x v="4"/>
    <s v=" 134813.0"/>
    <n v="8"/>
    <n v="134813"/>
  </r>
  <r>
    <x v="7"/>
    <x v="100"/>
    <x v="5"/>
    <s v=" 28955.0"/>
    <n v="7"/>
    <n v="28955"/>
  </r>
  <r>
    <x v="7"/>
    <x v="101"/>
    <x v="0"/>
    <s v=" 77443.0"/>
    <n v="7"/>
    <n v="77443"/>
  </r>
  <r>
    <x v="7"/>
    <x v="101"/>
    <x v="1"/>
    <s v=" 76181.0"/>
    <n v="7"/>
    <n v="76181"/>
  </r>
  <r>
    <x v="7"/>
    <x v="101"/>
    <x v="2"/>
    <s v=" 153624.0"/>
    <n v="8"/>
    <n v="153624"/>
  </r>
  <r>
    <x v="7"/>
    <x v="101"/>
    <x v="3"/>
    <s v=" 24104.0"/>
    <n v="7"/>
    <n v="24104"/>
  </r>
  <r>
    <x v="7"/>
    <x v="101"/>
    <x v="4"/>
    <s v=" 110149.0"/>
    <n v="8"/>
    <n v="110149"/>
  </r>
  <r>
    <x v="7"/>
    <x v="101"/>
    <x v="5"/>
    <s v=" 19371.0"/>
    <n v="7"/>
    <n v="19371"/>
  </r>
  <r>
    <x v="7"/>
    <x v="102"/>
    <x v="0"/>
    <s v=" 167662.0"/>
    <n v="8"/>
    <n v="167662"/>
  </r>
  <r>
    <x v="7"/>
    <x v="102"/>
    <x v="1"/>
    <s v=" 175970.0"/>
    <n v="8"/>
    <n v="175970"/>
  </r>
  <r>
    <x v="7"/>
    <x v="102"/>
    <x v="2"/>
    <s v=" 343632.0"/>
    <n v="8"/>
    <n v="343632"/>
  </r>
  <r>
    <x v="7"/>
    <x v="102"/>
    <x v="3"/>
    <s v=" 49282.0"/>
    <n v="7"/>
    <n v="49282"/>
  </r>
  <r>
    <x v="7"/>
    <x v="102"/>
    <x v="4"/>
    <s v=" 232604.0"/>
    <n v="8"/>
    <n v="232604"/>
  </r>
  <r>
    <x v="7"/>
    <x v="102"/>
    <x v="5"/>
    <s v=" 61746.0"/>
    <n v="7"/>
    <n v="61746"/>
  </r>
  <r>
    <x v="7"/>
    <x v="103"/>
    <x v="0"/>
    <s v=" 69456.0"/>
    <n v="7"/>
    <n v="69456"/>
  </r>
  <r>
    <x v="7"/>
    <x v="103"/>
    <x v="1"/>
    <s v=" 70176.0"/>
    <n v="7"/>
    <n v="70176"/>
  </r>
  <r>
    <x v="7"/>
    <x v="103"/>
    <x v="2"/>
    <s v=" 139632.0"/>
    <n v="8"/>
    <n v="139632"/>
  </r>
  <r>
    <x v="7"/>
    <x v="103"/>
    <x v="3"/>
    <s v=" 25744.0"/>
    <n v="7"/>
    <n v="25744"/>
  </r>
  <r>
    <x v="7"/>
    <x v="103"/>
    <x v="4"/>
    <s v=" 93465.0"/>
    <n v="7"/>
    <n v="93465"/>
  </r>
  <r>
    <x v="7"/>
    <x v="103"/>
    <x v="5"/>
    <s v=" 20423.0"/>
    <n v="7"/>
    <n v="20423"/>
  </r>
  <r>
    <x v="7"/>
    <x v="104"/>
    <x v="0"/>
    <s v=" 70073.0"/>
    <n v="7"/>
    <n v="70073"/>
  </r>
  <r>
    <x v="7"/>
    <x v="104"/>
    <x v="1"/>
    <s v=" 71750.0"/>
    <n v="7"/>
    <n v="71750"/>
  </r>
  <r>
    <x v="7"/>
    <x v="104"/>
    <x v="2"/>
    <s v=" 141823.0"/>
    <n v="8"/>
    <n v="141823"/>
  </r>
  <r>
    <x v="7"/>
    <x v="104"/>
    <x v="3"/>
    <s v=" 23110.0"/>
    <n v="7"/>
    <n v="23110"/>
  </r>
  <r>
    <x v="7"/>
    <x v="104"/>
    <x v="4"/>
    <s v=" 97327.0"/>
    <n v="7"/>
    <n v="97327"/>
  </r>
  <r>
    <x v="7"/>
    <x v="104"/>
    <x v="5"/>
    <s v=" 21386.0"/>
    <n v="7"/>
    <n v="21386"/>
  </r>
  <r>
    <x v="7"/>
    <x v="105"/>
    <x v="0"/>
    <s v=" 80029.0"/>
    <n v="7"/>
    <n v="80029"/>
  </r>
  <r>
    <x v="7"/>
    <x v="105"/>
    <x v="1"/>
    <s v=" 83980.0"/>
    <n v="7"/>
    <n v="83980"/>
  </r>
  <r>
    <x v="7"/>
    <x v="105"/>
    <x v="2"/>
    <s v=" 164009.0"/>
    <n v="8"/>
    <n v="164009"/>
  </r>
  <r>
    <x v="7"/>
    <x v="105"/>
    <x v="3"/>
    <s v=" 18856.0"/>
    <n v="7"/>
    <n v="18856"/>
  </r>
  <r>
    <x v="7"/>
    <x v="105"/>
    <x v="4"/>
    <s v=" 116656.0"/>
    <n v="8"/>
    <n v="116656"/>
  </r>
  <r>
    <x v="7"/>
    <x v="105"/>
    <x v="5"/>
    <s v=" 28497.0"/>
    <n v="7"/>
    <n v="28497"/>
  </r>
  <r>
    <x v="7"/>
    <x v="106"/>
    <x v="0"/>
    <s v=" 129048.0"/>
    <n v="8"/>
    <n v="129048"/>
  </r>
  <r>
    <x v="7"/>
    <x v="106"/>
    <x v="1"/>
    <s v=" 132548.0"/>
    <n v="8"/>
    <n v="132548"/>
  </r>
  <r>
    <x v="7"/>
    <x v="106"/>
    <x v="2"/>
    <s v=" 261596.0"/>
    <n v="8"/>
    <n v="261596"/>
  </r>
  <r>
    <x v="7"/>
    <x v="106"/>
    <x v="3"/>
    <s v=" 51975.0"/>
    <n v="7"/>
    <n v="51975"/>
  </r>
  <r>
    <x v="7"/>
    <x v="106"/>
    <x v="4"/>
    <s v=" 183162.0"/>
    <n v="8"/>
    <n v="183162"/>
  </r>
  <r>
    <x v="7"/>
    <x v="106"/>
    <x v="5"/>
    <s v=" 26459.0"/>
    <n v="7"/>
    <n v="26459"/>
  </r>
  <r>
    <x v="7"/>
    <x v="107"/>
    <x v="0"/>
    <s v=" 48520.0"/>
    <n v="7"/>
    <n v="48520"/>
  </r>
  <r>
    <x v="7"/>
    <x v="107"/>
    <x v="1"/>
    <s v=" 50692.0"/>
    <n v="7"/>
    <n v="50692"/>
  </r>
  <r>
    <x v="7"/>
    <x v="107"/>
    <x v="2"/>
    <s v=" 99212.0"/>
    <n v="7"/>
    <n v="99212"/>
  </r>
  <r>
    <x v="7"/>
    <x v="107"/>
    <x v="3"/>
    <s v=" 16671.0"/>
    <n v="7"/>
    <n v="16671"/>
  </r>
  <r>
    <x v="7"/>
    <x v="107"/>
    <x v="4"/>
    <s v=" 65604.0"/>
    <n v="7"/>
    <n v="65604"/>
  </r>
  <r>
    <x v="7"/>
    <x v="107"/>
    <x v="5"/>
    <s v=" 16937.0"/>
    <n v="7"/>
    <n v="16937"/>
  </r>
  <r>
    <x v="7"/>
    <x v="108"/>
    <x v="0"/>
    <s v=" 50463.0"/>
    <n v="7"/>
    <n v="50463"/>
  </r>
  <r>
    <x v="7"/>
    <x v="108"/>
    <x v="1"/>
    <s v=" 51615.0"/>
    <n v="7"/>
    <n v="51615"/>
  </r>
  <r>
    <x v="7"/>
    <x v="108"/>
    <x v="2"/>
    <s v=" 102078.0"/>
    <n v="8"/>
    <n v="102078"/>
  </r>
  <r>
    <x v="7"/>
    <x v="108"/>
    <x v="3"/>
    <s v=" 17168.0"/>
    <n v="7"/>
    <n v="17168"/>
  </r>
  <r>
    <x v="7"/>
    <x v="108"/>
    <x v="4"/>
    <s v=" 67466.0"/>
    <n v="7"/>
    <n v="67466"/>
  </r>
  <r>
    <x v="7"/>
    <x v="108"/>
    <x v="5"/>
    <s v=" 17444.0"/>
    <n v="7"/>
    <n v="17444"/>
  </r>
  <r>
    <x v="7"/>
    <x v="109"/>
    <x v="0"/>
    <s v=" 274718.0"/>
    <n v="8"/>
    <n v="274718"/>
  </r>
  <r>
    <x v="7"/>
    <x v="109"/>
    <x v="1"/>
    <s v=" 269670.0"/>
    <n v="8"/>
    <n v="269670"/>
  </r>
  <r>
    <x v="7"/>
    <x v="109"/>
    <x v="2"/>
    <s v=" 544388.0"/>
    <n v="8"/>
    <n v="544388"/>
  </r>
  <r>
    <x v="7"/>
    <x v="109"/>
    <x v="3"/>
    <s v=" 61416.0"/>
    <n v="7"/>
    <n v="61416"/>
  </r>
  <r>
    <x v="7"/>
    <x v="109"/>
    <x v="4"/>
    <s v=" 434119.0"/>
    <n v="8"/>
    <n v="434119"/>
  </r>
  <r>
    <x v="7"/>
    <x v="109"/>
    <x v="5"/>
    <s v=" 48853.0"/>
    <n v="7"/>
    <n v="48853"/>
  </r>
  <r>
    <x v="7"/>
    <x v="110"/>
    <x v="0"/>
    <s v=" 130692.0"/>
    <n v="8"/>
    <n v="130692"/>
  </r>
  <r>
    <x v="7"/>
    <x v="110"/>
    <x v="1"/>
    <s v=" 136214.0"/>
    <n v="8"/>
    <n v="136214"/>
  </r>
  <r>
    <x v="7"/>
    <x v="110"/>
    <x v="2"/>
    <s v=" 266906.0"/>
    <n v="8"/>
    <n v="266906"/>
  </r>
  <r>
    <x v="7"/>
    <x v="110"/>
    <x v="3"/>
    <s v=" 36355.0"/>
    <n v="7"/>
    <n v="36355"/>
  </r>
  <r>
    <x v="7"/>
    <x v="110"/>
    <x v="4"/>
    <s v=" 186803.0"/>
    <n v="8"/>
    <n v="186803"/>
  </r>
  <r>
    <x v="7"/>
    <x v="110"/>
    <x v="5"/>
    <s v=" 43748.0"/>
    <n v="7"/>
    <n v="43748"/>
  </r>
  <r>
    <x v="7"/>
    <x v="111"/>
    <x v="0"/>
    <s v=" 111738.0"/>
    <n v="8"/>
    <n v="111738"/>
  </r>
  <r>
    <x v="7"/>
    <x v="111"/>
    <x v="1"/>
    <s v=" 110163.0"/>
    <n v="8"/>
    <n v="110163"/>
  </r>
  <r>
    <x v="7"/>
    <x v="111"/>
    <x v="2"/>
    <s v=" 221901.0"/>
    <n v="8"/>
    <n v="221901"/>
  </r>
  <r>
    <x v="7"/>
    <x v="111"/>
    <x v="3"/>
    <s v=" 34778.0"/>
    <n v="7"/>
    <n v="34778"/>
  </r>
  <r>
    <x v="7"/>
    <x v="111"/>
    <x v="4"/>
    <s v=" 157298.0"/>
    <n v="8"/>
    <n v="157298"/>
  </r>
  <r>
    <x v="7"/>
    <x v="111"/>
    <x v="5"/>
    <s v=" 29825.0"/>
    <n v="7"/>
    <n v="29825"/>
  </r>
  <r>
    <x v="7"/>
    <x v="112"/>
    <x v="0"/>
    <s v=" 134721.0"/>
    <n v="8"/>
    <n v="134721"/>
  </r>
  <r>
    <x v="7"/>
    <x v="112"/>
    <x v="1"/>
    <s v=" 138192.0"/>
    <n v="8"/>
    <n v="138192"/>
  </r>
  <r>
    <x v="7"/>
    <x v="112"/>
    <x v="2"/>
    <s v=" 272913.0"/>
    <n v="8"/>
    <n v="272913"/>
  </r>
  <r>
    <x v="7"/>
    <x v="112"/>
    <x v="3"/>
    <s v=" 52264.0"/>
    <n v="7"/>
    <n v="52264"/>
  </r>
  <r>
    <x v="7"/>
    <x v="112"/>
    <x v="4"/>
    <s v=" 187524.0"/>
    <n v="8"/>
    <n v="187524"/>
  </r>
  <r>
    <x v="7"/>
    <x v="112"/>
    <x v="5"/>
    <s v=" 33125.0"/>
    <n v="7"/>
    <n v="33125"/>
  </r>
  <r>
    <x v="7"/>
    <x v="113"/>
    <x v="0"/>
    <s v=" 68291.0"/>
    <n v="7"/>
    <n v="68291"/>
  </r>
  <r>
    <x v="7"/>
    <x v="113"/>
    <x v="1"/>
    <s v=" 70070.0"/>
    <n v="7"/>
    <n v="70070"/>
  </r>
  <r>
    <x v="7"/>
    <x v="113"/>
    <x v="2"/>
    <s v=" 138361.0"/>
    <n v="8"/>
    <n v="138361"/>
  </r>
  <r>
    <x v="7"/>
    <x v="113"/>
    <x v="3"/>
    <s v=" 21443.0"/>
    <n v="7"/>
    <n v="21443"/>
  </r>
  <r>
    <x v="7"/>
    <x v="113"/>
    <x v="4"/>
    <s v=" 93526.0"/>
    <n v="7"/>
    <n v="93526"/>
  </r>
  <r>
    <x v="7"/>
    <x v="113"/>
    <x v="5"/>
    <s v=" 23392.0"/>
    <n v="7"/>
    <n v="23392"/>
  </r>
  <r>
    <x v="7"/>
    <x v="114"/>
    <x v="0"/>
    <s v=" 51965.0"/>
    <n v="7"/>
    <n v="51965"/>
  </r>
  <r>
    <x v="7"/>
    <x v="114"/>
    <x v="1"/>
    <s v=" 52497.0"/>
    <n v="7"/>
    <n v="52497"/>
  </r>
  <r>
    <x v="7"/>
    <x v="114"/>
    <x v="2"/>
    <s v=" 104462.0"/>
    <n v="8"/>
    <n v="104462"/>
  </r>
  <r>
    <x v="7"/>
    <x v="114"/>
    <x v="3"/>
    <s v=" 17316.0"/>
    <n v="7"/>
    <n v="17316"/>
  </r>
  <r>
    <x v="7"/>
    <x v="114"/>
    <x v="4"/>
    <s v=" 69839.0"/>
    <n v="7"/>
    <n v="69839"/>
  </r>
  <r>
    <x v="7"/>
    <x v="114"/>
    <x v="5"/>
    <s v=" 17307.0"/>
    <n v="7"/>
    <n v="17307"/>
  </r>
  <r>
    <x v="7"/>
    <x v="115"/>
    <x v="0"/>
    <s v=" 50963.0"/>
    <n v="7"/>
    <n v="50963"/>
  </r>
  <r>
    <x v="7"/>
    <x v="115"/>
    <x v="1"/>
    <s v=" 52155.0"/>
    <n v="7"/>
    <n v="52155"/>
  </r>
  <r>
    <x v="7"/>
    <x v="115"/>
    <x v="2"/>
    <s v=" 103118.0"/>
    <n v="8"/>
    <n v="103118"/>
  </r>
  <r>
    <x v="7"/>
    <x v="115"/>
    <x v="3"/>
    <s v=" 16498.0"/>
    <n v="7"/>
    <n v="16498"/>
  </r>
  <r>
    <x v="7"/>
    <x v="115"/>
    <x v="4"/>
    <s v=" 68821.0"/>
    <n v="7"/>
    <n v="68821"/>
  </r>
  <r>
    <x v="7"/>
    <x v="115"/>
    <x v="5"/>
    <s v=" 17799.0"/>
    <n v="7"/>
    <n v="17799"/>
  </r>
  <r>
    <x v="7"/>
    <x v="116"/>
    <x v="0"/>
    <s v=" 71473.0"/>
    <n v="7"/>
    <n v="71473"/>
  </r>
  <r>
    <x v="7"/>
    <x v="116"/>
    <x v="1"/>
    <s v=" 73951.0"/>
    <n v="7"/>
    <n v="73951"/>
  </r>
  <r>
    <x v="7"/>
    <x v="116"/>
    <x v="2"/>
    <s v=" 145424.0"/>
    <n v="8"/>
    <n v="145424"/>
  </r>
  <r>
    <x v="7"/>
    <x v="116"/>
    <x v="3"/>
    <s v=" 22459.0"/>
    <n v="7"/>
    <n v="22459"/>
  </r>
  <r>
    <x v="7"/>
    <x v="116"/>
    <x v="4"/>
    <s v=" 101829.0"/>
    <n v="8"/>
    <n v="101829"/>
  </r>
  <r>
    <x v="7"/>
    <x v="116"/>
    <x v="5"/>
    <s v=" 21136.0"/>
    <n v="7"/>
    <n v="21136"/>
  </r>
  <r>
    <x v="7"/>
    <x v="117"/>
    <x v="0"/>
    <s v=" 44603.0"/>
    <n v="7"/>
    <n v="44603"/>
  </r>
  <r>
    <x v="7"/>
    <x v="117"/>
    <x v="1"/>
    <s v=" 45579.0"/>
    <n v="7"/>
    <n v="45579"/>
  </r>
  <r>
    <x v="7"/>
    <x v="117"/>
    <x v="2"/>
    <s v=" 90182.0"/>
    <n v="7"/>
    <n v="90182"/>
  </r>
  <r>
    <x v="7"/>
    <x v="117"/>
    <x v="3"/>
    <s v=" 17072.0"/>
    <n v="7"/>
    <n v="17072"/>
  </r>
  <r>
    <x v="7"/>
    <x v="117"/>
    <x v="4"/>
    <s v=" 61191.0"/>
    <n v="7"/>
    <n v="61191"/>
  </r>
  <r>
    <x v="7"/>
    <x v="117"/>
    <x v="5"/>
    <s v=" 11919.0"/>
    <n v="7"/>
    <n v="11919"/>
  </r>
  <r>
    <x v="7"/>
    <x v="118"/>
    <x v="0"/>
    <s v=" 288528.0"/>
    <n v="8"/>
    <n v="288528"/>
  </r>
  <r>
    <x v="7"/>
    <x v="118"/>
    <x v="1"/>
    <s v=" 298284.0"/>
    <n v="8"/>
    <n v="298284"/>
  </r>
  <r>
    <x v="7"/>
    <x v="118"/>
    <x v="2"/>
    <s v=" 586812.0"/>
    <n v="8"/>
    <n v="586812"/>
  </r>
  <r>
    <x v="7"/>
    <x v="118"/>
    <x v="3"/>
    <s v=" 106956.0"/>
    <n v="8"/>
    <n v="106956"/>
  </r>
  <r>
    <x v="7"/>
    <x v="118"/>
    <x v="4"/>
    <s v=" 414462.0"/>
    <n v="8"/>
    <n v="414462"/>
  </r>
  <r>
    <x v="7"/>
    <x v="118"/>
    <x v="5"/>
    <s v=" 65394.0"/>
    <n v="7"/>
    <n v="65394"/>
  </r>
  <r>
    <x v="7"/>
    <x v="119"/>
    <x v="0"/>
    <s v=" 7747.0"/>
    <n v="6"/>
    <n v="7747"/>
  </r>
  <r>
    <x v="7"/>
    <x v="119"/>
    <x v="1"/>
    <s v=" 7922.0"/>
    <n v="6"/>
    <n v="7922"/>
  </r>
  <r>
    <x v="7"/>
    <x v="119"/>
    <x v="2"/>
    <s v=" 15669.0"/>
    <n v="7"/>
    <n v="15669"/>
  </r>
  <r>
    <x v="7"/>
    <x v="119"/>
    <x v="3"/>
    <s v=" 3018.0"/>
    <n v="6"/>
    <n v="3018"/>
  </r>
  <r>
    <x v="7"/>
    <x v="119"/>
    <x v="4"/>
    <s v=" 10530.0"/>
    <n v="7"/>
    <n v="10530"/>
  </r>
  <r>
    <x v="7"/>
    <x v="119"/>
    <x v="5"/>
    <s v=" 2121.0"/>
    <n v="6"/>
    <n v="2121"/>
  </r>
  <r>
    <x v="7"/>
    <x v="120"/>
    <x v="0"/>
    <s v=" 50179.0"/>
    <n v="7"/>
    <n v="50179"/>
  </r>
  <r>
    <x v="7"/>
    <x v="120"/>
    <x v="1"/>
    <s v=" 50515.0"/>
    <n v="7"/>
    <n v="50515"/>
  </r>
  <r>
    <x v="7"/>
    <x v="120"/>
    <x v="2"/>
    <s v=" 100694.0"/>
    <n v="8"/>
    <n v="100694"/>
  </r>
  <r>
    <x v="7"/>
    <x v="120"/>
    <x v="3"/>
    <s v=" 18540.0"/>
    <n v="7"/>
    <n v="18540"/>
  </r>
  <r>
    <x v="7"/>
    <x v="120"/>
    <x v="4"/>
    <s v=" 68171.0"/>
    <n v="7"/>
    <n v="68171"/>
  </r>
  <r>
    <x v="7"/>
    <x v="120"/>
    <x v="5"/>
    <s v=" 13983.0"/>
    <n v="7"/>
    <n v="13983"/>
  </r>
  <r>
    <x v="7"/>
    <x v="121"/>
    <x v="0"/>
    <s v=" 200711.0"/>
    <n v="8"/>
    <n v="200711"/>
  </r>
  <r>
    <x v="7"/>
    <x v="121"/>
    <x v="1"/>
    <s v=" 206586.0"/>
    <n v="8"/>
    <n v="206586"/>
  </r>
  <r>
    <x v="7"/>
    <x v="121"/>
    <x v="2"/>
    <s v=" 407297.0"/>
    <n v="8"/>
    <n v="407297"/>
  </r>
  <r>
    <x v="7"/>
    <x v="121"/>
    <x v="3"/>
    <s v=" 69328.0"/>
    <n v="7"/>
    <n v="69328"/>
  </r>
  <r>
    <x v="7"/>
    <x v="121"/>
    <x v="4"/>
    <s v=" 276825.0"/>
    <n v="8"/>
    <n v="276825"/>
  </r>
  <r>
    <x v="7"/>
    <x v="121"/>
    <x v="5"/>
    <s v=" 61144.0"/>
    <n v="7"/>
    <n v="61144"/>
  </r>
  <r>
    <x v="7"/>
    <x v="122"/>
    <x v="0"/>
    <s v=" 50131.0"/>
    <n v="7"/>
    <n v="50131"/>
  </r>
  <r>
    <x v="7"/>
    <x v="122"/>
    <x v="1"/>
    <s v=" 51270.0"/>
    <n v="7"/>
    <n v="51270"/>
  </r>
  <r>
    <x v="7"/>
    <x v="122"/>
    <x v="2"/>
    <s v=" 101401.0"/>
    <n v="8"/>
    <n v="101401"/>
  </r>
  <r>
    <x v="7"/>
    <x v="122"/>
    <x v="3"/>
    <s v=" 16686.0"/>
    <n v="7"/>
    <n v="16686"/>
  </r>
  <r>
    <x v="7"/>
    <x v="122"/>
    <x v="4"/>
    <s v=" 67831.0"/>
    <n v="7"/>
    <n v="67831"/>
  </r>
  <r>
    <x v="7"/>
    <x v="122"/>
    <x v="5"/>
    <s v=" 16884.0"/>
    <n v="7"/>
    <n v="16884"/>
  </r>
  <r>
    <x v="7"/>
    <x v="123"/>
    <x v="0"/>
    <s v=" 59263.0"/>
    <n v="7"/>
    <n v="59263"/>
  </r>
  <r>
    <x v="7"/>
    <x v="123"/>
    <x v="1"/>
    <s v=" 60058.0"/>
    <n v="7"/>
    <n v="60058"/>
  </r>
  <r>
    <x v="7"/>
    <x v="123"/>
    <x v="2"/>
    <s v=" 119321.0"/>
    <n v="8"/>
    <n v="119321"/>
  </r>
  <r>
    <x v="7"/>
    <x v="123"/>
    <x v="3"/>
    <s v=" 21523.0"/>
    <n v="7"/>
    <n v="21523"/>
  </r>
  <r>
    <x v="7"/>
    <x v="123"/>
    <x v="4"/>
    <s v=" 80974.0"/>
    <n v="7"/>
    <n v="80974"/>
  </r>
  <r>
    <x v="7"/>
    <x v="123"/>
    <x v="5"/>
    <s v=" 16824.0"/>
    <n v="7"/>
    <n v="16824"/>
  </r>
  <r>
    <x v="7"/>
    <x v="124"/>
    <x v="0"/>
    <s v=" 41599.0"/>
    <n v="7"/>
    <n v="41599"/>
  </r>
  <r>
    <x v="7"/>
    <x v="124"/>
    <x v="1"/>
    <s v=" 42096.0"/>
    <n v="7"/>
    <n v="42096"/>
  </r>
  <r>
    <x v="7"/>
    <x v="124"/>
    <x v="2"/>
    <s v=" 83695.0"/>
    <n v="7"/>
    <n v="83695"/>
  </r>
  <r>
    <x v="7"/>
    <x v="124"/>
    <x v="3"/>
    <s v=" 14909.0"/>
    <n v="7"/>
    <n v="14909"/>
  </r>
  <r>
    <x v="7"/>
    <x v="124"/>
    <x v="4"/>
    <s v=" 54449.0"/>
    <n v="7"/>
    <n v="54449"/>
  </r>
  <r>
    <x v="7"/>
    <x v="124"/>
    <x v="5"/>
    <s v=" 14337.0"/>
    <n v="7"/>
    <n v="14337"/>
  </r>
  <r>
    <x v="7"/>
    <x v="125"/>
    <x v="0"/>
    <s v=" 84067.0"/>
    <n v="7"/>
    <n v="84067"/>
  </r>
  <r>
    <x v="7"/>
    <x v="125"/>
    <x v="1"/>
    <s v=" 85788.0"/>
    <n v="7"/>
    <n v="85788"/>
  </r>
  <r>
    <x v="7"/>
    <x v="125"/>
    <x v="2"/>
    <s v=" 169855.0"/>
    <n v="8"/>
    <n v="169855"/>
  </r>
  <r>
    <x v="7"/>
    <x v="125"/>
    <x v="3"/>
    <s v=" 32186.0"/>
    <n v="7"/>
    <n v="32186"/>
  </r>
  <r>
    <x v="7"/>
    <x v="125"/>
    <x v="4"/>
    <s v=" 113155.0"/>
    <n v="8"/>
    <n v="113155"/>
  </r>
  <r>
    <x v="7"/>
    <x v="125"/>
    <x v="5"/>
    <s v=" 24514.0"/>
    <n v="7"/>
    <n v="24514"/>
  </r>
  <r>
    <x v="7"/>
    <x v="126"/>
    <x v="0"/>
    <s v=" 40512.0"/>
    <n v="7"/>
    <n v="40512"/>
  </r>
  <r>
    <x v="7"/>
    <x v="126"/>
    <x v="1"/>
    <s v=" 41231.0"/>
    <n v="7"/>
    <n v="41231"/>
  </r>
  <r>
    <x v="7"/>
    <x v="126"/>
    <x v="2"/>
    <s v=" 81743.0"/>
    <n v="7"/>
    <n v="81743"/>
  </r>
  <r>
    <x v="7"/>
    <x v="126"/>
    <x v="3"/>
    <s v=" 17206.0"/>
    <n v="7"/>
    <n v="17206"/>
  </r>
  <r>
    <x v="7"/>
    <x v="126"/>
    <x v="4"/>
    <s v=" 55974.0"/>
    <n v="7"/>
    <n v="55974"/>
  </r>
  <r>
    <x v="7"/>
    <x v="126"/>
    <x v="5"/>
    <s v=" 8563.0"/>
    <n v="6"/>
    <n v="8563"/>
  </r>
  <r>
    <x v="7"/>
    <x v="127"/>
    <x v="0"/>
    <s v=" 93513.0"/>
    <n v="7"/>
    <n v="93513"/>
  </r>
  <r>
    <x v="7"/>
    <x v="127"/>
    <x v="1"/>
    <s v=" 95467.0"/>
    <n v="7"/>
    <n v="95467"/>
  </r>
  <r>
    <x v="7"/>
    <x v="127"/>
    <x v="2"/>
    <s v=" 188980.0"/>
    <n v="8"/>
    <n v="188980"/>
  </r>
  <r>
    <x v="7"/>
    <x v="127"/>
    <x v="3"/>
    <s v=" 41578.0"/>
    <n v="7"/>
    <n v="41578"/>
  </r>
  <r>
    <x v="7"/>
    <x v="127"/>
    <x v="4"/>
    <s v=" 126697.0"/>
    <n v="8"/>
    <n v="126697"/>
  </r>
  <r>
    <x v="7"/>
    <x v="127"/>
    <x v="5"/>
    <s v=" 20705.0"/>
    <n v="7"/>
    <n v="20705"/>
  </r>
  <r>
    <x v="7"/>
    <x v="128"/>
    <x v="0"/>
    <s v=" 172517.0"/>
    <n v="8"/>
    <n v="172517"/>
  </r>
  <r>
    <x v="7"/>
    <x v="128"/>
    <x v="1"/>
    <s v=" 176123.0"/>
    <n v="8"/>
    <n v="176123"/>
  </r>
  <r>
    <x v="7"/>
    <x v="128"/>
    <x v="2"/>
    <s v=" 348640.0"/>
    <n v="8"/>
    <n v="348640"/>
  </r>
  <r>
    <x v="7"/>
    <x v="128"/>
    <x v="3"/>
    <s v=" 74467.0"/>
    <n v="7"/>
    <n v="74467"/>
  </r>
  <r>
    <x v="7"/>
    <x v="128"/>
    <x v="4"/>
    <s v=" 238131.0"/>
    <n v="8"/>
    <n v="238131"/>
  </r>
  <r>
    <x v="7"/>
    <x v="128"/>
    <x v="5"/>
    <s v=" 36042.0"/>
    <n v="7"/>
    <n v="36042"/>
  </r>
  <r>
    <x v="7"/>
    <x v="129"/>
    <x v="0"/>
    <s v=" 329119.0"/>
    <n v="8"/>
    <n v="329119"/>
  </r>
  <r>
    <x v="7"/>
    <x v="129"/>
    <x v="1"/>
    <s v=" 338785.0"/>
    <n v="8"/>
    <n v="338785"/>
  </r>
  <r>
    <x v="7"/>
    <x v="129"/>
    <x v="2"/>
    <s v=" 667904.0"/>
    <n v="8"/>
    <n v="667904"/>
  </r>
  <r>
    <x v="7"/>
    <x v="129"/>
    <x v="3"/>
    <s v=" 136594.0"/>
    <n v="8"/>
    <n v="136594"/>
  </r>
  <r>
    <x v="7"/>
    <x v="129"/>
    <x v="4"/>
    <s v=" 470295.0"/>
    <n v="8"/>
    <n v="470295"/>
  </r>
  <r>
    <x v="7"/>
    <x v="129"/>
    <x v="5"/>
    <s v=" 61015.0"/>
    <n v="7"/>
    <n v="61015"/>
  </r>
  <r>
    <x v="7"/>
    <x v="130"/>
    <x v="0"/>
    <s v=" 52877.0"/>
    <n v="7"/>
    <n v="52877"/>
  </r>
  <r>
    <x v="7"/>
    <x v="130"/>
    <x v="1"/>
    <s v=" 53963.0"/>
    <n v="7"/>
    <n v="53963"/>
  </r>
  <r>
    <x v="7"/>
    <x v="130"/>
    <x v="2"/>
    <s v=" 106840.0"/>
    <n v="8"/>
    <n v="106840"/>
  </r>
  <r>
    <x v="7"/>
    <x v="130"/>
    <x v="3"/>
    <s v=" 22132.0"/>
    <n v="7"/>
    <n v="22132"/>
  </r>
  <r>
    <x v="7"/>
    <x v="130"/>
    <x v="4"/>
    <s v=" 72166.0"/>
    <n v="7"/>
    <n v="72166"/>
  </r>
  <r>
    <x v="7"/>
    <x v="130"/>
    <x v="5"/>
    <s v=" 12542.0"/>
    <n v="7"/>
    <n v="12542"/>
  </r>
  <r>
    <x v="7"/>
    <x v="131"/>
    <x v="0"/>
    <s v=" 15073.0"/>
    <n v="7"/>
    <n v="15073"/>
  </r>
  <r>
    <x v="7"/>
    <x v="131"/>
    <x v="1"/>
    <s v=" 15210.0"/>
    <n v="7"/>
    <n v="15210"/>
  </r>
  <r>
    <x v="7"/>
    <x v="131"/>
    <x v="2"/>
    <s v=" 30283.0"/>
    <n v="7"/>
    <n v="30283"/>
  </r>
  <r>
    <x v="7"/>
    <x v="131"/>
    <x v="3"/>
    <s v=" 5967.0"/>
    <n v="6"/>
    <n v="5967"/>
  </r>
  <r>
    <x v="7"/>
    <x v="131"/>
    <x v="4"/>
    <s v=" 20924.0"/>
    <n v="7"/>
    <n v="20924"/>
  </r>
  <r>
    <x v="7"/>
    <x v="131"/>
    <x v="5"/>
    <s v=" 3392.0"/>
    <n v="6"/>
    <n v="3392"/>
  </r>
  <r>
    <x v="7"/>
    <x v="132"/>
    <x v="0"/>
    <s v=" 16450.0"/>
    <n v="7"/>
    <n v="16450"/>
  </r>
  <r>
    <x v="7"/>
    <x v="132"/>
    <x v="1"/>
    <s v=" 16571.0"/>
    <n v="7"/>
    <n v="16571"/>
  </r>
  <r>
    <x v="7"/>
    <x v="132"/>
    <x v="2"/>
    <s v=" 33021.0"/>
    <n v="7"/>
    <n v="33021"/>
  </r>
  <r>
    <x v="7"/>
    <x v="132"/>
    <x v="3"/>
    <s v=" 6467.0"/>
    <n v="6"/>
    <n v="6467"/>
  </r>
  <r>
    <x v="7"/>
    <x v="132"/>
    <x v="4"/>
    <s v=" 22595.0"/>
    <n v="7"/>
    <n v="22595"/>
  </r>
  <r>
    <x v="7"/>
    <x v="132"/>
    <x v="5"/>
    <s v=" 3959.0"/>
    <n v="6"/>
    <n v="3959"/>
  </r>
  <r>
    <x v="7"/>
    <x v="133"/>
    <x v="0"/>
    <s v=" 9715.0"/>
    <n v="6"/>
    <n v="9715"/>
  </r>
  <r>
    <x v="7"/>
    <x v="133"/>
    <x v="1"/>
    <s v=" 9804.0"/>
    <n v="6"/>
    <n v="9804"/>
  </r>
  <r>
    <x v="7"/>
    <x v="133"/>
    <x v="2"/>
    <s v=" 19519.0"/>
    <n v="7"/>
    <n v="19519"/>
  </r>
  <r>
    <x v="7"/>
    <x v="133"/>
    <x v="3"/>
    <s v=" 3613.0"/>
    <n v="6"/>
    <n v="3613"/>
  </r>
  <r>
    <x v="7"/>
    <x v="133"/>
    <x v="4"/>
    <s v=" 13154.0"/>
    <n v="7"/>
    <n v="13154"/>
  </r>
  <r>
    <x v="7"/>
    <x v="133"/>
    <x v="5"/>
    <s v=" 2752.0"/>
    <n v="6"/>
    <n v="2752"/>
  </r>
  <r>
    <x v="7"/>
    <x v="134"/>
    <x v="0"/>
    <s v=" 42280.0"/>
    <n v="7"/>
    <n v="42280"/>
  </r>
  <r>
    <x v="7"/>
    <x v="134"/>
    <x v="1"/>
    <s v=" 43234.0"/>
    <n v="7"/>
    <n v="43234"/>
  </r>
  <r>
    <x v="7"/>
    <x v="134"/>
    <x v="2"/>
    <s v=" 85514.0"/>
    <n v="7"/>
    <n v="85514"/>
  </r>
  <r>
    <x v="7"/>
    <x v="134"/>
    <x v="3"/>
    <s v=" 17387.0"/>
    <n v="7"/>
    <n v="17387"/>
  </r>
  <r>
    <x v="7"/>
    <x v="134"/>
    <x v="4"/>
    <s v=" 58390.0"/>
    <n v="7"/>
    <n v="58390"/>
  </r>
  <r>
    <x v="7"/>
    <x v="134"/>
    <x v="5"/>
    <s v=" 9737.0"/>
    <n v="6"/>
    <n v="9737"/>
  </r>
  <r>
    <x v="7"/>
    <x v="135"/>
    <x v="0"/>
    <s v=" 20947.0"/>
    <n v="7"/>
    <n v="20947"/>
  </r>
  <r>
    <x v="7"/>
    <x v="135"/>
    <x v="1"/>
    <s v=" 21286.0"/>
    <n v="7"/>
    <n v="21286"/>
  </r>
  <r>
    <x v="7"/>
    <x v="135"/>
    <x v="2"/>
    <s v=" 42233.0"/>
    <n v="7"/>
    <n v="42233"/>
  </r>
  <r>
    <x v="7"/>
    <x v="135"/>
    <x v="3"/>
    <s v=" 8946.0"/>
    <n v="6"/>
    <n v="8946"/>
  </r>
  <r>
    <x v="7"/>
    <x v="135"/>
    <x v="4"/>
    <s v=" 28186.0"/>
    <n v="7"/>
    <n v="28186"/>
  </r>
  <r>
    <x v="7"/>
    <x v="135"/>
    <x v="5"/>
    <s v=" 5101.0"/>
    <n v="6"/>
    <n v="5101"/>
  </r>
  <r>
    <x v="7"/>
    <x v="136"/>
    <x v="0"/>
    <s v=" 74059.0"/>
    <n v="7"/>
    <n v="74059"/>
  </r>
  <r>
    <x v="7"/>
    <x v="136"/>
    <x v="1"/>
    <s v=" 74840.0"/>
    <n v="7"/>
    <n v="74840"/>
  </r>
  <r>
    <x v="7"/>
    <x v="136"/>
    <x v="2"/>
    <s v=" 148899.0"/>
    <n v="8"/>
    <n v="148899"/>
  </r>
  <r>
    <x v="7"/>
    <x v="136"/>
    <x v="3"/>
    <s v=" 29176.0"/>
    <n v="7"/>
    <n v="29176"/>
  </r>
  <r>
    <x v="7"/>
    <x v="136"/>
    <x v="4"/>
    <s v=" 99637.0"/>
    <n v="7"/>
    <n v="99637"/>
  </r>
  <r>
    <x v="7"/>
    <x v="136"/>
    <x v="5"/>
    <s v=" 20086.0"/>
    <n v="7"/>
    <n v="20086"/>
  </r>
  <r>
    <x v="7"/>
    <x v="137"/>
    <x v="0"/>
    <s v=" 58531.0"/>
    <n v="7"/>
    <n v="58531"/>
  </r>
  <r>
    <x v="7"/>
    <x v="137"/>
    <x v="1"/>
    <s v=" 59451.0"/>
    <n v="7"/>
    <n v="59451"/>
  </r>
  <r>
    <x v="7"/>
    <x v="137"/>
    <x v="2"/>
    <s v=" 117982.0"/>
    <n v="8"/>
    <n v="117982"/>
  </r>
  <r>
    <x v="7"/>
    <x v="137"/>
    <x v="3"/>
    <s v=" 24755.0"/>
    <n v="7"/>
    <n v="24755"/>
  </r>
  <r>
    <x v="7"/>
    <x v="137"/>
    <x v="4"/>
    <s v=" 81081.0"/>
    <n v="7"/>
    <n v="81081"/>
  </r>
  <r>
    <x v="7"/>
    <x v="137"/>
    <x v="5"/>
    <s v=" 12146.0"/>
    <n v="7"/>
    <n v="12146"/>
  </r>
  <r>
    <x v="7"/>
    <x v="138"/>
    <x v="0"/>
    <s v=" 21040.0"/>
    <n v="7"/>
    <n v="21040"/>
  </r>
  <r>
    <x v="7"/>
    <x v="138"/>
    <x v="1"/>
    <s v=" 21353.0"/>
    <n v="7"/>
    <n v="21353"/>
  </r>
  <r>
    <x v="7"/>
    <x v="138"/>
    <x v="2"/>
    <s v=" 42393.0"/>
    <n v="7"/>
    <n v="42393"/>
  </r>
  <r>
    <x v="7"/>
    <x v="138"/>
    <x v="3"/>
    <s v=" 8780.0"/>
    <n v="6"/>
    <n v="8780"/>
  </r>
  <r>
    <x v="7"/>
    <x v="138"/>
    <x v="4"/>
    <s v=" 28502.0"/>
    <n v="7"/>
    <n v="28502"/>
  </r>
  <r>
    <x v="7"/>
    <x v="138"/>
    <x v="5"/>
    <s v=" 5111.0"/>
    <n v="6"/>
    <n v="5111"/>
  </r>
  <r>
    <x v="7"/>
    <x v="139"/>
    <x v="0"/>
    <s v=" 44000.0"/>
    <n v="7"/>
    <n v="44000"/>
  </r>
  <r>
    <x v="7"/>
    <x v="139"/>
    <x v="1"/>
    <s v=" 44317.0"/>
    <n v="7"/>
    <n v="44317"/>
  </r>
  <r>
    <x v="7"/>
    <x v="139"/>
    <x v="2"/>
    <s v=" 88317.0"/>
    <n v="7"/>
    <n v="88317"/>
  </r>
  <r>
    <x v="7"/>
    <x v="139"/>
    <x v="3"/>
    <s v=" 18199.0"/>
    <n v="7"/>
    <n v="18199"/>
  </r>
  <r>
    <x v="7"/>
    <x v="139"/>
    <x v="4"/>
    <s v=" 60013.0"/>
    <n v="7"/>
    <n v="60013"/>
  </r>
  <r>
    <x v="7"/>
    <x v="139"/>
    <x v="5"/>
    <s v=" 10105.0"/>
    <n v="7"/>
    <n v="10105"/>
  </r>
  <r>
    <x v="7"/>
    <x v="140"/>
    <x v="0"/>
    <s v=" 6318.0"/>
    <n v="6"/>
    <n v="6318"/>
  </r>
  <r>
    <x v="7"/>
    <x v="140"/>
    <x v="1"/>
    <s v=" 6226.0"/>
    <n v="6"/>
    <n v="6226"/>
  </r>
  <r>
    <x v="7"/>
    <x v="140"/>
    <x v="2"/>
    <s v=" 12544.0"/>
    <n v="7"/>
    <n v="12544"/>
  </r>
  <r>
    <x v="7"/>
    <x v="140"/>
    <x v="3"/>
    <s v=" 2408.0"/>
    <n v="6"/>
    <n v="2408"/>
  </r>
  <r>
    <x v="7"/>
    <x v="140"/>
    <x v="4"/>
    <s v=" 8091.0"/>
    <n v="6"/>
    <n v="8091"/>
  </r>
  <r>
    <x v="7"/>
    <x v="140"/>
    <x v="5"/>
    <s v=" 2045.0"/>
    <n v="6"/>
    <n v="2045"/>
  </r>
  <r>
    <x v="7"/>
    <x v="141"/>
    <x v="0"/>
    <s v=" 3958.0"/>
    <n v="6"/>
    <n v="3958"/>
  </r>
  <r>
    <x v="7"/>
    <x v="141"/>
    <x v="1"/>
    <s v=" 3898.0"/>
    <n v="6"/>
    <n v="3898"/>
  </r>
  <r>
    <x v="7"/>
    <x v="141"/>
    <x v="2"/>
    <s v=" 7856.0"/>
    <n v="6"/>
    <n v="7856"/>
  </r>
  <r>
    <x v="7"/>
    <x v="141"/>
    <x v="3"/>
    <s v=" 1470.0"/>
    <n v="6"/>
    <n v="1470"/>
  </r>
  <r>
    <x v="7"/>
    <x v="141"/>
    <x v="4"/>
    <s v=" 5312.0"/>
    <n v="6"/>
    <n v="5312"/>
  </r>
  <r>
    <x v="7"/>
    <x v="141"/>
    <x v="5"/>
    <s v=" 1074.0"/>
    <n v="6"/>
    <n v="1074"/>
  </r>
  <r>
    <x v="8"/>
    <x v="142"/>
    <x v="0"/>
    <s v=" 512497.0"/>
    <n v="8"/>
    <n v="512497"/>
  </r>
  <r>
    <x v="8"/>
    <x v="142"/>
    <x v="1"/>
    <s v=" 513089.0"/>
    <n v="8"/>
    <n v="513089"/>
  </r>
  <r>
    <x v="8"/>
    <x v="142"/>
    <x v="2"/>
    <s v=" 1025586.0"/>
    <n v="9"/>
    <n v="1025586"/>
  </r>
  <r>
    <x v="8"/>
    <x v="142"/>
    <x v="3"/>
    <s v=" 190517.0"/>
    <n v="8"/>
    <n v="190517"/>
  </r>
  <r>
    <x v="8"/>
    <x v="142"/>
    <x v="4"/>
    <s v=" 677098.0"/>
    <n v="8"/>
    <n v="677098"/>
  </r>
  <r>
    <x v="8"/>
    <x v="142"/>
    <x v="5"/>
    <s v=" 157971.0"/>
    <n v="8"/>
    <n v="157971"/>
  </r>
  <r>
    <x v="8"/>
    <x v="143"/>
    <x v="0"/>
    <s v=" 3620.0"/>
    <n v="6"/>
    <n v="3620"/>
  </r>
  <r>
    <x v="8"/>
    <x v="143"/>
    <x v="1"/>
    <s v=" 3515.0"/>
    <n v="6"/>
    <n v="3515"/>
  </r>
  <r>
    <x v="8"/>
    <x v="143"/>
    <x v="2"/>
    <s v=" 7135.0"/>
    <n v="6"/>
    <n v="7135"/>
  </r>
  <r>
    <x v="8"/>
    <x v="143"/>
    <x v="3"/>
    <s v=" 992.0"/>
    <n v="5"/>
    <n v="992"/>
  </r>
  <r>
    <x v="8"/>
    <x v="143"/>
    <x v="4"/>
    <s v=" 4246.0"/>
    <n v="6"/>
    <n v="4246"/>
  </r>
  <r>
    <x v="8"/>
    <x v="143"/>
    <x v="5"/>
    <s v=" 1897.0"/>
    <n v="6"/>
    <n v="1897"/>
  </r>
  <r>
    <x v="8"/>
    <x v="144"/>
    <x v="0"/>
    <s v=" 14285.0"/>
    <n v="7"/>
    <n v="14285"/>
  </r>
  <r>
    <x v="8"/>
    <x v="144"/>
    <x v="1"/>
    <s v=" 14267.0"/>
    <n v="7"/>
    <n v="14267"/>
  </r>
  <r>
    <x v="8"/>
    <x v="144"/>
    <x v="2"/>
    <s v=" 28552.0"/>
    <n v="7"/>
    <n v="28552"/>
  </r>
  <r>
    <x v="8"/>
    <x v="144"/>
    <x v="3"/>
    <s v=" 5573.0"/>
    <n v="6"/>
    <n v="5573"/>
  </r>
  <r>
    <x v="8"/>
    <x v="144"/>
    <x v="4"/>
    <s v=" 18782.0"/>
    <n v="7"/>
    <n v="18782"/>
  </r>
  <r>
    <x v="8"/>
    <x v="144"/>
    <x v="5"/>
    <s v=" 4197.0"/>
    <n v="6"/>
    <n v="4197"/>
  </r>
  <r>
    <x v="8"/>
    <x v="145"/>
    <x v="0"/>
    <s v=" 7343.0"/>
    <n v="6"/>
    <n v="7343"/>
  </r>
  <r>
    <x v="8"/>
    <x v="145"/>
    <x v="1"/>
    <s v=" 7284.0"/>
    <n v="6"/>
    <n v="7284"/>
  </r>
  <r>
    <x v="8"/>
    <x v="145"/>
    <x v="2"/>
    <s v=" 14627.0"/>
    <n v="7"/>
    <n v="14627"/>
  </r>
  <r>
    <x v="8"/>
    <x v="145"/>
    <x v="3"/>
    <s v=" 2819.0"/>
    <n v="6"/>
    <n v="2819"/>
  </r>
  <r>
    <x v="8"/>
    <x v="145"/>
    <x v="4"/>
    <s v=" 9783.0"/>
    <n v="6"/>
    <n v="9783"/>
  </r>
  <r>
    <x v="8"/>
    <x v="145"/>
    <x v="5"/>
    <s v=" 2025.0"/>
    <n v="6"/>
    <n v="2025"/>
  </r>
  <r>
    <x v="8"/>
    <x v="146"/>
    <x v="0"/>
    <s v=" 19118.0"/>
    <n v="7"/>
    <n v="19118"/>
  </r>
  <r>
    <x v="8"/>
    <x v="146"/>
    <x v="1"/>
    <s v=" 19067.0"/>
    <n v="7"/>
    <n v="19067"/>
  </r>
  <r>
    <x v="8"/>
    <x v="146"/>
    <x v="2"/>
    <s v=" 38185.0"/>
    <n v="7"/>
    <n v="38185"/>
  </r>
  <r>
    <x v="8"/>
    <x v="146"/>
    <x v="3"/>
    <s v=" 7969.0"/>
    <n v="6"/>
    <n v="7969"/>
  </r>
  <r>
    <x v="8"/>
    <x v="146"/>
    <x v="4"/>
    <s v=" 25479.0"/>
    <n v="7"/>
    <n v="25479"/>
  </r>
  <r>
    <x v="8"/>
    <x v="146"/>
    <x v="5"/>
    <s v=" 4737.0"/>
    <n v="6"/>
    <n v="4737"/>
  </r>
  <r>
    <x v="8"/>
    <x v="147"/>
    <x v="0"/>
    <s v=" 3529.0"/>
    <n v="6"/>
    <n v="3529"/>
  </r>
  <r>
    <x v="8"/>
    <x v="147"/>
    <x v="1"/>
    <s v=" 3420.0"/>
    <n v="6"/>
    <n v="3420"/>
  </r>
  <r>
    <x v="8"/>
    <x v="147"/>
    <x v="2"/>
    <s v=" 6949.0"/>
    <n v="6"/>
    <n v="6949"/>
  </r>
  <r>
    <x v="8"/>
    <x v="147"/>
    <x v="3"/>
    <s v=" 1082.0"/>
    <n v="6"/>
    <n v="1082"/>
  </r>
  <r>
    <x v="8"/>
    <x v="147"/>
    <x v="4"/>
    <s v=" 4491.0"/>
    <n v="6"/>
    <n v="4491"/>
  </r>
  <r>
    <x v="8"/>
    <x v="147"/>
    <x v="5"/>
    <s v=" 1376.0"/>
    <n v="6"/>
    <n v="1376"/>
  </r>
  <r>
    <x v="8"/>
    <x v="148"/>
    <x v="0"/>
    <s v=" 136524.0"/>
    <n v="8"/>
    <n v="136524"/>
  </r>
  <r>
    <x v="8"/>
    <x v="148"/>
    <x v="1"/>
    <s v=" 137883.0"/>
    <n v="8"/>
    <n v="137883"/>
  </r>
  <r>
    <x v="8"/>
    <x v="148"/>
    <x v="2"/>
    <s v=" 274407.0"/>
    <n v="8"/>
    <n v="274407"/>
  </r>
  <r>
    <x v="8"/>
    <x v="148"/>
    <x v="3"/>
    <s v=" 51652.0"/>
    <n v="7"/>
    <n v="51652"/>
  </r>
  <r>
    <x v="8"/>
    <x v="148"/>
    <x v="4"/>
    <s v=" 182485.0"/>
    <n v="8"/>
    <n v="182485"/>
  </r>
  <r>
    <x v="8"/>
    <x v="148"/>
    <x v="5"/>
    <s v=" 40270.0"/>
    <n v="7"/>
    <n v="40270"/>
  </r>
  <r>
    <x v="8"/>
    <x v="149"/>
    <x v="0"/>
    <s v=" 32200.0"/>
    <n v="7"/>
    <n v="32200"/>
  </r>
  <r>
    <x v="8"/>
    <x v="149"/>
    <x v="1"/>
    <s v=" 32551.0"/>
    <n v="7"/>
    <n v="32551"/>
  </r>
  <r>
    <x v="8"/>
    <x v="149"/>
    <x v="2"/>
    <s v=" 64751.0"/>
    <n v="7"/>
    <n v="64751"/>
  </r>
  <r>
    <x v="8"/>
    <x v="149"/>
    <x v="3"/>
    <s v=" 14480.0"/>
    <n v="7"/>
    <n v="14480"/>
  </r>
  <r>
    <x v="8"/>
    <x v="149"/>
    <x v="4"/>
    <s v=" 43406.0"/>
    <n v="7"/>
    <n v="43406"/>
  </r>
  <r>
    <x v="8"/>
    <x v="149"/>
    <x v="5"/>
    <s v=" 6865.0"/>
    <n v="6"/>
    <n v="6865"/>
  </r>
  <r>
    <x v="8"/>
    <x v="150"/>
    <x v="0"/>
    <s v=" 11850.0"/>
    <n v="7"/>
    <n v="11850"/>
  </r>
  <r>
    <x v="8"/>
    <x v="150"/>
    <x v="1"/>
    <s v=" 11797.0"/>
    <n v="7"/>
    <n v="11797"/>
  </r>
  <r>
    <x v="8"/>
    <x v="150"/>
    <x v="2"/>
    <s v=" 23647.0"/>
    <n v="7"/>
    <n v="23647"/>
  </r>
  <r>
    <x v="8"/>
    <x v="150"/>
    <x v="3"/>
    <s v=" 4576.0"/>
    <n v="6"/>
    <n v="4576"/>
  </r>
  <r>
    <x v="8"/>
    <x v="150"/>
    <x v="4"/>
    <s v=" 15522.0"/>
    <n v="7"/>
    <n v="15522"/>
  </r>
  <r>
    <x v="8"/>
    <x v="150"/>
    <x v="5"/>
    <s v=" 3549.0"/>
    <n v="6"/>
    <n v="3549"/>
  </r>
  <r>
    <x v="8"/>
    <x v="151"/>
    <x v="0"/>
    <s v=" 1579.0"/>
    <n v="6"/>
    <n v="1579"/>
  </r>
  <r>
    <x v="8"/>
    <x v="151"/>
    <x v="1"/>
    <s v=" 1519.0"/>
    <n v="6"/>
    <n v="1519"/>
  </r>
  <r>
    <x v="8"/>
    <x v="151"/>
    <x v="2"/>
    <s v=" 3098.0"/>
    <n v="6"/>
    <n v="3098"/>
  </r>
  <r>
    <x v="8"/>
    <x v="151"/>
    <x v="3"/>
    <s v=" 447.0"/>
    <n v="5"/>
    <n v="447"/>
  </r>
  <r>
    <x v="8"/>
    <x v="151"/>
    <x v="4"/>
    <s v=" 1941.0"/>
    <n v="6"/>
    <n v="1941"/>
  </r>
  <r>
    <x v="8"/>
    <x v="151"/>
    <x v="5"/>
    <s v=" 710.0"/>
    <n v="5"/>
    <n v="710"/>
  </r>
  <r>
    <x v="8"/>
    <x v="152"/>
    <x v="0"/>
    <s v=" 7542.0"/>
    <n v="6"/>
    <n v="7542"/>
  </r>
  <r>
    <x v="8"/>
    <x v="152"/>
    <x v="1"/>
    <s v=" 7465.0"/>
    <n v="6"/>
    <n v="7465"/>
  </r>
  <r>
    <x v="8"/>
    <x v="152"/>
    <x v="2"/>
    <s v=" 15007.0"/>
    <n v="7"/>
    <n v="15007"/>
  </r>
  <r>
    <x v="8"/>
    <x v="152"/>
    <x v="3"/>
    <s v=" 2806.0"/>
    <n v="6"/>
    <n v="2806"/>
  </r>
  <r>
    <x v="8"/>
    <x v="152"/>
    <x v="4"/>
    <s v=" 10142.0"/>
    <n v="7"/>
    <n v="10142"/>
  </r>
  <r>
    <x v="8"/>
    <x v="152"/>
    <x v="5"/>
    <s v=" 2059.0"/>
    <n v="6"/>
    <n v="2059"/>
  </r>
  <r>
    <x v="8"/>
    <x v="153"/>
    <x v="0"/>
    <s v=" 4050.0"/>
    <n v="6"/>
    <n v="4050"/>
  </r>
  <r>
    <x v="8"/>
    <x v="153"/>
    <x v="1"/>
    <s v=" 3974.0"/>
    <n v="6"/>
    <n v="3974"/>
  </r>
  <r>
    <x v="8"/>
    <x v="153"/>
    <x v="2"/>
    <s v=" 8024.0"/>
    <n v="6"/>
    <n v="8024"/>
  </r>
  <r>
    <x v="8"/>
    <x v="153"/>
    <x v="3"/>
    <s v=" 1343.0"/>
    <n v="6"/>
    <n v="1343"/>
  </r>
  <r>
    <x v="8"/>
    <x v="153"/>
    <x v="4"/>
    <s v=" 5176.0"/>
    <n v="6"/>
    <n v="5176"/>
  </r>
  <r>
    <x v="8"/>
    <x v="153"/>
    <x v="5"/>
    <s v=" 1505.0"/>
    <n v="6"/>
    <n v="1505"/>
  </r>
  <r>
    <x v="8"/>
    <x v="154"/>
    <x v="0"/>
    <s v=" 15930.0"/>
    <n v="7"/>
    <n v="15930"/>
  </r>
  <r>
    <x v="8"/>
    <x v="154"/>
    <x v="1"/>
    <s v=" 15794.0"/>
    <n v="7"/>
    <n v="15794"/>
  </r>
  <r>
    <x v="8"/>
    <x v="154"/>
    <x v="2"/>
    <s v=" 31724.0"/>
    <n v="7"/>
    <n v="31724"/>
  </r>
  <r>
    <x v="8"/>
    <x v="154"/>
    <x v="3"/>
    <s v=" 6262.0"/>
    <n v="6"/>
    <n v="6262"/>
  </r>
  <r>
    <x v="8"/>
    <x v="154"/>
    <x v="4"/>
    <s v=" 21364.0"/>
    <n v="7"/>
    <n v="21364"/>
  </r>
  <r>
    <x v="8"/>
    <x v="154"/>
    <x v="5"/>
    <s v=" 4098.0"/>
    <n v="6"/>
    <n v="4098"/>
  </r>
  <r>
    <x v="8"/>
    <x v="155"/>
    <x v="0"/>
    <s v=" 14032.0"/>
    <n v="7"/>
    <n v="14032"/>
  </r>
  <r>
    <x v="8"/>
    <x v="155"/>
    <x v="1"/>
    <s v=" 13717.0"/>
    <n v="7"/>
    <n v="13717"/>
  </r>
  <r>
    <x v="8"/>
    <x v="155"/>
    <x v="2"/>
    <s v=" 27749.0"/>
    <n v="7"/>
    <n v="27749"/>
  </r>
  <r>
    <x v="8"/>
    <x v="155"/>
    <x v="3"/>
    <s v=" 4911.0"/>
    <n v="6"/>
    <n v="4911"/>
  </r>
  <r>
    <x v="8"/>
    <x v="155"/>
    <x v="4"/>
    <s v=" 18205.0"/>
    <n v="7"/>
    <n v="18205"/>
  </r>
  <r>
    <x v="8"/>
    <x v="155"/>
    <x v="5"/>
    <s v=" 4633.0"/>
    <n v="6"/>
    <n v="4633"/>
  </r>
  <r>
    <x v="8"/>
    <x v="156"/>
    <x v="0"/>
    <s v=" 11107.0"/>
    <n v="7"/>
    <n v="11107"/>
  </r>
  <r>
    <x v="8"/>
    <x v="156"/>
    <x v="1"/>
    <s v=" 11036.0"/>
    <n v="7"/>
    <n v="11036"/>
  </r>
  <r>
    <x v="8"/>
    <x v="156"/>
    <x v="2"/>
    <s v=" 22143.0"/>
    <n v="7"/>
    <n v="22143"/>
  </r>
  <r>
    <x v="8"/>
    <x v="156"/>
    <x v="3"/>
    <s v=" 4126.0"/>
    <n v="6"/>
    <n v="4126"/>
  </r>
  <r>
    <x v="8"/>
    <x v="156"/>
    <x v="4"/>
    <s v=" 14407.0"/>
    <n v="7"/>
    <n v="14407"/>
  </r>
  <r>
    <x v="8"/>
    <x v="156"/>
    <x v="5"/>
    <s v=" 3610.0"/>
    <n v="6"/>
    <n v="3610"/>
  </r>
  <r>
    <x v="8"/>
    <x v="157"/>
    <x v="0"/>
    <s v=" 7162.0"/>
    <n v="6"/>
    <n v="7162"/>
  </r>
  <r>
    <x v="8"/>
    <x v="157"/>
    <x v="1"/>
    <s v=" 7126.0"/>
    <n v="6"/>
    <n v="7126"/>
  </r>
  <r>
    <x v="8"/>
    <x v="157"/>
    <x v="2"/>
    <s v=" 14288.0"/>
    <n v="7"/>
    <n v="14288"/>
  </r>
  <r>
    <x v="8"/>
    <x v="157"/>
    <x v="3"/>
    <s v=" 2467.0"/>
    <n v="6"/>
    <n v="2467"/>
  </r>
  <r>
    <x v="8"/>
    <x v="157"/>
    <x v="4"/>
    <s v=" 9476.0"/>
    <n v="6"/>
    <n v="9476"/>
  </r>
  <r>
    <x v="8"/>
    <x v="157"/>
    <x v="5"/>
    <s v=" 2345.0"/>
    <n v="6"/>
    <n v="2345"/>
  </r>
  <r>
    <x v="8"/>
    <x v="158"/>
    <x v="0"/>
    <s v=" 10631.0"/>
    <n v="7"/>
    <n v="10631"/>
  </r>
  <r>
    <x v="8"/>
    <x v="158"/>
    <x v="1"/>
    <s v=" 10443.0"/>
    <n v="7"/>
    <n v="10443"/>
  </r>
  <r>
    <x v="8"/>
    <x v="158"/>
    <x v="2"/>
    <s v=" 21074.0"/>
    <n v="7"/>
    <n v="21074"/>
  </r>
  <r>
    <x v="8"/>
    <x v="158"/>
    <x v="3"/>
    <s v=" 3580.0"/>
    <n v="6"/>
    <n v="3580"/>
  </r>
  <r>
    <x v="8"/>
    <x v="158"/>
    <x v="4"/>
    <s v=" 13770.0"/>
    <n v="7"/>
    <n v="13770"/>
  </r>
  <r>
    <x v="8"/>
    <x v="158"/>
    <x v="5"/>
    <s v=" 3724.0"/>
    <n v="6"/>
    <n v="3724"/>
  </r>
  <r>
    <x v="8"/>
    <x v="159"/>
    <x v="0"/>
    <s v=" 7539.0"/>
    <n v="6"/>
    <n v="7539"/>
  </r>
  <r>
    <x v="8"/>
    <x v="159"/>
    <x v="1"/>
    <s v=" 7489.0"/>
    <n v="6"/>
    <n v="7489"/>
  </r>
  <r>
    <x v="8"/>
    <x v="159"/>
    <x v="2"/>
    <s v=" 15028.0"/>
    <n v="7"/>
    <n v="15028"/>
  </r>
  <r>
    <x v="8"/>
    <x v="159"/>
    <x v="3"/>
    <s v=" 2654.0"/>
    <n v="6"/>
    <n v="2654"/>
  </r>
  <r>
    <x v="8"/>
    <x v="159"/>
    <x v="4"/>
    <s v=" 9860.0"/>
    <n v="6"/>
    <n v="9860"/>
  </r>
  <r>
    <x v="8"/>
    <x v="159"/>
    <x v="5"/>
    <s v=" 2514.0"/>
    <n v="6"/>
    <n v="2514"/>
  </r>
  <r>
    <x v="8"/>
    <x v="160"/>
    <x v="0"/>
    <s v=" 9474.0"/>
    <n v="6"/>
    <n v="9474"/>
  </r>
  <r>
    <x v="8"/>
    <x v="160"/>
    <x v="1"/>
    <s v=" 9330.0"/>
    <n v="6"/>
    <n v="9330"/>
  </r>
  <r>
    <x v="8"/>
    <x v="160"/>
    <x v="2"/>
    <s v=" 18804.0"/>
    <n v="7"/>
    <n v="18804"/>
  </r>
  <r>
    <x v="8"/>
    <x v="160"/>
    <x v="3"/>
    <s v=" 3187.0"/>
    <n v="6"/>
    <n v="3187"/>
  </r>
  <r>
    <x v="8"/>
    <x v="160"/>
    <x v="4"/>
    <s v=" 12461.0"/>
    <n v="7"/>
    <n v="12461"/>
  </r>
  <r>
    <x v="8"/>
    <x v="160"/>
    <x v="5"/>
    <s v=" 3156.0"/>
    <n v="6"/>
    <n v="3156"/>
  </r>
  <r>
    <x v="8"/>
    <x v="161"/>
    <x v="0"/>
    <s v=" 3881.0"/>
    <n v="6"/>
    <n v="3881"/>
  </r>
  <r>
    <x v="8"/>
    <x v="161"/>
    <x v="1"/>
    <s v=" 3834.0"/>
    <n v="6"/>
    <n v="3834"/>
  </r>
  <r>
    <x v="8"/>
    <x v="161"/>
    <x v="2"/>
    <s v=" 7715.0"/>
    <n v="6"/>
    <n v="7715"/>
  </r>
  <r>
    <x v="8"/>
    <x v="161"/>
    <x v="3"/>
    <s v=" 1183.0"/>
    <n v="6"/>
    <n v="1183"/>
  </r>
  <r>
    <x v="8"/>
    <x v="161"/>
    <x v="4"/>
    <s v=" 4897.0"/>
    <n v="6"/>
    <n v="4897"/>
  </r>
  <r>
    <x v="8"/>
    <x v="161"/>
    <x v="5"/>
    <s v=" 1635.0"/>
    <n v="6"/>
    <n v="1635"/>
  </r>
  <r>
    <x v="8"/>
    <x v="162"/>
    <x v="0"/>
    <s v=" 32753.0"/>
    <n v="7"/>
    <n v="32753"/>
  </r>
  <r>
    <x v="8"/>
    <x v="162"/>
    <x v="1"/>
    <s v=" 33033.0"/>
    <n v="7"/>
    <n v="33033"/>
  </r>
  <r>
    <x v="8"/>
    <x v="162"/>
    <x v="2"/>
    <s v=" 65786.0"/>
    <n v="7"/>
    <n v="65786"/>
  </r>
  <r>
    <x v="8"/>
    <x v="162"/>
    <x v="3"/>
    <s v=" 12518.0"/>
    <n v="7"/>
    <n v="12518"/>
  </r>
  <r>
    <x v="8"/>
    <x v="162"/>
    <x v="4"/>
    <s v=" 43441.0"/>
    <n v="7"/>
    <n v="43441"/>
  </r>
  <r>
    <x v="8"/>
    <x v="162"/>
    <x v="5"/>
    <s v=" 9827.0"/>
    <n v="6"/>
    <n v="9827"/>
  </r>
  <r>
    <x v="8"/>
    <x v="163"/>
    <x v="0"/>
    <s v=" 26190.0"/>
    <n v="7"/>
    <n v="26190"/>
  </r>
  <r>
    <x v="8"/>
    <x v="163"/>
    <x v="1"/>
    <s v=" 26099.0"/>
    <n v="7"/>
    <n v="26099"/>
  </r>
  <r>
    <x v="8"/>
    <x v="163"/>
    <x v="2"/>
    <s v=" 52289.0"/>
    <n v="7"/>
    <n v="52289"/>
  </r>
  <r>
    <x v="8"/>
    <x v="163"/>
    <x v="3"/>
    <s v=" 9131.0"/>
    <n v="6"/>
    <n v="9131"/>
  </r>
  <r>
    <x v="8"/>
    <x v="163"/>
    <x v="4"/>
    <s v=" 34101.0"/>
    <n v="7"/>
    <n v="34101"/>
  </r>
  <r>
    <x v="8"/>
    <x v="163"/>
    <x v="5"/>
    <s v=" 9057.0"/>
    <n v="6"/>
    <n v="9057"/>
  </r>
  <r>
    <x v="8"/>
    <x v="164"/>
    <x v="0"/>
    <s v=" 7213.0"/>
    <n v="6"/>
    <n v="7213"/>
  </r>
  <r>
    <x v="8"/>
    <x v="164"/>
    <x v="1"/>
    <s v=" 7087.0"/>
    <n v="6"/>
    <n v="7087"/>
  </r>
  <r>
    <x v="8"/>
    <x v="164"/>
    <x v="2"/>
    <s v=" 14300.0"/>
    <n v="7"/>
    <n v="14300"/>
  </r>
  <r>
    <x v="8"/>
    <x v="164"/>
    <x v="3"/>
    <s v=" 2406.0"/>
    <n v="6"/>
    <n v="2406"/>
  </r>
  <r>
    <x v="8"/>
    <x v="164"/>
    <x v="4"/>
    <s v=" 9386.0"/>
    <n v="6"/>
    <n v="9386"/>
  </r>
  <r>
    <x v="8"/>
    <x v="164"/>
    <x v="5"/>
    <s v=" 2508.0"/>
    <n v="6"/>
    <n v="2508"/>
  </r>
  <r>
    <x v="8"/>
    <x v="165"/>
    <x v="0"/>
    <s v=" 6109.0"/>
    <n v="6"/>
    <n v="6109"/>
  </r>
  <r>
    <x v="8"/>
    <x v="165"/>
    <x v="1"/>
    <s v=" 6065.0"/>
    <n v="6"/>
    <n v="6065"/>
  </r>
  <r>
    <x v="8"/>
    <x v="165"/>
    <x v="2"/>
    <s v=" 12174.0"/>
    <n v="7"/>
    <n v="12174"/>
  </r>
  <r>
    <x v="8"/>
    <x v="165"/>
    <x v="3"/>
    <s v=" 1996.0"/>
    <n v="6"/>
    <n v="1996"/>
  </r>
  <r>
    <x v="8"/>
    <x v="165"/>
    <x v="4"/>
    <s v=" 7924.0"/>
    <n v="6"/>
    <n v="7924"/>
  </r>
  <r>
    <x v="8"/>
    <x v="165"/>
    <x v="5"/>
    <s v=" 2254.0"/>
    <n v="6"/>
    <n v="2254"/>
  </r>
  <r>
    <x v="8"/>
    <x v="166"/>
    <x v="0"/>
    <s v=" 6850.0"/>
    <n v="6"/>
    <n v="6850"/>
  </r>
  <r>
    <x v="8"/>
    <x v="166"/>
    <x v="1"/>
    <s v=" 6747.0"/>
    <n v="6"/>
    <n v="6747"/>
  </r>
  <r>
    <x v="8"/>
    <x v="166"/>
    <x v="2"/>
    <s v=" 13597.0"/>
    <n v="7"/>
    <n v="13597"/>
  </r>
  <r>
    <x v="8"/>
    <x v="166"/>
    <x v="3"/>
    <s v=" 2239.0"/>
    <n v="6"/>
    <n v="2239"/>
  </r>
  <r>
    <x v="8"/>
    <x v="166"/>
    <x v="4"/>
    <s v=" 9122.0"/>
    <n v="6"/>
    <n v="9122"/>
  </r>
  <r>
    <x v="8"/>
    <x v="166"/>
    <x v="5"/>
    <s v=" 2236.0"/>
    <n v="6"/>
    <n v="2236"/>
  </r>
  <r>
    <x v="8"/>
    <x v="167"/>
    <x v="0"/>
    <s v=" 40162.0"/>
    <n v="7"/>
    <n v="40162"/>
  </r>
  <r>
    <x v="8"/>
    <x v="167"/>
    <x v="1"/>
    <s v=" 40955.0"/>
    <n v="7"/>
    <n v="40955"/>
  </r>
  <r>
    <x v="8"/>
    <x v="167"/>
    <x v="2"/>
    <s v=" 81117.0"/>
    <n v="7"/>
    <n v="81117"/>
  </r>
  <r>
    <x v="8"/>
    <x v="167"/>
    <x v="3"/>
    <s v=" 15469.0"/>
    <n v="7"/>
    <n v="15469"/>
  </r>
  <r>
    <x v="8"/>
    <x v="167"/>
    <x v="4"/>
    <s v=" 53291.0"/>
    <n v="7"/>
    <n v="53291"/>
  </r>
  <r>
    <x v="8"/>
    <x v="167"/>
    <x v="5"/>
    <s v=" 12357.0"/>
    <n v="7"/>
    <n v="12357"/>
  </r>
  <r>
    <x v="8"/>
    <x v="168"/>
    <x v="0"/>
    <s v=" 1782.0"/>
    <n v="6"/>
    <n v="1782"/>
  </r>
  <r>
    <x v="8"/>
    <x v="168"/>
    <x v="1"/>
    <s v=" 1734.0"/>
    <n v="6"/>
    <n v="1734"/>
  </r>
  <r>
    <x v="8"/>
    <x v="168"/>
    <x v="2"/>
    <s v=" 3516.0"/>
    <n v="6"/>
    <n v="3516"/>
  </r>
  <r>
    <x v="8"/>
    <x v="168"/>
    <x v="3"/>
    <s v=" 415.0"/>
    <n v="5"/>
    <n v="415"/>
  </r>
  <r>
    <x v="8"/>
    <x v="168"/>
    <x v="4"/>
    <s v=" 2236.0"/>
    <n v="6"/>
    <n v="2236"/>
  </r>
  <r>
    <x v="8"/>
    <x v="168"/>
    <x v="5"/>
    <s v=" 865.0"/>
    <n v="5"/>
    <n v="865"/>
  </r>
  <r>
    <x v="8"/>
    <x v="169"/>
    <x v="0"/>
    <s v=" 4670.0"/>
    <n v="6"/>
    <n v="4670"/>
  </r>
  <r>
    <x v="8"/>
    <x v="169"/>
    <x v="1"/>
    <s v=" 4611.0"/>
    <n v="6"/>
    <n v="4611"/>
  </r>
  <r>
    <x v="8"/>
    <x v="169"/>
    <x v="2"/>
    <s v=" 9281.0"/>
    <n v="6"/>
    <n v="9281"/>
  </r>
  <r>
    <x v="8"/>
    <x v="169"/>
    <x v="3"/>
    <s v=" 1570.0"/>
    <n v="6"/>
    <n v="1570"/>
  </r>
  <r>
    <x v="8"/>
    <x v="169"/>
    <x v="4"/>
    <s v=" 6087.0"/>
    <n v="6"/>
    <n v="6087"/>
  </r>
  <r>
    <x v="8"/>
    <x v="169"/>
    <x v="5"/>
    <s v=" 1624.0"/>
    <n v="6"/>
    <n v="1624"/>
  </r>
  <r>
    <x v="8"/>
    <x v="170"/>
    <x v="0"/>
    <s v=" 21157.0"/>
    <n v="7"/>
    <n v="21157"/>
  </r>
  <r>
    <x v="8"/>
    <x v="170"/>
    <x v="1"/>
    <s v=" 21425.0"/>
    <n v="7"/>
    <n v="21425"/>
  </r>
  <r>
    <x v="8"/>
    <x v="170"/>
    <x v="2"/>
    <s v=" 42582.0"/>
    <n v="7"/>
    <n v="42582"/>
  </r>
  <r>
    <x v="8"/>
    <x v="170"/>
    <x v="3"/>
    <s v=" 7513.0"/>
    <n v="6"/>
    <n v="7513"/>
  </r>
  <r>
    <x v="8"/>
    <x v="170"/>
    <x v="4"/>
    <s v=" 28018.0"/>
    <n v="7"/>
    <n v="28018"/>
  </r>
  <r>
    <x v="8"/>
    <x v="170"/>
    <x v="5"/>
    <s v=" 7051.0"/>
    <n v="6"/>
    <n v="7051"/>
  </r>
  <r>
    <x v="8"/>
    <x v="171"/>
    <x v="0"/>
    <s v=" 3187.0"/>
    <n v="6"/>
    <n v="3187"/>
  </r>
  <r>
    <x v="8"/>
    <x v="171"/>
    <x v="1"/>
    <s v=" 3072.0"/>
    <n v="6"/>
    <n v="3072"/>
  </r>
  <r>
    <x v="8"/>
    <x v="171"/>
    <x v="2"/>
    <s v=" 6259.0"/>
    <n v="6"/>
    <n v="6259"/>
  </r>
  <r>
    <x v="8"/>
    <x v="171"/>
    <x v="3"/>
    <s v=" 850.0"/>
    <n v="5"/>
    <n v="850"/>
  </r>
  <r>
    <x v="8"/>
    <x v="171"/>
    <x v="4"/>
    <s v=" 3904.0"/>
    <n v="6"/>
    <n v="3904"/>
  </r>
  <r>
    <x v="8"/>
    <x v="171"/>
    <x v="5"/>
    <s v=" 1505.0"/>
    <n v="6"/>
    <n v="1505"/>
  </r>
  <r>
    <x v="8"/>
    <x v="172"/>
    <x v="0"/>
    <s v=" 9833.0"/>
    <n v="6"/>
    <n v="9833"/>
  </r>
  <r>
    <x v="8"/>
    <x v="172"/>
    <x v="1"/>
    <s v=" 9892.0"/>
    <n v="6"/>
    <n v="9892"/>
  </r>
  <r>
    <x v="8"/>
    <x v="172"/>
    <x v="2"/>
    <s v=" 19725.0"/>
    <n v="7"/>
    <n v="19725"/>
  </r>
  <r>
    <x v="8"/>
    <x v="172"/>
    <x v="3"/>
    <s v=" 3552.0"/>
    <n v="6"/>
    <n v="3552"/>
  </r>
  <r>
    <x v="8"/>
    <x v="172"/>
    <x v="4"/>
    <s v=" 12963.0"/>
    <n v="7"/>
    <n v="12963"/>
  </r>
  <r>
    <x v="8"/>
    <x v="172"/>
    <x v="5"/>
    <s v=" 3210.0"/>
    <n v="6"/>
    <n v="3210"/>
  </r>
  <r>
    <x v="8"/>
    <x v="173"/>
    <x v="0"/>
    <s v=" 19322.0"/>
    <n v="7"/>
    <n v="19322"/>
  </r>
  <r>
    <x v="8"/>
    <x v="173"/>
    <x v="1"/>
    <s v=" 19129.0"/>
    <n v="7"/>
    <n v="19129"/>
  </r>
  <r>
    <x v="8"/>
    <x v="173"/>
    <x v="2"/>
    <s v=" 38451.0"/>
    <n v="7"/>
    <n v="38451"/>
  </r>
  <r>
    <x v="8"/>
    <x v="173"/>
    <x v="3"/>
    <s v=" 6960.0"/>
    <n v="6"/>
    <n v="6960"/>
  </r>
  <r>
    <x v="8"/>
    <x v="173"/>
    <x v="4"/>
    <s v=" 25552.0"/>
    <n v="7"/>
    <n v="25552"/>
  </r>
  <r>
    <x v="8"/>
    <x v="173"/>
    <x v="5"/>
    <s v=" 5939.0"/>
    <n v="6"/>
    <n v="5939"/>
  </r>
  <r>
    <x v="8"/>
    <x v="174"/>
    <x v="0"/>
    <s v=" 3760.0"/>
    <n v="6"/>
    <n v="3760"/>
  </r>
  <r>
    <x v="8"/>
    <x v="174"/>
    <x v="1"/>
    <s v=" 3694.0"/>
    <n v="6"/>
    <n v="3694"/>
  </r>
  <r>
    <x v="8"/>
    <x v="174"/>
    <x v="2"/>
    <s v=" 7454.0"/>
    <n v="6"/>
    <n v="7454"/>
  </r>
  <r>
    <x v="8"/>
    <x v="174"/>
    <x v="3"/>
    <s v=" 1127.0"/>
    <n v="6"/>
    <n v="1127"/>
  </r>
  <r>
    <x v="8"/>
    <x v="174"/>
    <x v="4"/>
    <s v=" 4700.0"/>
    <n v="6"/>
    <n v="4700"/>
  </r>
  <r>
    <x v="8"/>
    <x v="174"/>
    <x v="5"/>
    <s v=" 1627.0"/>
    <n v="6"/>
    <n v="1627"/>
  </r>
  <r>
    <x v="8"/>
    <x v="175"/>
    <x v="0"/>
    <s v=" 8113.0"/>
    <n v="6"/>
    <n v="8113"/>
  </r>
  <r>
    <x v="8"/>
    <x v="175"/>
    <x v="1"/>
    <s v=" 8035.0"/>
    <n v="6"/>
    <n v="8035"/>
  </r>
  <r>
    <x v="8"/>
    <x v="175"/>
    <x v="2"/>
    <s v=" 16148.0"/>
    <n v="7"/>
    <n v="16148"/>
  </r>
  <r>
    <x v="8"/>
    <x v="175"/>
    <x v="3"/>
    <s v=" 2662.0"/>
    <n v="6"/>
    <n v="2662"/>
  </r>
  <r>
    <x v="8"/>
    <x v="175"/>
    <x v="4"/>
    <s v=" 10480.0"/>
    <n v="7"/>
    <n v="10480"/>
  </r>
  <r>
    <x v="8"/>
    <x v="175"/>
    <x v="5"/>
    <s v=" 3006.0"/>
    <n v="6"/>
    <n v="3006"/>
  </r>
  <r>
    <x v="9"/>
    <x v="176"/>
    <x v="0"/>
    <s v=" 574048.0"/>
    <n v="8"/>
    <n v="574048"/>
  </r>
  <r>
    <x v="9"/>
    <x v="176"/>
    <x v="1"/>
    <s v=" 597934.0"/>
    <n v="8"/>
    <n v="597934"/>
  </r>
  <r>
    <x v="9"/>
    <x v="176"/>
    <x v="2"/>
    <s v=" 1171982.0"/>
    <n v="9"/>
    <n v="1171982"/>
  </r>
  <r>
    <x v="9"/>
    <x v="176"/>
    <x v="3"/>
    <s v=" 218832.0"/>
    <n v="8"/>
    <n v="218832"/>
  </r>
  <r>
    <x v="9"/>
    <x v="176"/>
    <x v="4"/>
    <s v=" 769415.0"/>
    <n v="8"/>
    <n v="769415"/>
  </r>
  <r>
    <x v="9"/>
    <x v="176"/>
    <x v="5"/>
    <s v=" 183735.0"/>
    <n v="8"/>
    <n v="183735"/>
  </r>
  <r>
    <x v="9"/>
    <x v="177"/>
    <x v="0"/>
    <s v=" 15887.0"/>
    <n v="7"/>
    <n v="15887"/>
  </r>
  <r>
    <x v="9"/>
    <x v="177"/>
    <x v="1"/>
    <s v=" 15998.0"/>
    <n v="7"/>
    <n v="15998"/>
  </r>
  <r>
    <x v="9"/>
    <x v="177"/>
    <x v="2"/>
    <s v=" 31885.0"/>
    <n v="7"/>
    <n v="31885"/>
  </r>
  <r>
    <x v="9"/>
    <x v="177"/>
    <x v="3"/>
    <s v=" 5704.0"/>
    <n v="6"/>
    <n v="5704"/>
  </r>
  <r>
    <x v="9"/>
    <x v="177"/>
    <x v="4"/>
    <s v=" 21164.0"/>
    <n v="7"/>
    <n v="21164"/>
  </r>
  <r>
    <x v="9"/>
    <x v="177"/>
    <x v="5"/>
    <s v=" 5017.0"/>
    <n v="6"/>
    <n v="5017"/>
  </r>
  <r>
    <x v="9"/>
    <x v="178"/>
    <x v="0"/>
    <s v=" 2145.0"/>
    <n v="6"/>
    <n v="2145"/>
  </r>
  <r>
    <x v="9"/>
    <x v="178"/>
    <x v="1"/>
    <s v=" 2166.0"/>
    <n v="6"/>
    <n v="2166"/>
  </r>
  <r>
    <x v="9"/>
    <x v="178"/>
    <x v="2"/>
    <s v=" 4311.0"/>
    <n v="6"/>
    <n v="4311"/>
  </r>
  <r>
    <x v="9"/>
    <x v="178"/>
    <x v="3"/>
    <s v=" 664.0"/>
    <n v="5"/>
    <n v="664"/>
  </r>
  <r>
    <x v="9"/>
    <x v="178"/>
    <x v="4"/>
    <s v=" 2724.0"/>
    <n v="6"/>
    <n v="2724"/>
  </r>
  <r>
    <x v="9"/>
    <x v="178"/>
    <x v="5"/>
    <s v=" 923.0"/>
    <n v="5"/>
    <n v="923"/>
  </r>
  <r>
    <x v="9"/>
    <x v="179"/>
    <x v="0"/>
    <s v=" 5809.0"/>
    <n v="6"/>
    <n v="5809"/>
  </r>
  <r>
    <x v="9"/>
    <x v="179"/>
    <x v="1"/>
    <s v=" 5944.0"/>
    <n v="6"/>
    <n v="5944"/>
  </r>
  <r>
    <x v="9"/>
    <x v="179"/>
    <x v="2"/>
    <s v=" 11753.0"/>
    <n v="7"/>
    <n v="11753"/>
  </r>
  <r>
    <x v="9"/>
    <x v="179"/>
    <x v="3"/>
    <s v=" 2089.0"/>
    <n v="6"/>
    <n v="2089"/>
  </r>
  <r>
    <x v="9"/>
    <x v="179"/>
    <x v="4"/>
    <s v=" 7608.0"/>
    <n v="6"/>
    <n v="7608"/>
  </r>
  <r>
    <x v="9"/>
    <x v="179"/>
    <x v="5"/>
    <s v=" 2056.0"/>
    <n v="6"/>
    <n v="2056"/>
  </r>
  <r>
    <x v="9"/>
    <x v="180"/>
    <x v="0"/>
    <s v=" 8334.0"/>
    <n v="6"/>
    <n v="8334"/>
  </r>
  <r>
    <x v="9"/>
    <x v="180"/>
    <x v="1"/>
    <s v=" 8591.0"/>
    <n v="6"/>
    <n v="8591"/>
  </r>
  <r>
    <x v="9"/>
    <x v="180"/>
    <x v="2"/>
    <s v=" 16925.0"/>
    <n v="7"/>
    <n v="16925"/>
  </r>
  <r>
    <x v="9"/>
    <x v="180"/>
    <x v="3"/>
    <s v=" 3126.0"/>
    <n v="6"/>
    <n v="3126"/>
  </r>
  <r>
    <x v="9"/>
    <x v="180"/>
    <x v="4"/>
    <s v=" 11275.0"/>
    <n v="7"/>
    <n v="11275"/>
  </r>
  <r>
    <x v="9"/>
    <x v="180"/>
    <x v="5"/>
    <s v=" 2524.0"/>
    <n v="6"/>
    <n v="2524"/>
  </r>
  <r>
    <x v="9"/>
    <x v="181"/>
    <x v="0"/>
    <s v=" 5089.0"/>
    <n v="6"/>
    <n v="5089"/>
  </r>
  <r>
    <x v="9"/>
    <x v="181"/>
    <x v="1"/>
    <s v=" 5136.0"/>
    <n v="6"/>
    <n v="5136"/>
  </r>
  <r>
    <x v="9"/>
    <x v="181"/>
    <x v="2"/>
    <s v=" 10225.0"/>
    <n v="7"/>
    <n v="10225"/>
  </r>
  <r>
    <x v="9"/>
    <x v="181"/>
    <x v="3"/>
    <s v=" 1646.0"/>
    <n v="6"/>
    <n v="1646"/>
  </r>
  <r>
    <x v="9"/>
    <x v="181"/>
    <x v="4"/>
    <s v=" 6420.0"/>
    <n v="6"/>
    <n v="6420"/>
  </r>
  <r>
    <x v="9"/>
    <x v="181"/>
    <x v="5"/>
    <s v=" 2159.0"/>
    <n v="6"/>
    <n v="2159"/>
  </r>
  <r>
    <x v="9"/>
    <x v="182"/>
    <x v="0"/>
    <s v=" 84120.0"/>
    <n v="7"/>
    <n v="84120"/>
  </r>
  <r>
    <x v="9"/>
    <x v="182"/>
    <x v="1"/>
    <s v=" 87469.0"/>
    <n v="7"/>
    <n v="87469"/>
  </r>
  <r>
    <x v="9"/>
    <x v="182"/>
    <x v="2"/>
    <s v=" 171589.0"/>
    <n v="8"/>
    <n v="171589"/>
  </r>
  <r>
    <x v="9"/>
    <x v="182"/>
    <x v="3"/>
    <s v=" 32488.0"/>
    <n v="7"/>
    <n v="32488"/>
  </r>
  <r>
    <x v="9"/>
    <x v="182"/>
    <x v="4"/>
    <s v=" 115147.0"/>
    <n v="8"/>
    <n v="115147"/>
  </r>
  <r>
    <x v="9"/>
    <x v="182"/>
    <x v="5"/>
    <s v=" 23954.0"/>
    <n v="7"/>
    <n v="23954"/>
  </r>
  <r>
    <x v="9"/>
    <x v="183"/>
    <x v="0"/>
    <s v=" 3478.0"/>
    <n v="6"/>
    <n v="3478"/>
  </r>
  <r>
    <x v="9"/>
    <x v="183"/>
    <x v="1"/>
    <s v=" 3508.0"/>
    <n v="6"/>
    <n v="3508"/>
  </r>
  <r>
    <x v="9"/>
    <x v="183"/>
    <x v="2"/>
    <s v=" 6986.0"/>
    <n v="6"/>
    <n v="6986"/>
  </r>
  <r>
    <x v="9"/>
    <x v="183"/>
    <x v="3"/>
    <s v=" 1173.0"/>
    <n v="6"/>
    <n v="1173"/>
  </r>
  <r>
    <x v="9"/>
    <x v="183"/>
    <x v="4"/>
    <s v=" 4510.0"/>
    <n v="6"/>
    <n v="4510"/>
  </r>
  <r>
    <x v="9"/>
    <x v="183"/>
    <x v="5"/>
    <s v=" 1303.0"/>
    <n v="6"/>
    <n v="1303"/>
  </r>
  <r>
    <x v="9"/>
    <x v="184"/>
    <x v="0"/>
    <s v=" 9815.0"/>
    <n v="6"/>
    <n v="9815"/>
  </r>
  <r>
    <x v="9"/>
    <x v="184"/>
    <x v="1"/>
    <s v=" 9939.0"/>
    <n v="6"/>
    <n v="9939"/>
  </r>
  <r>
    <x v="9"/>
    <x v="184"/>
    <x v="2"/>
    <s v=" 19754.0"/>
    <n v="7"/>
    <n v="19754"/>
  </r>
  <r>
    <x v="9"/>
    <x v="184"/>
    <x v="3"/>
    <s v=" 3419.0"/>
    <n v="6"/>
    <n v="3419"/>
  </r>
  <r>
    <x v="9"/>
    <x v="184"/>
    <x v="4"/>
    <s v=" 13188.0"/>
    <n v="7"/>
    <n v="13188"/>
  </r>
  <r>
    <x v="9"/>
    <x v="184"/>
    <x v="5"/>
    <s v=" 3147.0"/>
    <n v="6"/>
    <n v="3147"/>
  </r>
  <r>
    <x v="9"/>
    <x v="185"/>
    <x v="0"/>
    <s v=" 4572.0"/>
    <n v="6"/>
    <n v="4572"/>
  </r>
  <r>
    <x v="9"/>
    <x v="185"/>
    <x v="1"/>
    <s v=" 4564.0"/>
    <n v="6"/>
    <n v="4564"/>
  </r>
  <r>
    <x v="9"/>
    <x v="185"/>
    <x v="2"/>
    <s v=" 9136.0"/>
    <n v="6"/>
    <n v="9136"/>
  </r>
  <r>
    <x v="9"/>
    <x v="185"/>
    <x v="3"/>
    <s v=" 1249.0"/>
    <n v="6"/>
    <n v="1249"/>
  </r>
  <r>
    <x v="9"/>
    <x v="185"/>
    <x v="4"/>
    <s v=" 5550.0"/>
    <n v="6"/>
    <n v="5550"/>
  </r>
  <r>
    <x v="9"/>
    <x v="185"/>
    <x v="5"/>
    <s v=" 2337.0"/>
    <n v="6"/>
    <n v="2337"/>
  </r>
  <r>
    <x v="9"/>
    <x v="186"/>
    <x v="0"/>
    <s v=" 25550.0"/>
    <n v="7"/>
    <n v="25550"/>
  </r>
  <r>
    <x v="9"/>
    <x v="186"/>
    <x v="1"/>
    <s v=" 26538.0"/>
    <n v="7"/>
    <n v="26538"/>
  </r>
  <r>
    <x v="9"/>
    <x v="186"/>
    <x v="2"/>
    <s v=" 52088.0"/>
    <n v="7"/>
    <n v="52088"/>
  </r>
  <r>
    <x v="9"/>
    <x v="186"/>
    <x v="3"/>
    <s v=" 9737.0"/>
    <n v="6"/>
    <n v="9737"/>
  </r>
  <r>
    <x v="9"/>
    <x v="186"/>
    <x v="4"/>
    <s v=" 34238.0"/>
    <n v="7"/>
    <n v="34238"/>
  </r>
  <r>
    <x v="9"/>
    <x v="186"/>
    <x v="5"/>
    <s v=" 8113.0"/>
    <n v="6"/>
    <n v="8113"/>
  </r>
  <r>
    <x v="9"/>
    <x v="187"/>
    <x v="0"/>
    <s v=" 7608.0"/>
    <n v="6"/>
    <n v="7608"/>
  </r>
  <r>
    <x v="9"/>
    <x v="187"/>
    <x v="1"/>
    <s v=" 7521.0"/>
    <n v="6"/>
    <n v="7521"/>
  </r>
  <r>
    <x v="9"/>
    <x v="187"/>
    <x v="2"/>
    <s v=" 15129.0"/>
    <n v="7"/>
    <n v="15129"/>
  </r>
  <r>
    <x v="9"/>
    <x v="187"/>
    <x v="3"/>
    <s v=" 2634.0"/>
    <n v="6"/>
    <n v="2634"/>
  </r>
  <r>
    <x v="9"/>
    <x v="187"/>
    <x v="4"/>
    <s v=" 9941.0"/>
    <n v="6"/>
    <n v="9941"/>
  </r>
  <r>
    <x v="9"/>
    <x v="187"/>
    <x v="5"/>
    <s v=" 2554.0"/>
    <n v="6"/>
    <n v="2554"/>
  </r>
  <r>
    <x v="9"/>
    <x v="188"/>
    <x v="0"/>
    <s v=" 5149.0"/>
    <n v="6"/>
    <n v="5149"/>
  </r>
  <r>
    <x v="9"/>
    <x v="188"/>
    <x v="1"/>
    <s v=" 5250.0"/>
    <n v="6"/>
    <n v="5250"/>
  </r>
  <r>
    <x v="9"/>
    <x v="188"/>
    <x v="2"/>
    <s v=" 10399.0"/>
    <n v="7"/>
    <n v="10399"/>
  </r>
  <r>
    <x v="9"/>
    <x v="188"/>
    <x v="3"/>
    <s v=" 2053.0"/>
    <n v="6"/>
    <n v="2053"/>
  </r>
  <r>
    <x v="9"/>
    <x v="188"/>
    <x v="4"/>
    <s v=" 6667.0"/>
    <n v="6"/>
    <n v="6667"/>
  </r>
  <r>
    <x v="9"/>
    <x v="188"/>
    <x v="5"/>
    <s v=" 1679.0"/>
    <n v="6"/>
    <n v="1679"/>
  </r>
  <r>
    <x v="9"/>
    <x v="189"/>
    <x v="0"/>
    <s v=" 25104.0"/>
    <n v="7"/>
    <n v="25104"/>
  </r>
  <r>
    <x v="9"/>
    <x v="189"/>
    <x v="1"/>
    <s v=" 25542.0"/>
    <n v="7"/>
    <n v="25542"/>
  </r>
  <r>
    <x v="9"/>
    <x v="189"/>
    <x v="2"/>
    <s v=" 50646.0"/>
    <n v="7"/>
    <n v="50646"/>
  </r>
  <r>
    <x v="9"/>
    <x v="189"/>
    <x v="3"/>
    <s v=" 10252.0"/>
    <n v="7"/>
    <n v="10252"/>
  </r>
  <r>
    <x v="9"/>
    <x v="189"/>
    <x v="4"/>
    <s v=" 33786.0"/>
    <n v="7"/>
    <n v="33786"/>
  </r>
  <r>
    <x v="9"/>
    <x v="189"/>
    <x v="5"/>
    <s v=" 6608.0"/>
    <n v="6"/>
    <n v="6608"/>
  </r>
  <r>
    <x v="9"/>
    <x v="190"/>
    <x v="0"/>
    <s v=" 4668.0"/>
    <n v="6"/>
    <n v="4668"/>
  </r>
  <r>
    <x v="9"/>
    <x v="190"/>
    <x v="1"/>
    <s v=" 4739.0"/>
    <n v="6"/>
    <n v="4739"/>
  </r>
  <r>
    <x v="9"/>
    <x v="190"/>
    <x v="2"/>
    <s v=" 9407.0"/>
    <n v="6"/>
    <n v="9407"/>
  </r>
  <r>
    <x v="9"/>
    <x v="190"/>
    <x v="3"/>
    <s v=" 1655.0"/>
    <n v="6"/>
    <n v="1655"/>
  </r>
  <r>
    <x v="9"/>
    <x v="190"/>
    <x v="4"/>
    <s v=" 5993.0"/>
    <n v="6"/>
    <n v="5993"/>
  </r>
  <r>
    <x v="9"/>
    <x v="190"/>
    <x v="5"/>
    <s v=" 1759.0"/>
    <n v="6"/>
    <n v="1759"/>
  </r>
  <r>
    <x v="9"/>
    <x v="191"/>
    <x v="0"/>
    <s v=" 4317.0"/>
    <n v="6"/>
    <n v="4317"/>
  </r>
  <r>
    <x v="9"/>
    <x v="191"/>
    <x v="1"/>
    <s v=" 4309.0"/>
    <n v="6"/>
    <n v="4309"/>
  </r>
  <r>
    <x v="9"/>
    <x v="191"/>
    <x v="2"/>
    <s v=" 8626.0"/>
    <n v="6"/>
    <n v="8626"/>
  </r>
  <r>
    <x v="9"/>
    <x v="191"/>
    <x v="3"/>
    <s v=" 1393.0"/>
    <n v="6"/>
    <n v="1393"/>
  </r>
  <r>
    <x v="9"/>
    <x v="191"/>
    <x v="4"/>
    <s v=" 5539.0"/>
    <n v="6"/>
    <n v="5539"/>
  </r>
  <r>
    <x v="9"/>
    <x v="191"/>
    <x v="5"/>
    <s v=" 1694.0"/>
    <n v="6"/>
    <n v="1694"/>
  </r>
  <r>
    <x v="9"/>
    <x v="192"/>
    <x v="0"/>
    <s v=" 117441.0"/>
    <n v="8"/>
    <n v="117441"/>
  </r>
  <r>
    <x v="9"/>
    <x v="192"/>
    <x v="1"/>
    <s v=" 124903.0"/>
    <n v="8"/>
    <n v="124903"/>
  </r>
  <r>
    <x v="9"/>
    <x v="192"/>
    <x v="2"/>
    <s v=" 242344.0"/>
    <n v="8"/>
    <n v="242344"/>
  </r>
  <r>
    <x v="9"/>
    <x v="192"/>
    <x v="3"/>
    <s v=" 42501.0"/>
    <n v="7"/>
    <n v="42501"/>
  </r>
  <r>
    <x v="9"/>
    <x v="192"/>
    <x v="4"/>
    <s v=" 162580.0"/>
    <n v="8"/>
    <n v="162580"/>
  </r>
  <r>
    <x v="9"/>
    <x v="192"/>
    <x v="5"/>
    <s v=" 37263.0"/>
    <n v="7"/>
    <n v="37263"/>
  </r>
  <r>
    <x v="9"/>
    <x v="193"/>
    <x v="0"/>
    <s v=" 33647.0"/>
    <n v="7"/>
    <n v="33647"/>
  </r>
  <r>
    <x v="9"/>
    <x v="193"/>
    <x v="1"/>
    <s v=" 35328.0"/>
    <n v="7"/>
    <n v="35328"/>
  </r>
  <r>
    <x v="9"/>
    <x v="193"/>
    <x v="2"/>
    <s v=" 68975.0"/>
    <n v="7"/>
    <n v="68975"/>
  </r>
  <r>
    <x v="9"/>
    <x v="193"/>
    <x v="3"/>
    <s v=" 16681.0"/>
    <n v="7"/>
    <n v="16681"/>
  </r>
  <r>
    <x v="9"/>
    <x v="193"/>
    <x v="4"/>
    <s v=" 46207.0"/>
    <n v="7"/>
    <n v="46207"/>
  </r>
  <r>
    <x v="9"/>
    <x v="193"/>
    <x v="5"/>
    <s v=" 6087.0"/>
    <n v="6"/>
    <n v="6087"/>
  </r>
  <r>
    <x v="9"/>
    <x v="194"/>
    <x v="0"/>
    <s v=" 23690.0"/>
    <n v="7"/>
    <n v="23690"/>
  </r>
  <r>
    <x v="9"/>
    <x v="194"/>
    <x v="1"/>
    <s v=" 24309.0"/>
    <n v="7"/>
    <n v="24309"/>
  </r>
  <r>
    <x v="9"/>
    <x v="194"/>
    <x v="2"/>
    <s v=" 47999.0"/>
    <n v="7"/>
    <n v="47999"/>
  </r>
  <r>
    <x v="9"/>
    <x v="194"/>
    <x v="3"/>
    <s v=" 9260.0"/>
    <n v="6"/>
    <n v="9260"/>
  </r>
  <r>
    <x v="9"/>
    <x v="194"/>
    <x v="4"/>
    <s v=" 31101.0"/>
    <n v="7"/>
    <n v="31101"/>
  </r>
  <r>
    <x v="9"/>
    <x v="194"/>
    <x v="5"/>
    <s v=" 7638.0"/>
    <n v="6"/>
    <n v="7638"/>
  </r>
  <r>
    <x v="9"/>
    <x v="195"/>
    <x v="0"/>
    <s v=" 2117.0"/>
    <n v="6"/>
    <n v="2117"/>
  </r>
  <r>
    <x v="9"/>
    <x v="195"/>
    <x v="1"/>
    <s v=" 2059.0"/>
    <n v="6"/>
    <n v="2059"/>
  </r>
  <r>
    <x v="9"/>
    <x v="195"/>
    <x v="2"/>
    <s v=" 4176.0"/>
    <n v="6"/>
    <n v="4176"/>
  </r>
  <r>
    <x v="9"/>
    <x v="195"/>
    <x v="3"/>
    <s v=" 774.0"/>
    <n v="5"/>
    <n v="774"/>
  </r>
  <r>
    <x v="9"/>
    <x v="195"/>
    <x v="4"/>
    <s v=" 2711.0"/>
    <n v="6"/>
    <n v="2711"/>
  </r>
  <r>
    <x v="9"/>
    <x v="195"/>
    <x v="5"/>
    <s v=" 691.0"/>
    <n v="5"/>
    <n v="691"/>
  </r>
  <r>
    <x v="9"/>
    <x v="196"/>
    <x v="0"/>
    <s v=" 25068.0"/>
    <n v="7"/>
    <n v="25068"/>
  </r>
  <r>
    <x v="9"/>
    <x v="196"/>
    <x v="1"/>
    <s v=" 26401.0"/>
    <n v="7"/>
    <n v="26401"/>
  </r>
  <r>
    <x v="9"/>
    <x v="196"/>
    <x v="2"/>
    <s v=" 51469.0"/>
    <n v="7"/>
    <n v="51469"/>
  </r>
  <r>
    <x v="9"/>
    <x v="196"/>
    <x v="3"/>
    <s v=" 9787.0"/>
    <n v="6"/>
    <n v="9787"/>
  </r>
  <r>
    <x v="9"/>
    <x v="196"/>
    <x v="4"/>
    <s v=" 33038.0"/>
    <n v="7"/>
    <n v="33038"/>
  </r>
  <r>
    <x v="9"/>
    <x v="196"/>
    <x v="5"/>
    <s v=" 8644.0"/>
    <n v="6"/>
    <n v="8644"/>
  </r>
  <r>
    <x v="9"/>
    <x v="197"/>
    <x v="0"/>
    <s v=" 8771.0"/>
    <n v="6"/>
    <n v="8771"/>
  </r>
  <r>
    <x v="9"/>
    <x v="197"/>
    <x v="1"/>
    <s v=" 9265.0"/>
    <n v="6"/>
    <n v="9265"/>
  </r>
  <r>
    <x v="9"/>
    <x v="197"/>
    <x v="2"/>
    <s v=" 18036.0"/>
    <n v="7"/>
    <n v="18036"/>
  </r>
  <r>
    <x v="9"/>
    <x v="197"/>
    <x v="3"/>
    <s v=" 3236.0"/>
    <n v="6"/>
    <n v="3236"/>
  </r>
  <r>
    <x v="9"/>
    <x v="197"/>
    <x v="4"/>
    <s v=" 11413.0"/>
    <n v="7"/>
    <n v="11413"/>
  </r>
  <r>
    <x v="9"/>
    <x v="197"/>
    <x v="5"/>
    <s v=" 3387.0"/>
    <n v="6"/>
    <n v="3387"/>
  </r>
  <r>
    <x v="9"/>
    <x v="198"/>
    <x v="0"/>
    <s v=" 11541.0"/>
    <n v="7"/>
    <n v="11541"/>
  </r>
  <r>
    <x v="9"/>
    <x v="198"/>
    <x v="1"/>
    <s v=" 11938.0"/>
    <n v="7"/>
    <n v="11938"/>
  </r>
  <r>
    <x v="9"/>
    <x v="198"/>
    <x v="2"/>
    <s v=" 23479.0"/>
    <n v="7"/>
    <n v="23479"/>
  </r>
  <r>
    <x v="9"/>
    <x v="198"/>
    <x v="3"/>
    <s v=" 4374.0"/>
    <n v="6"/>
    <n v="4374"/>
  </r>
  <r>
    <x v="9"/>
    <x v="198"/>
    <x v="4"/>
    <s v=" 15129.0"/>
    <n v="7"/>
    <n v="15129"/>
  </r>
  <r>
    <x v="9"/>
    <x v="198"/>
    <x v="5"/>
    <s v=" 3976.0"/>
    <n v="6"/>
    <n v="3976"/>
  </r>
  <r>
    <x v="9"/>
    <x v="199"/>
    <x v="0"/>
    <s v=" 4583.0"/>
    <n v="6"/>
    <n v="4583"/>
  </r>
  <r>
    <x v="9"/>
    <x v="199"/>
    <x v="1"/>
    <s v=" 4673.0"/>
    <n v="6"/>
    <n v="4673"/>
  </r>
  <r>
    <x v="9"/>
    <x v="199"/>
    <x v="2"/>
    <s v=" 9256.0"/>
    <n v="6"/>
    <n v="9256"/>
  </r>
  <r>
    <x v="9"/>
    <x v="199"/>
    <x v="3"/>
    <s v=" 1582.0"/>
    <n v="6"/>
    <n v="1582"/>
  </r>
  <r>
    <x v="9"/>
    <x v="199"/>
    <x v="4"/>
    <s v=" 5840.0"/>
    <n v="6"/>
    <n v="5840"/>
  </r>
  <r>
    <x v="9"/>
    <x v="199"/>
    <x v="5"/>
    <s v=" 1834.0"/>
    <n v="6"/>
    <n v="1834"/>
  </r>
  <r>
    <x v="9"/>
    <x v="200"/>
    <x v="0"/>
    <s v=" 9829.0"/>
    <n v="6"/>
    <n v="9829"/>
  </r>
  <r>
    <x v="9"/>
    <x v="200"/>
    <x v="1"/>
    <s v=" 9971.0"/>
    <n v="6"/>
    <n v="9971"/>
  </r>
  <r>
    <x v="9"/>
    <x v="200"/>
    <x v="2"/>
    <s v=" 19800.0"/>
    <n v="7"/>
    <n v="19800"/>
  </r>
  <r>
    <x v="9"/>
    <x v="200"/>
    <x v="3"/>
    <s v=" 3765.0"/>
    <n v="6"/>
    <n v="3765"/>
  </r>
  <r>
    <x v="9"/>
    <x v="200"/>
    <x v="4"/>
    <s v=" 12937.0"/>
    <n v="7"/>
    <n v="12937"/>
  </r>
  <r>
    <x v="9"/>
    <x v="200"/>
    <x v="5"/>
    <s v=" 3098.0"/>
    <n v="6"/>
    <n v="3098"/>
  </r>
  <r>
    <x v="9"/>
    <x v="201"/>
    <x v="0"/>
    <s v=" 4161.0"/>
    <n v="6"/>
    <n v="4161"/>
  </r>
  <r>
    <x v="9"/>
    <x v="201"/>
    <x v="1"/>
    <s v=" 4283.0"/>
    <n v="6"/>
    <n v="4283"/>
  </r>
  <r>
    <x v="9"/>
    <x v="201"/>
    <x v="2"/>
    <s v=" 8444.0"/>
    <n v="6"/>
    <n v="8444"/>
  </r>
  <r>
    <x v="9"/>
    <x v="201"/>
    <x v="3"/>
    <s v=" 1518.0"/>
    <n v="6"/>
    <n v="1518"/>
  </r>
  <r>
    <x v="9"/>
    <x v="201"/>
    <x v="4"/>
    <s v=" 5145.0"/>
    <n v="6"/>
    <n v="5145"/>
  </r>
  <r>
    <x v="9"/>
    <x v="201"/>
    <x v="5"/>
    <s v=" 1781.0"/>
    <n v="6"/>
    <n v="1781"/>
  </r>
  <r>
    <x v="9"/>
    <x v="202"/>
    <x v="0"/>
    <s v=" 50256.0"/>
    <n v="7"/>
    <n v="50256"/>
  </r>
  <r>
    <x v="9"/>
    <x v="202"/>
    <x v="1"/>
    <s v=" 53702.0"/>
    <n v="7"/>
    <n v="53702"/>
  </r>
  <r>
    <x v="9"/>
    <x v="202"/>
    <x v="2"/>
    <s v=" 103958.0"/>
    <n v="8"/>
    <n v="103958"/>
  </r>
  <r>
    <x v="9"/>
    <x v="202"/>
    <x v="3"/>
    <s v=" 19733.0"/>
    <n v="7"/>
    <n v="19733"/>
  </r>
  <r>
    <x v="9"/>
    <x v="202"/>
    <x v="4"/>
    <s v=" 67579.0"/>
    <n v="7"/>
    <n v="67579"/>
  </r>
  <r>
    <x v="9"/>
    <x v="202"/>
    <x v="5"/>
    <s v=" 16646.0"/>
    <n v="7"/>
    <n v="16646"/>
  </r>
  <r>
    <x v="9"/>
    <x v="203"/>
    <x v="0"/>
    <s v=" 16784.0"/>
    <n v="7"/>
    <n v="16784"/>
  </r>
  <r>
    <x v="9"/>
    <x v="203"/>
    <x v="1"/>
    <s v=" 16882.0"/>
    <n v="7"/>
    <n v="16882"/>
  </r>
  <r>
    <x v="9"/>
    <x v="203"/>
    <x v="2"/>
    <s v=" 33666.0"/>
    <n v="7"/>
    <n v="33666"/>
  </r>
  <r>
    <x v="9"/>
    <x v="203"/>
    <x v="3"/>
    <s v=" 5987.0"/>
    <n v="6"/>
    <n v="5987"/>
  </r>
  <r>
    <x v="9"/>
    <x v="203"/>
    <x v="4"/>
    <s v=" 22080.0"/>
    <n v="7"/>
    <n v="22080"/>
  </r>
  <r>
    <x v="9"/>
    <x v="203"/>
    <x v="5"/>
    <s v=" 5599.0"/>
    <n v="6"/>
    <n v="5599"/>
  </r>
  <r>
    <x v="9"/>
    <x v="204"/>
    <x v="0"/>
    <s v=" 21618.0"/>
    <n v="7"/>
    <n v="21618"/>
  </r>
  <r>
    <x v="9"/>
    <x v="204"/>
    <x v="1"/>
    <s v=" 22828.0"/>
    <n v="7"/>
    <n v="22828"/>
  </r>
  <r>
    <x v="9"/>
    <x v="204"/>
    <x v="2"/>
    <s v=" 44446.0"/>
    <n v="7"/>
    <n v="44446"/>
  </r>
  <r>
    <x v="9"/>
    <x v="204"/>
    <x v="3"/>
    <s v=" 7859.0"/>
    <n v="6"/>
    <n v="7859"/>
  </r>
  <r>
    <x v="9"/>
    <x v="204"/>
    <x v="4"/>
    <s v=" 27270.0"/>
    <n v="7"/>
    <n v="27270"/>
  </r>
  <r>
    <x v="9"/>
    <x v="204"/>
    <x v="5"/>
    <s v=" 9317.0"/>
    <n v="6"/>
    <n v="9317"/>
  </r>
  <r>
    <x v="9"/>
    <x v="205"/>
    <x v="0"/>
    <s v=" 10657.0"/>
    <n v="7"/>
    <n v="10657"/>
  </r>
  <r>
    <x v="9"/>
    <x v="205"/>
    <x v="1"/>
    <s v=" 10835.0"/>
    <n v="7"/>
    <n v="10835"/>
  </r>
  <r>
    <x v="9"/>
    <x v="205"/>
    <x v="2"/>
    <s v=" 21492.0"/>
    <n v="7"/>
    <n v="21492"/>
  </r>
  <r>
    <x v="9"/>
    <x v="205"/>
    <x v="3"/>
    <s v=" 3836.0"/>
    <n v="6"/>
    <n v="3836"/>
  </r>
  <r>
    <x v="9"/>
    <x v="205"/>
    <x v="4"/>
    <s v=" 13840.0"/>
    <n v="7"/>
    <n v="13840"/>
  </r>
  <r>
    <x v="9"/>
    <x v="205"/>
    <x v="5"/>
    <s v=" 3816.0"/>
    <n v="6"/>
    <n v="3816"/>
  </r>
  <r>
    <x v="9"/>
    <x v="206"/>
    <x v="0"/>
    <s v=" 22240.0"/>
    <n v="7"/>
    <n v="22240"/>
  </r>
  <r>
    <x v="9"/>
    <x v="206"/>
    <x v="1"/>
    <s v=" 23343.0"/>
    <n v="7"/>
    <n v="23343"/>
  </r>
  <r>
    <x v="9"/>
    <x v="206"/>
    <x v="2"/>
    <s v=" 45583.0"/>
    <n v="7"/>
    <n v="45583"/>
  </r>
  <r>
    <x v="9"/>
    <x v="206"/>
    <x v="3"/>
    <s v=" 8657.0"/>
    <n v="6"/>
    <n v="8657"/>
  </r>
  <r>
    <x v="9"/>
    <x v="206"/>
    <x v="4"/>
    <s v=" 28795.0"/>
    <n v="7"/>
    <n v="28795"/>
  </r>
  <r>
    <x v="9"/>
    <x v="206"/>
    <x v="5"/>
    <s v=" 8131.0"/>
    <n v="6"/>
    <n v="8131"/>
  </r>
  <r>
    <x v="10"/>
    <x v="207"/>
    <x v="0"/>
    <s v=" 251232.0"/>
    <n v="8"/>
    <n v="251232"/>
  </r>
  <r>
    <x v="10"/>
    <x v="207"/>
    <x v="1"/>
    <s v=" 270479.0"/>
    <n v="8"/>
    <n v="270479"/>
  </r>
  <r>
    <x v="10"/>
    <x v="207"/>
    <x v="2"/>
    <s v=" 521711.0"/>
    <n v="8"/>
    <n v="521711"/>
  </r>
  <r>
    <x v="10"/>
    <x v="207"/>
    <x v="3"/>
    <s v=" 91717.0"/>
    <n v="7"/>
    <n v="91717"/>
  </r>
  <r>
    <x v="10"/>
    <x v="207"/>
    <x v="4"/>
    <s v=" 339587.0"/>
    <n v="8"/>
    <n v="339587"/>
  </r>
  <r>
    <x v="10"/>
    <x v="207"/>
    <x v="5"/>
    <s v=" 90407.0"/>
    <n v="7"/>
    <n v="90407"/>
  </r>
  <r>
    <x v="10"/>
    <x v="208"/>
    <x v="0"/>
    <s v=" 2544.0"/>
    <n v="6"/>
    <n v="2544"/>
  </r>
  <r>
    <x v="10"/>
    <x v="208"/>
    <x v="1"/>
    <s v=" 2680.0"/>
    <n v="6"/>
    <n v="2680"/>
  </r>
  <r>
    <x v="10"/>
    <x v="208"/>
    <x v="2"/>
    <s v=" 5224.0"/>
    <n v="6"/>
    <n v="5224"/>
  </r>
  <r>
    <x v="10"/>
    <x v="208"/>
    <x v="3"/>
    <s v=" 681.0"/>
    <n v="5"/>
    <n v="681"/>
  </r>
  <r>
    <x v="10"/>
    <x v="208"/>
    <x v="4"/>
    <s v=" 3224.0"/>
    <n v="6"/>
    <n v="3224"/>
  </r>
  <r>
    <x v="10"/>
    <x v="208"/>
    <x v="5"/>
    <s v=" 1319.0"/>
    <n v="6"/>
    <n v="1319"/>
  </r>
  <r>
    <x v="10"/>
    <x v="209"/>
    <x v="0"/>
    <s v=" 5968.0"/>
    <n v="6"/>
    <n v="5968"/>
  </r>
  <r>
    <x v="10"/>
    <x v="209"/>
    <x v="1"/>
    <s v=" 6273.0"/>
    <n v="6"/>
    <n v="6273"/>
  </r>
  <r>
    <x v="10"/>
    <x v="209"/>
    <x v="2"/>
    <s v=" 12241.0"/>
    <n v="7"/>
    <n v="12241"/>
  </r>
  <r>
    <x v="10"/>
    <x v="209"/>
    <x v="3"/>
    <s v=" 2052.0"/>
    <n v="6"/>
    <n v="2052"/>
  </r>
  <r>
    <x v="10"/>
    <x v="209"/>
    <x v="4"/>
    <s v=" 7698.0"/>
    <n v="6"/>
    <n v="7698"/>
  </r>
  <r>
    <x v="10"/>
    <x v="209"/>
    <x v="5"/>
    <s v=" 2491.0"/>
    <n v="6"/>
    <n v="2491"/>
  </r>
  <r>
    <x v="10"/>
    <x v="210"/>
    <x v="0"/>
    <s v=" 5712.0"/>
    <n v="6"/>
    <n v="5712"/>
  </r>
  <r>
    <x v="10"/>
    <x v="210"/>
    <x v="1"/>
    <s v=" 5814.0"/>
    <n v="6"/>
    <n v="5814"/>
  </r>
  <r>
    <x v="10"/>
    <x v="210"/>
    <x v="2"/>
    <s v=" 11526.0"/>
    <n v="7"/>
    <n v="11526"/>
  </r>
  <r>
    <x v="10"/>
    <x v="210"/>
    <x v="3"/>
    <s v=" 1806.0"/>
    <n v="6"/>
    <n v="1806"/>
  </r>
  <r>
    <x v="10"/>
    <x v="210"/>
    <x v="4"/>
    <s v=" 7116.0"/>
    <n v="6"/>
    <n v="7116"/>
  </r>
  <r>
    <x v="10"/>
    <x v="210"/>
    <x v="5"/>
    <s v=" 2604.0"/>
    <n v="6"/>
    <n v="2604"/>
  </r>
  <r>
    <x v="10"/>
    <x v="211"/>
    <x v="0"/>
    <s v=" 2614.0"/>
    <n v="6"/>
    <n v="2614"/>
  </r>
  <r>
    <x v="10"/>
    <x v="211"/>
    <x v="1"/>
    <s v=" 2739.0"/>
    <n v="6"/>
    <n v="2739"/>
  </r>
  <r>
    <x v="10"/>
    <x v="211"/>
    <x v="2"/>
    <s v=" 5353.0"/>
    <n v="6"/>
    <n v="5353"/>
  </r>
  <r>
    <x v="10"/>
    <x v="211"/>
    <x v="3"/>
    <s v=" 783.0"/>
    <n v="5"/>
    <n v="783"/>
  </r>
  <r>
    <x v="10"/>
    <x v="211"/>
    <x v="4"/>
    <s v=" 3298.0"/>
    <n v="6"/>
    <n v="3298"/>
  </r>
  <r>
    <x v="10"/>
    <x v="211"/>
    <x v="5"/>
    <s v=" 1272.0"/>
    <n v="6"/>
    <n v="1272"/>
  </r>
  <r>
    <x v="10"/>
    <x v="212"/>
    <x v="0"/>
    <s v=" 27514.0"/>
    <n v="7"/>
    <n v="27514"/>
  </r>
  <r>
    <x v="10"/>
    <x v="212"/>
    <x v="1"/>
    <s v=" 29547.0"/>
    <n v="7"/>
    <n v="29547"/>
  </r>
  <r>
    <x v="10"/>
    <x v="212"/>
    <x v="2"/>
    <s v=" 57061.0"/>
    <n v="7"/>
    <n v="57061"/>
  </r>
  <r>
    <x v="10"/>
    <x v="212"/>
    <x v="3"/>
    <s v=" 9939.0"/>
    <n v="6"/>
    <n v="9939"/>
  </r>
  <r>
    <x v="10"/>
    <x v="212"/>
    <x v="4"/>
    <s v=" 36732.0"/>
    <n v="7"/>
    <n v="36732"/>
  </r>
  <r>
    <x v="10"/>
    <x v="212"/>
    <x v="5"/>
    <s v=" 10390.0"/>
    <n v="7"/>
    <n v="10390"/>
  </r>
  <r>
    <x v="10"/>
    <x v="213"/>
    <x v="0"/>
    <s v=" 2842.0"/>
    <n v="6"/>
    <n v="2842"/>
  </r>
  <r>
    <x v="10"/>
    <x v="213"/>
    <x v="1"/>
    <s v=" 2924.0"/>
    <n v="6"/>
    <n v="2924"/>
  </r>
  <r>
    <x v="10"/>
    <x v="213"/>
    <x v="2"/>
    <s v=" 5766.0"/>
    <n v="6"/>
    <n v="5766"/>
  </r>
  <r>
    <x v="10"/>
    <x v="213"/>
    <x v="3"/>
    <s v=" 930.0"/>
    <n v="5"/>
    <n v="930"/>
  </r>
  <r>
    <x v="10"/>
    <x v="213"/>
    <x v="4"/>
    <s v=" 3641.0"/>
    <n v="6"/>
    <n v="3641"/>
  </r>
  <r>
    <x v="10"/>
    <x v="213"/>
    <x v="5"/>
    <s v=" 1195.0"/>
    <n v="6"/>
    <n v="1195"/>
  </r>
  <r>
    <x v="10"/>
    <x v="214"/>
    <x v="0"/>
    <s v=" 8265.0"/>
    <n v="6"/>
    <n v="8265"/>
  </r>
  <r>
    <x v="10"/>
    <x v="214"/>
    <x v="1"/>
    <s v=" 8636.0"/>
    <n v="6"/>
    <n v="8636"/>
  </r>
  <r>
    <x v="10"/>
    <x v="214"/>
    <x v="2"/>
    <s v=" 16901.0"/>
    <n v="7"/>
    <n v="16901"/>
  </r>
  <r>
    <x v="10"/>
    <x v="214"/>
    <x v="3"/>
    <s v=" 2996.0"/>
    <n v="6"/>
    <n v="2996"/>
  </r>
  <r>
    <x v="10"/>
    <x v="214"/>
    <x v="4"/>
    <s v=" 10736.0"/>
    <n v="7"/>
    <n v="10736"/>
  </r>
  <r>
    <x v="10"/>
    <x v="214"/>
    <x v="5"/>
    <s v=" 3169.0"/>
    <n v="6"/>
    <n v="3169"/>
  </r>
  <r>
    <x v="10"/>
    <x v="215"/>
    <x v="0"/>
    <s v=" 6082.0"/>
    <n v="6"/>
    <n v="6082"/>
  </r>
  <r>
    <x v="10"/>
    <x v="215"/>
    <x v="1"/>
    <s v=" 6405.0"/>
    <n v="6"/>
    <n v="6405"/>
  </r>
  <r>
    <x v="10"/>
    <x v="215"/>
    <x v="2"/>
    <s v=" 12487.0"/>
    <n v="7"/>
    <n v="12487"/>
  </r>
  <r>
    <x v="10"/>
    <x v="215"/>
    <x v="3"/>
    <s v=" 2068.0"/>
    <n v="6"/>
    <n v="2068"/>
  </r>
  <r>
    <x v="10"/>
    <x v="215"/>
    <x v="4"/>
    <s v=" 8087.0"/>
    <n v="6"/>
    <n v="8087"/>
  </r>
  <r>
    <x v="10"/>
    <x v="215"/>
    <x v="5"/>
    <s v=" 2332.0"/>
    <n v="6"/>
    <n v="2332"/>
  </r>
  <r>
    <x v="10"/>
    <x v="216"/>
    <x v="0"/>
    <s v=" 2379.0"/>
    <n v="6"/>
    <n v="2379"/>
  </r>
  <r>
    <x v="10"/>
    <x v="216"/>
    <x v="1"/>
    <s v=" 2497.0"/>
    <n v="6"/>
    <n v="2497"/>
  </r>
  <r>
    <x v="10"/>
    <x v="216"/>
    <x v="2"/>
    <s v=" 4876.0"/>
    <n v="6"/>
    <n v="4876"/>
  </r>
  <r>
    <x v="10"/>
    <x v="216"/>
    <x v="3"/>
    <s v=" 754.0"/>
    <n v="5"/>
    <n v="754"/>
  </r>
  <r>
    <x v="10"/>
    <x v="216"/>
    <x v="4"/>
    <s v=" 3039.0"/>
    <n v="6"/>
    <n v="3039"/>
  </r>
  <r>
    <x v="10"/>
    <x v="216"/>
    <x v="5"/>
    <s v=" 1083.0"/>
    <n v="6"/>
    <n v="1083"/>
  </r>
  <r>
    <x v="10"/>
    <x v="217"/>
    <x v="0"/>
    <s v=" 2341.0"/>
    <n v="6"/>
    <n v="2341"/>
  </r>
  <r>
    <x v="10"/>
    <x v="217"/>
    <x v="1"/>
    <s v=" 2452.0"/>
    <n v="6"/>
    <n v="2452"/>
  </r>
  <r>
    <x v="10"/>
    <x v="217"/>
    <x v="2"/>
    <s v=" 4793.0"/>
    <n v="6"/>
    <n v="4793"/>
  </r>
  <r>
    <x v="10"/>
    <x v="217"/>
    <x v="3"/>
    <s v=" 804.0"/>
    <n v="5"/>
    <n v="804"/>
  </r>
  <r>
    <x v="10"/>
    <x v="217"/>
    <x v="4"/>
    <s v=" 2965.0"/>
    <n v="6"/>
    <n v="2965"/>
  </r>
  <r>
    <x v="10"/>
    <x v="217"/>
    <x v="5"/>
    <s v=" 1024.0"/>
    <n v="6"/>
    <n v="1024"/>
  </r>
  <r>
    <x v="10"/>
    <x v="218"/>
    <x v="0"/>
    <s v=" 96830.0"/>
    <n v="7"/>
    <n v="96830"/>
  </r>
  <r>
    <x v="10"/>
    <x v="218"/>
    <x v="1"/>
    <s v=" 107261.0"/>
    <n v="8"/>
    <n v="107261"/>
  </r>
  <r>
    <x v="10"/>
    <x v="218"/>
    <x v="2"/>
    <s v=" 204091.0"/>
    <n v="8"/>
    <n v="204091"/>
  </r>
  <r>
    <x v="10"/>
    <x v="218"/>
    <x v="3"/>
    <s v=" 36380.0"/>
    <n v="7"/>
    <n v="36380"/>
  </r>
  <r>
    <x v="10"/>
    <x v="218"/>
    <x v="4"/>
    <s v=" 135762.0"/>
    <n v="8"/>
    <n v="135762"/>
  </r>
  <r>
    <x v="10"/>
    <x v="218"/>
    <x v="5"/>
    <s v=" 31949.0"/>
    <n v="7"/>
    <n v="31949"/>
  </r>
  <r>
    <x v="10"/>
    <x v="219"/>
    <x v="0"/>
    <s v=" 14171.0"/>
    <n v="7"/>
    <n v="14171"/>
  </r>
  <r>
    <x v="10"/>
    <x v="219"/>
    <x v="1"/>
    <s v=" 14896.0"/>
    <n v="7"/>
    <n v="14896"/>
  </r>
  <r>
    <x v="10"/>
    <x v="219"/>
    <x v="2"/>
    <s v=" 29067.0"/>
    <n v="7"/>
    <n v="29067"/>
  </r>
  <r>
    <x v="10"/>
    <x v="219"/>
    <x v="3"/>
    <s v=" 5532.0"/>
    <n v="6"/>
    <n v="5532"/>
  </r>
  <r>
    <x v="10"/>
    <x v="219"/>
    <x v="4"/>
    <s v=" 19222.0"/>
    <n v="7"/>
    <n v="19222"/>
  </r>
  <r>
    <x v="10"/>
    <x v="219"/>
    <x v="5"/>
    <s v=" 4313.0"/>
    <n v="6"/>
    <n v="4313"/>
  </r>
  <r>
    <x v="10"/>
    <x v="220"/>
    <x v="0"/>
    <s v=" 16977.0"/>
    <n v="7"/>
    <n v="16977"/>
  </r>
  <r>
    <x v="10"/>
    <x v="220"/>
    <x v="1"/>
    <s v=" 18603.0"/>
    <n v="7"/>
    <n v="18603"/>
  </r>
  <r>
    <x v="10"/>
    <x v="220"/>
    <x v="2"/>
    <s v=" 35580.0"/>
    <n v="7"/>
    <n v="35580"/>
  </r>
  <r>
    <x v="10"/>
    <x v="220"/>
    <x v="3"/>
    <s v=" 7364.0"/>
    <n v="6"/>
    <n v="7364"/>
  </r>
  <r>
    <x v="10"/>
    <x v="220"/>
    <x v="4"/>
    <s v=" 23827.0"/>
    <n v="7"/>
    <n v="23827"/>
  </r>
  <r>
    <x v="10"/>
    <x v="220"/>
    <x v="5"/>
    <s v=" 4389.0"/>
    <n v="6"/>
    <n v="4389"/>
  </r>
  <r>
    <x v="10"/>
    <x v="221"/>
    <x v="0"/>
    <s v=" 3069.0"/>
    <n v="6"/>
    <n v="3069"/>
  </r>
  <r>
    <x v="10"/>
    <x v="221"/>
    <x v="1"/>
    <s v=" 3224.0"/>
    <n v="6"/>
    <n v="3224"/>
  </r>
  <r>
    <x v="10"/>
    <x v="221"/>
    <x v="2"/>
    <s v=" 6293.0"/>
    <n v="6"/>
    <n v="6293"/>
  </r>
  <r>
    <x v="10"/>
    <x v="221"/>
    <x v="3"/>
    <s v=" 978.0"/>
    <n v="5"/>
    <n v="978"/>
  </r>
  <r>
    <x v="10"/>
    <x v="221"/>
    <x v="4"/>
    <s v=" 3813.0"/>
    <n v="6"/>
    <n v="3813"/>
  </r>
  <r>
    <x v="10"/>
    <x v="221"/>
    <x v="5"/>
    <s v=" 1502.0"/>
    <n v="6"/>
    <n v="1502"/>
  </r>
  <r>
    <x v="10"/>
    <x v="222"/>
    <x v="0"/>
    <s v=" 5918.0"/>
    <n v="6"/>
    <n v="5918"/>
  </r>
  <r>
    <x v="10"/>
    <x v="222"/>
    <x v="1"/>
    <s v=" 6261.0"/>
    <n v="6"/>
    <n v="6261"/>
  </r>
  <r>
    <x v="10"/>
    <x v="222"/>
    <x v="2"/>
    <s v=" 12179.0"/>
    <n v="7"/>
    <n v="12179"/>
  </r>
  <r>
    <x v="10"/>
    <x v="222"/>
    <x v="3"/>
    <s v=" 1972.0"/>
    <n v="6"/>
    <n v="1972"/>
  </r>
  <r>
    <x v="10"/>
    <x v="222"/>
    <x v="4"/>
    <s v=" 7871.0"/>
    <n v="6"/>
    <n v="7871"/>
  </r>
  <r>
    <x v="10"/>
    <x v="222"/>
    <x v="5"/>
    <s v=" 2336.0"/>
    <n v="6"/>
    <n v="2336"/>
  </r>
  <r>
    <x v="10"/>
    <x v="223"/>
    <x v="0"/>
    <s v=" 11026.0"/>
    <n v="7"/>
    <n v="11026"/>
  </r>
  <r>
    <x v="10"/>
    <x v="223"/>
    <x v="1"/>
    <s v=" 11728.0"/>
    <n v="7"/>
    <n v="11728"/>
  </r>
  <r>
    <x v="10"/>
    <x v="223"/>
    <x v="2"/>
    <s v=" 22754.0"/>
    <n v="7"/>
    <n v="22754"/>
  </r>
  <r>
    <x v="10"/>
    <x v="223"/>
    <x v="3"/>
    <s v=" 4012.0"/>
    <n v="6"/>
    <n v="4012"/>
  </r>
  <r>
    <x v="10"/>
    <x v="223"/>
    <x v="4"/>
    <s v=" 14650.0"/>
    <n v="7"/>
    <n v="14650"/>
  </r>
  <r>
    <x v="10"/>
    <x v="223"/>
    <x v="5"/>
    <s v=" 4092.0"/>
    <n v="6"/>
    <n v="4092"/>
  </r>
  <r>
    <x v="10"/>
    <x v="224"/>
    <x v="0"/>
    <s v=" 9402.0"/>
    <n v="6"/>
    <n v="9402"/>
  </r>
  <r>
    <x v="10"/>
    <x v="224"/>
    <x v="1"/>
    <s v=" 9902.0"/>
    <n v="6"/>
    <n v="9902"/>
  </r>
  <r>
    <x v="10"/>
    <x v="224"/>
    <x v="2"/>
    <s v=" 19304.0"/>
    <n v="7"/>
    <n v="19304"/>
  </r>
  <r>
    <x v="10"/>
    <x v="224"/>
    <x v="3"/>
    <s v=" 3082.0"/>
    <n v="6"/>
    <n v="3082"/>
  </r>
  <r>
    <x v="10"/>
    <x v="224"/>
    <x v="4"/>
    <s v=" 12015.0"/>
    <n v="7"/>
    <n v="12015"/>
  </r>
  <r>
    <x v="10"/>
    <x v="224"/>
    <x v="5"/>
    <s v=" 4207.0"/>
    <n v="6"/>
    <n v="4207"/>
  </r>
  <r>
    <x v="10"/>
    <x v="225"/>
    <x v="0"/>
    <s v=" 8114.0"/>
    <n v="6"/>
    <n v="8114"/>
  </r>
  <r>
    <x v="10"/>
    <x v="225"/>
    <x v="1"/>
    <s v=" 8486.0"/>
    <n v="6"/>
    <n v="8486"/>
  </r>
  <r>
    <x v="10"/>
    <x v="225"/>
    <x v="2"/>
    <s v=" 16600.0"/>
    <n v="7"/>
    <n v="16600"/>
  </r>
  <r>
    <x v="10"/>
    <x v="225"/>
    <x v="3"/>
    <s v=" 2761.0"/>
    <n v="6"/>
    <n v="2761"/>
  </r>
  <r>
    <x v="10"/>
    <x v="225"/>
    <x v="4"/>
    <s v=" 10680.0"/>
    <n v="7"/>
    <n v="10680"/>
  </r>
  <r>
    <x v="10"/>
    <x v="225"/>
    <x v="5"/>
    <s v=" 3159.0"/>
    <n v="6"/>
    <n v="3159"/>
  </r>
  <r>
    <x v="10"/>
    <x v="226"/>
    <x v="0"/>
    <s v=" 5981.0"/>
    <n v="6"/>
    <n v="5981"/>
  </r>
  <r>
    <x v="10"/>
    <x v="226"/>
    <x v="1"/>
    <s v=" 6216.0"/>
    <n v="6"/>
    <n v="6216"/>
  </r>
  <r>
    <x v="10"/>
    <x v="226"/>
    <x v="2"/>
    <s v=" 12197.0"/>
    <n v="7"/>
    <n v="12197"/>
  </r>
  <r>
    <x v="10"/>
    <x v="226"/>
    <x v="3"/>
    <s v=" 2044.0"/>
    <n v="6"/>
    <n v="2044"/>
  </r>
  <r>
    <x v="10"/>
    <x v="226"/>
    <x v="4"/>
    <s v=" 7697.0"/>
    <n v="6"/>
    <n v="7697"/>
  </r>
  <r>
    <x v="10"/>
    <x v="226"/>
    <x v="5"/>
    <s v=" 2456.0"/>
    <n v="6"/>
    <n v="2456"/>
  </r>
  <r>
    <x v="10"/>
    <x v="227"/>
    <x v="0"/>
    <s v=" 4232.0"/>
    <n v="6"/>
    <n v="4232"/>
  </r>
  <r>
    <x v="10"/>
    <x v="227"/>
    <x v="1"/>
    <s v=" 4351.0"/>
    <n v="6"/>
    <n v="4351"/>
  </r>
  <r>
    <x v="10"/>
    <x v="227"/>
    <x v="2"/>
    <s v=" 8583.0"/>
    <n v="6"/>
    <n v="8583"/>
  </r>
  <r>
    <x v="10"/>
    <x v="227"/>
    <x v="3"/>
    <s v=" 1509.0"/>
    <n v="6"/>
    <n v="1509"/>
  </r>
  <r>
    <x v="10"/>
    <x v="227"/>
    <x v="4"/>
    <s v=" 5521.0"/>
    <n v="6"/>
    <n v="5521"/>
  </r>
  <r>
    <x v="10"/>
    <x v="227"/>
    <x v="5"/>
    <s v=" 1553.0"/>
    <n v="6"/>
    <n v="1553"/>
  </r>
  <r>
    <x v="10"/>
    <x v="228"/>
    <x v="0"/>
    <s v=" 9251.0"/>
    <n v="6"/>
    <n v="9251"/>
  </r>
  <r>
    <x v="10"/>
    <x v="228"/>
    <x v="1"/>
    <s v=" 9584.0"/>
    <n v="6"/>
    <n v="9584"/>
  </r>
  <r>
    <x v="10"/>
    <x v="228"/>
    <x v="2"/>
    <s v=" 18835.0"/>
    <n v="7"/>
    <n v="18835"/>
  </r>
  <r>
    <x v="10"/>
    <x v="228"/>
    <x v="3"/>
    <s v=" 3270.0"/>
    <n v="6"/>
    <n v="3270"/>
  </r>
  <r>
    <x v="10"/>
    <x v="228"/>
    <x v="4"/>
    <s v=" 11993.0"/>
    <n v="7"/>
    <n v="11993"/>
  </r>
  <r>
    <x v="10"/>
    <x v="228"/>
    <x v="5"/>
    <s v=" 3572.0"/>
    <n v="6"/>
    <n v="3572"/>
  </r>
  <r>
    <x v="11"/>
    <x v="229"/>
    <x v="0"/>
    <s v=" 819922.0"/>
    <n v="8"/>
    <n v="819922"/>
  </r>
  <r>
    <x v="11"/>
    <x v="229"/>
    <x v="1"/>
    <s v=" 866303.0"/>
    <n v="8"/>
    <n v="866303"/>
  </r>
  <r>
    <x v="11"/>
    <x v="229"/>
    <x v="2"/>
    <s v=" 1686225.0"/>
    <n v="9"/>
    <n v="1686225"/>
  </r>
  <r>
    <x v="11"/>
    <x v="229"/>
    <x v="3"/>
    <s v=" 304476.0"/>
    <n v="8"/>
    <n v="304476"/>
  </r>
  <r>
    <x v="11"/>
    <x v="229"/>
    <x v="4"/>
    <s v=" 1130592.0"/>
    <n v="9"/>
    <n v="1130592"/>
  </r>
  <r>
    <x v="11"/>
    <x v="229"/>
    <x v="5"/>
    <s v=" 251157.0"/>
    <n v="8"/>
    <n v="251157"/>
  </r>
  <r>
    <x v="11"/>
    <x v="230"/>
    <x v="0"/>
    <s v=" 28641.0"/>
    <n v="7"/>
    <n v="28641"/>
  </r>
  <r>
    <x v="11"/>
    <x v="230"/>
    <x v="1"/>
    <s v=" 30509.0"/>
    <n v="7"/>
    <n v="30509"/>
  </r>
  <r>
    <x v="11"/>
    <x v="230"/>
    <x v="2"/>
    <s v=" 59150.0"/>
    <n v="7"/>
    <n v="59150"/>
  </r>
  <r>
    <x v="11"/>
    <x v="230"/>
    <x v="3"/>
    <s v=" 10009.0"/>
    <n v="7"/>
    <n v="10009"/>
  </r>
  <r>
    <x v="11"/>
    <x v="230"/>
    <x v="4"/>
    <s v=" 38473.0"/>
    <n v="7"/>
    <n v="38473"/>
  </r>
  <r>
    <x v="11"/>
    <x v="230"/>
    <x v="5"/>
    <s v=" 10668.0"/>
    <n v="7"/>
    <n v="10668"/>
  </r>
  <r>
    <x v="11"/>
    <x v="231"/>
    <x v="0"/>
    <s v=" 24342.0"/>
    <n v="7"/>
    <n v="24342"/>
  </r>
  <r>
    <x v="11"/>
    <x v="231"/>
    <x v="1"/>
    <s v=" 25847.0"/>
    <n v="7"/>
    <n v="25847"/>
  </r>
  <r>
    <x v="11"/>
    <x v="231"/>
    <x v="2"/>
    <s v=" 50189.0"/>
    <n v="7"/>
    <n v="50189"/>
  </r>
  <r>
    <x v="11"/>
    <x v="231"/>
    <x v="3"/>
    <s v=" 8931.0"/>
    <n v="6"/>
    <n v="8931"/>
  </r>
  <r>
    <x v="11"/>
    <x v="231"/>
    <x v="4"/>
    <s v=" 33675.0"/>
    <n v="7"/>
    <n v="33675"/>
  </r>
  <r>
    <x v="11"/>
    <x v="231"/>
    <x v="5"/>
    <s v=" 7583.0"/>
    <n v="6"/>
    <n v="7583"/>
  </r>
  <r>
    <x v="11"/>
    <x v="232"/>
    <x v="0"/>
    <s v=" 76972.0"/>
    <n v="7"/>
    <n v="76972"/>
  </r>
  <r>
    <x v="11"/>
    <x v="232"/>
    <x v="1"/>
    <s v=" 81195.0"/>
    <n v="7"/>
    <n v="81195"/>
  </r>
  <r>
    <x v="11"/>
    <x v="232"/>
    <x v="2"/>
    <s v=" 158167.0"/>
    <n v="8"/>
    <n v="158167"/>
  </r>
  <r>
    <x v="11"/>
    <x v="232"/>
    <x v="3"/>
    <s v=" 26563.0"/>
    <n v="7"/>
    <n v="26563"/>
  </r>
  <r>
    <x v="11"/>
    <x v="232"/>
    <x v="4"/>
    <s v=" 107305.0"/>
    <n v="8"/>
    <n v="107305"/>
  </r>
  <r>
    <x v="11"/>
    <x v="232"/>
    <x v="5"/>
    <s v=" 24299.0"/>
    <n v="7"/>
    <n v="24299"/>
  </r>
  <r>
    <x v="11"/>
    <x v="233"/>
    <x v="0"/>
    <s v=" 47427.0"/>
    <n v="7"/>
    <n v="47427"/>
  </r>
  <r>
    <x v="11"/>
    <x v="233"/>
    <x v="1"/>
    <s v=" 50628.0"/>
    <n v="7"/>
    <n v="50628"/>
  </r>
  <r>
    <x v="11"/>
    <x v="233"/>
    <x v="2"/>
    <s v=" 98055.0"/>
    <n v="7"/>
    <n v="98055"/>
  </r>
  <r>
    <x v="11"/>
    <x v="233"/>
    <x v="3"/>
    <s v=" 16590.0"/>
    <n v="7"/>
    <n v="16590"/>
  </r>
  <r>
    <x v="11"/>
    <x v="233"/>
    <x v="4"/>
    <s v=" 65877.0"/>
    <n v="7"/>
    <n v="65877"/>
  </r>
  <r>
    <x v="11"/>
    <x v="233"/>
    <x v="5"/>
    <s v=" 15588.0"/>
    <n v="7"/>
    <n v="15588"/>
  </r>
  <r>
    <x v="11"/>
    <x v="234"/>
    <x v="0"/>
    <s v=" 116725.0"/>
    <n v="8"/>
    <n v="116725"/>
  </r>
  <r>
    <x v="11"/>
    <x v="234"/>
    <x v="1"/>
    <s v=" 123051.0"/>
    <n v="8"/>
    <n v="123051"/>
  </r>
  <r>
    <x v="11"/>
    <x v="234"/>
    <x v="2"/>
    <s v=" 239776.0"/>
    <n v="8"/>
    <n v="239776"/>
  </r>
  <r>
    <x v="11"/>
    <x v="234"/>
    <x v="3"/>
    <s v=" 33492.0"/>
    <n v="7"/>
    <n v="33492"/>
  </r>
  <r>
    <x v="11"/>
    <x v="234"/>
    <x v="4"/>
    <s v=" 168127.0"/>
    <n v="8"/>
    <n v="168127"/>
  </r>
  <r>
    <x v="11"/>
    <x v="234"/>
    <x v="5"/>
    <s v=" 38157.0"/>
    <n v="7"/>
    <n v="38157"/>
  </r>
  <r>
    <x v="11"/>
    <x v="235"/>
    <x v="0"/>
    <s v=" 5861.0"/>
    <n v="6"/>
    <n v="5861"/>
  </r>
  <r>
    <x v="11"/>
    <x v="235"/>
    <x v="1"/>
    <s v=" 6012.0"/>
    <n v="6"/>
    <n v="6012"/>
  </r>
  <r>
    <x v="11"/>
    <x v="235"/>
    <x v="2"/>
    <s v=" 11873.0"/>
    <n v="7"/>
    <n v="11873"/>
  </r>
  <r>
    <x v="11"/>
    <x v="235"/>
    <x v="3"/>
    <s v=" 1778.0"/>
    <n v="6"/>
    <n v="1778"/>
  </r>
  <r>
    <x v="11"/>
    <x v="235"/>
    <x v="4"/>
    <s v=" 7592.0"/>
    <n v="6"/>
    <n v="7592"/>
  </r>
  <r>
    <x v="11"/>
    <x v="235"/>
    <x v="5"/>
    <s v=" 2503.0"/>
    <n v="6"/>
    <n v="2503"/>
  </r>
  <r>
    <x v="11"/>
    <x v="236"/>
    <x v="0"/>
    <s v=" 74145.0"/>
    <n v="7"/>
    <n v="74145"/>
  </r>
  <r>
    <x v="11"/>
    <x v="236"/>
    <x v="1"/>
    <s v=" 79371.0"/>
    <n v="7"/>
    <n v="79371"/>
  </r>
  <r>
    <x v="11"/>
    <x v="236"/>
    <x v="2"/>
    <s v=" 153516.0"/>
    <n v="8"/>
    <n v="153516"/>
  </r>
  <r>
    <x v="11"/>
    <x v="236"/>
    <x v="3"/>
    <s v=" 31793.0"/>
    <n v="7"/>
    <n v="31793"/>
  </r>
  <r>
    <x v="11"/>
    <x v="236"/>
    <x v="4"/>
    <s v=" 104536.0"/>
    <n v="8"/>
    <n v="104536"/>
  </r>
  <r>
    <x v="11"/>
    <x v="236"/>
    <x v="5"/>
    <s v=" 17187.0"/>
    <n v="7"/>
    <n v="17187"/>
  </r>
  <r>
    <x v="11"/>
    <x v="237"/>
    <x v="0"/>
    <s v=" 44398.0"/>
    <n v="7"/>
    <n v="44398"/>
  </r>
  <r>
    <x v="11"/>
    <x v="237"/>
    <x v="1"/>
    <s v=" 47565.0"/>
    <n v="7"/>
    <n v="47565"/>
  </r>
  <r>
    <x v="11"/>
    <x v="237"/>
    <x v="2"/>
    <s v=" 91963.0"/>
    <n v="7"/>
    <n v="91963"/>
  </r>
  <r>
    <x v="11"/>
    <x v="237"/>
    <x v="3"/>
    <s v=" 16059.0"/>
    <n v="7"/>
    <n v="16059"/>
  </r>
  <r>
    <x v="11"/>
    <x v="237"/>
    <x v="4"/>
    <s v=" 62690.0"/>
    <n v="7"/>
    <n v="62690"/>
  </r>
  <r>
    <x v="11"/>
    <x v="237"/>
    <x v="5"/>
    <s v=" 13214.0"/>
    <n v="7"/>
    <n v="13214"/>
  </r>
  <r>
    <x v="11"/>
    <x v="238"/>
    <x v="0"/>
    <s v=" 12927.0"/>
    <n v="7"/>
    <n v="12927"/>
  </r>
  <r>
    <x v="11"/>
    <x v="238"/>
    <x v="1"/>
    <s v=" 13819.0"/>
    <n v="7"/>
    <n v="13819"/>
  </r>
  <r>
    <x v="11"/>
    <x v="238"/>
    <x v="2"/>
    <s v=" 26746.0"/>
    <n v="7"/>
    <n v="26746"/>
  </r>
  <r>
    <x v="11"/>
    <x v="238"/>
    <x v="3"/>
    <s v=" 5151.0"/>
    <n v="6"/>
    <n v="5151"/>
  </r>
  <r>
    <x v="11"/>
    <x v="238"/>
    <x v="4"/>
    <s v=" 17791.0"/>
    <n v="7"/>
    <n v="17791"/>
  </r>
  <r>
    <x v="11"/>
    <x v="238"/>
    <x v="5"/>
    <s v=" 3804.0"/>
    <n v="6"/>
    <n v="3804"/>
  </r>
  <r>
    <x v="11"/>
    <x v="239"/>
    <x v="0"/>
    <s v=" 62496.0"/>
    <n v="7"/>
    <n v="62496"/>
  </r>
  <r>
    <x v="11"/>
    <x v="239"/>
    <x v="1"/>
    <s v=" 66445.0"/>
    <n v="7"/>
    <n v="66445"/>
  </r>
  <r>
    <x v="11"/>
    <x v="239"/>
    <x v="2"/>
    <s v=" 128941.0"/>
    <n v="8"/>
    <n v="128941"/>
  </r>
  <r>
    <x v="11"/>
    <x v="239"/>
    <x v="3"/>
    <s v=" 25815.0"/>
    <n v="7"/>
    <n v="25815"/>
  </r>
  <r>
    <x v="11"/>
    <x v="239"/>
    <x v="4"/>
    <s v=" 86933.0"/>
    <n v="7"/>
    <n v="86933"/>
  </r>
  <r>
    <x v="11"/>
    <x v="239"/>
    <x v="5"/>
    <s v=" 16193.0"/>
    <n v="7"/>
    <n v="16193"/>
  </r>
  <r>
    <x v="11"/>
    <x v="240"/>
    <x v="0"/>
    <s v=" 15211.0"/>
    <n v="7"/>
    <n v="15211"/>
  </r>
  <r>
    <x v="11"/>
    <x v="240"/>
    <x v="1"/>
    <s v=" 15891.0"/>
    <n v="7"/>
    <n v="15891"/>
  </r>
  <r>
    <x v="11"/>
    <x v="240"/>
    <x v="2"/>
    <s v=" 31102.0"/>
    <n v="7"/>
    <n v="31102"/>
  </r>
  <r>
    <x v="11"/>
    <x v="240"/>
    <x v="3"/>
    <s v=" 5668.0"/>
    <n v="6"/>
    <n v="5668"/>
  </r>
  <r>
    <x v="11"/>
    <x v="240"/>
    <x v="4"/>
    <s v=" 20667.0"/>
    <n v="7"/>
    <n v="20667"/>
  </r>
  <r>
    <x v="11"/>
    <x v="240"/>
    <x v="5"/>
    <s v=" 4767.0"/>
    <n v="6"/>
    <n v="4767"/>
  </r>
  <r>
    <x v="11"/>
    <x v="241"/>
    <x v="0"/>
    <s v=" 22150.0"/>
    <n v="7"/>
    <n v="22150"/>
  </r>
  <r>
    <x v="11"/>
    <x v="241"/>
    <x v="1"/>
    <s v=" 23257.0"/>
    <n v="7"/>
    <n v="23257"/>
  </r>
  <r>
    <x v="11"/>
    <x v="241"/>
    <x v="2"/>
    <s v=" 45407.0"/>
    <n v="7"/>
    <n v="45407"/>
  </r>
  <r>
    <x v="11"/>
    <x v="241"/>
    <x v="3"/>
    <s v=" 8009.0"/>
    <n v="6"/>
    <n v="8009"/>
  </r>
  <r>
    <x v="11"/>
    <x v="241"/>
    <x v="4"/>
    <s v=" 30083.0"/>
    <n v="7"/>
    <n v="30083"/>
  </r>
  <r>
    <x v="11"/>
    <x v="241"/>
    <x v="5"/>
    <s v=" 7315.0"/>
    <n v="6"/>
    <n v="7315"/>
  </r>
  <r>
    <x v="11"/>
    <x v="242"/>
    <x v="0"/>
    <s v=" 10868.0"/>
    <n v="7"/>
    <n v="10868"/>
  </r>
  <r>
    <x v="11"/>
    <x v="242"/>
    <x v="1"/>
    <s v=" 11342.0"/>
    <n v="7"/>
    <n v="11342"/>
  </r>
  <r>
    <x v="11"/>
    <x v="242"/>
    <x v="2"/>
    <s v=" 22210.0"/>
    <n v="7"/>
    <n v="22210"/>
  </r>
  <r>
    <x v="11"/>
    <x v="242"/>
    <x v="3"/>
    <s v=" 3522.0"/>
    <n v="6"/>
    <n v="3522"/>
  </r>
  <r>
    <x v="11"/>
    <x v="242"/>
    <x v="4"/>
    <s v=" 14037.0"/>
    <n v="7"/>
    <n v="14037"/>
  </r>
  <r>
    <x v="11"/>
    <x v="242"/>
    <x v="5"/>
    <s v=" 4651.0"/>
    <n v="6"/>
    <n v="4651"/>
  </r>
  <r>
    <x v="11"/>
    <x v="243"/>
    <x v="0"/>
    <s v=" 7296.0"/>
    <n v="6"/>
    <n v="7296"/>
  </r>
  <r>
    <x v="11"/>
    <x v="243"/>
    <x v="1"/>
    <s v=" 7594.0"/>
    <n v="6"/>
    <n v="7594"/>
  </r>
  <r>
    <x v="11"/>
    <x v="243"/>
    <x v="2"/>
    <s v=" 14890.0"/>
    <n v="7"/>
    <n v="14890"/>
  </r>
  <r>
    <x v="11"/>
    <x v="243"/>
    <x v="3"/>
    <s v=" 2663.0"/>
    <n v="6"/>
    <n v="2663"/>
  </r>
  <r>
    <x v="11"/>
    <x v="243"/>
    <x v="4"/>
    <s v=" 9490.0"/>
    <n v="6"/>
    <n v="9490"/>
  </r>
  <r>
    <x v="11"/>
    <x v="243"/>
    <x v="5"/>
    <s v=" 2737.0"/>
    <n v="6"/>
    <n v="2737"/>
  </r>
  <r>
    <x v="11"/>
    <x v="244"/>
    <x v="0"/>
    <s v=" 19086.0"/>
    <n v="7"/>
    <n v="19086"/>
  </r>
  <r>
    <x v="11"/>
    <x v="244"/>
    <x v="1"/>
    <s v=" 19855.0"/>
    <n v="7"/>
    <n v="19855"/>
  </r>
  <r>
    <x v="11"/>
    <x v="244"/>
    <x v="2"/>
    <s v=" 38941.0"/>
    <n v="7"/>
    <n v="38941"/>
  </r>
  <r>
    <x v="11"/>
    <x v="244"/>
    <x v="3"/>
    <s v=" 7498.0"/>
    <n v="6"/>
    <n v="7498"/>
  </r>
  <r>
    <x v="11"/>
    <x v="244"/>
    <x v="4"/>
    <s v=" 25948.0"/>
    <n v="7"/>
    <n v="25948"/>
  </r>
  <r>
    <x v="11"/>
    <x v="244"/>
    <x v="5"/>
    <s v=" 5495.0"/>
    <n v="6"/>
    <n v="5495"/>
  </r>
  <r>
    <x v="11"/>
    <x v="245"/>
    <x v="0"/>
    <s v=" 1744.0"/>
    <n v="6"/>
    <n v="1744"/>
  </r>
  <r>
    <x v="11"/>
    <x v="245"/>
    <x v="1"/>
    <s v=" 1809.0"/>
    <n v="6"/>
    <n v="1809"/>
  </r>
  <r>
    <x v="11"/>
    <x v="245"/>
    <x v="2"/>
    <s v=" 3553.0"/>
    <n v="6"/>
    <n v="3553"/>
  </r>
  <r>
    <x v="11"/>
    <x v="245"/>
    <x v="3"/>
    <s v=" 595.0"/>
    <n v="5"/>
    <n v="595"/>
  </r>
  <r>
    <x v="11"/>
    <x v="245"/>
    <x v="4"/>
    <s v=" 2231.0"/>
    <n v="6"/>
    <n v="2231"/>
  </r>
  <r>
    <x v="11"/>
    <x v="245"/>
    <x v="5"/>
    <s v=" 727.0"/>
    <n v="5"/>
    <n v="727"/>
  </r>
  <r>
    <x v="11"/>
    <x v="246"/>
    <x v="0"/>
    <s v=" 11707.0"/>
    <n v="7"/>
    <n v="11707"/>
  </r>
  <r>
    <x v="11"/>
    <x v="246"/>
    <x v="1"/>
    <s v=" 12214.0"/>
    <n v="7"/>
    <n v="12214"/>
  </r>
  <r>
    <x v="11"/>
    <x v="246"/>
    <x v="2"/>
    <s v=" 23921.0"/>
    <n v="7"/>
    <n v="23921"/>
  </r>
  <r>
    <x v="11"/>
    <x v="246"/>
    <x v="3"/>
    <s v=" 4461.0"/>
    <n v="6"/>
    <n v="4461"/>
  </r>
  <r>
    <x v="11"/>
    <x v="246"/>
    <x v="4"/>
    <s v=" 15412.0"/>
    <n v="7"/>
    <n v="15412"/>
  </r>
  <r>
    <x v="11"/>
    <x v="246"/>
    <x v="5"/>
    <s v=" 4048.0"/>
    <n v="6"/>
    <n v="4048"/>
  </r>
  <r>
    <x v="11"/>
    <x v="247"/>
    <x v="0"/>
    <s v=" 7528.0"/>
    <n v="6"/>
    <n v="7528"/>
  </r>
  <r>
    <x v="11"/>
    <x v="247"/>
    <x v="1"/>
    <s v=" 7900.0"/>
    <n v="6"/>
    <n v="7900"/>
  </r>
  <r>
    <x v="11"/>
    <x v="247"/>
    <x v="2"/>
    <s v=" 15428.0"/>
    <n v="7"/>
    <n v="15428"/>
  </r>
  <r>
    <x v="11"/>
    <x v="247"/>
    <x v="3"/>
    <s v=" 2727.0"/>
    <n v="6"/>
    <n v="2727"/>
  </r>
  <r>
    <x v="11"/>
    <x v="247"/>
    <x v="4"/>
    <s v=" 9724.0"/>
    <n v="6"/>
    <n v="9724"/>
  </r>
  <r>
    <x v="11"/>
    <x v="247"/>
    <x v="5"/>
    <s v=" 2977.0"/>
    <n v="6"/>
    <n v="2977"/>
  </r>
  <r>
    <x v="11"/>
    <x v="248"/>
    <x v="0"/>
    <s v=" 2116.0"/>
    <n v="6"/>
    <n v="2116"/>
  </r>
  <r>
    <x v="11"/>
    <x v="248"/>
    <x v="1"/>
    <s v=" 2209.0"/>
    <n v="6"/>
    <n v="2209"/>
  </r>
  <r>
    <x v="11"/>
    <x v="248"/>
    <x v="2"/>
    <s v=" 4325.0"/>
    <n v="6"/>
    <n v="4325"/>
  </r>
  <r>
    <x v="11"/>
    <x v="248"/>
    <x v="3"/>
    <s v=" 724.0"/>
    <n v="5"/>
    <n v="724"/>
  </r>
  <r>
    <x v="11"/>
    <x v="248"/>
    <x v="4"/>
    <s v=" 2723.0"/>
    <n v="6"/>
    <n v="2723"/>
  </r>
  <r>
    <x v="11"/>
    <x v="248"/>
    <x v="5"/>
    <s v=" 878.0"/>
    <n v="5"/>
    <n v="878"/>
  </r>
  <r>
    <x v="11"/>
    <x v="249"/>
    <x v="0"/>
    <s v=" 108701.0"/>
    <n v="8"/>
    <n v="108701"/>
  </r>
  <r>
    <x v="11"/>
    <x v="249"/>
    <x v="1"/>
    <s v=" 115050.0"/>
    <n v="8"/>
    <n v="115050"/>
  </r>
  <r>
    <x v="11"/>
    <x v="249"/>
    <x v="2"/>
    <s v=" 223751.0"/>
    <n v="8"/>
    <n v="223751"/>
  </r>
  <r>
    <x v="11"/>
    <x v="249"/>
    <x v="3"/>
    <s v=" 43898.0"/>
    <n v="7"/>
    <n v="43898"/>
  </r>
  <r>
    <x v="11"/>
    <x v="249"/>
    <x v="4"/>
    <s v=" 148968.0"/>
    <n v="8"/>
    <n v="148968"/>
  </r>
  <r>
    <x v="11"/>
    <x v="249"/>
    <x v="5"/>
    <s v=" 30885.0"/>
    <n v="7"/>
    <n v="30885"/>
  </r>
  <r>
    <x v="11"/>
    <x v="250"/>
    <x v="0"/>
    <s v=" 4902.0"/>
    <n v="6"/>
    <n v="4902"/>
  </r>
  <r>
    <x v="11"/>
    <x v="250"/>
    <x v="1"/>
    <s v=" 5084.0"/>
    <n v="6"/>
    <n v="5084"/>
  </r>
  <r>
    <x v="11"/>
    <x v="250"/>
    <x v="2"/>
    <s v=" 9986.0"/>
    <n v="6"/>
    <n v="9986"/>
  </r>
  <r>
    <x v="11"/>
    <x v="250"/>
    <x v="3"/>
    <s v=" 1662.0"/>
    <n v="6"/>
    <n v="1662"/>
  </r>
  <r>
    <x v="11"/>
    <x v="250"/>
    <x v="4"/>
    <s v=" 6169.0"/>
    <n v="6"/>
    <n v="6169"/>
  </r>
  <r>
    <x v="11"/>
    <x v="250"/>
    <x v="5"/>
    <s v=" 2155.0"/>
    <n v="6"/>
    <n v="2155"/>
  </r>
  <r>
    <x v="11"/>
    <x v="251"/>
    <x v="0"/>
    <s v=" 16635.0"/>
    <n v="7"/>
    <n v="16635"/>
  </r>
  <r>
    <x v="11"/>
    <x v="251"/>
    <x v="1"/>
    <s v=" 17307.0"/>
    <n v="7"/>
    <n v="17307"/>
  </r>
  <r>
    <x v="11"/>
    <x v="251"/>
    <x v="2"/>
    <s v=" 33942.0"/>
    <n v="7"/>
    <n v="33942"/>
  </r>
  <r>
    <x v="11"/>
    <x v="251"/>
    <x v="3"/>
    <s v=" 6487.0"/>
    <n v="6"/>
    <n v="6487"/>
  </r>
  <r>
    <x v="11"/>
    <x v="251"/>
    <x v="4"/>
    <s v=" 22541.0"/>
    <n v="7"/>
    <n v="22541"/>
  </r>
  <r>
    <x v="11"/>
    <x v="251"/>
    <x v="5"/>
    <s v=" 4914.0"/>
    <n v="6"/>
    <n v="4914"/>
  </r>
  <r>
    <x v="11"/>
    <x v="252"/>
    <x v="0"/>
    <s v=" 13764.0"/>
    <n v="7"/>
    <n v="13764"/>
  </r>
  <r>
    <x v="11"/>
    <x v="252"/>
    <x v="1"/>
    <s v=" 14264.0"/>
    <n v="7"/>
    <n v="14264"/>
  </r>
  <r>
    <x v="11"/>
    <x v="252"/>
    <x v="2"/>
    <s v=" 28028.0"/>
    <n v="7"/>
    <n v="28028"/>
  </r>
  <r>
    <x v="11"/>
    <x v="252"/>
    <x v="3"/>
    <s v=" 5419.0"/>
    <n v="6"/>
    <n v="5419"/>
  </r>
  <r>
    <x v="11"/>
    <x v="252"/>
    <x v="4"/>
    <s v=" 18378.0"/>
    <n v="7"/>
    <n v="18378"/>
  </r>
  <r>
    <x v="11"/>
    <x v="252"/>
    <x v="5"/>
    <s v=" 4231.0"/>
    <n v="6"/>
    <n v="4231"/>
  </r>
  <r>
    <x v="11"/>
    <x v="253"/>
    <x v="0"/>
    <s v=" 5201.0"/>
    <n v="6"/>
    <n v="5201"/>
  </r>
  <r>
    <x v="11"/>
    <x v="253"/>
    <x v="1"/>
    <s v=" 5373.0"/>
    <n v="6"/>
    <n v="5373"/>
  </r>
  <r>
    <x v="11"/>
    <x v="253"/>
    <x v="2"/>
    <s v=" 10574.0"/>
    <n v="7"/>
    <n v="10574"/>
  </r>
  <r>
    <x v="11"/>
    <x v="253"/>
    <x v="3"/>
    <s v=" 2031.0"/>
    <n v="6"/>
    <n v="2031"/>
  </r>
  <r>
    <x v="11"/>
    <x v="253"/>
    <x v="4"/>
    <s v=" 6869.0"/>
    <n v="6"/>
    <n v="6869"/>
  </r>
  <r>
    <x v="11"/>
    <x v="253"/>
    <x v="5"/>
    <s v=" 1674.0"/>
    <n v="6"/>
    <n v="1674"/>
  </r>
  <r>
    <x v="11"/>
    <x v="254"/>
    <x v="0"/>
    <s v=" 13269.0"/>
    <n v="7"/>
    <n v="13269"/>
  </r>
  <r>
    <x v="11"/>
    <x v="254"/>
    <x v="1"/>
    <s v=" 13883.0"/>
    <n v="7"/>
    <n v="13883"/>
  </r>
  <r>
    <x v="11"/>
    <x v="254"/>
    <x v="2"/>
    <s v=" 27152.0"/>
    <n v="7"/>
    <n v="27152"/>
  </r>
  <r>
    <x v="11"/>
    <x v="254"/>
    <x v="3"/>
    <s v=" 5424.0"/>
    <n v="6"/>
    <n v="5424"/>
  </r>
  <r>
    <x v="11"/>
    <x v="254"/>
    <x v="4"/>
    <s v=" 17905.0"/>
    <n v="7"/>
    <n v="17905"/>
  </r>
  <r>
    <x v="11"/>
    <x v="254"/>
    <x v="5"/>
    <s v=" 3823.0"/>
    <n v="6"/>
    <n v="3823"/>
  </r>
  <r>
    <x v="11"/>
    <x v="255"/>
    <x v="0"/>
    <s v=" 11166.0"/>
    <n v="7"/>
    <n v="11166"/>
  </r>
  <r>
    <x v="11"/>
    <x v="255"/>
    <x v="1"/>
    <s v=" 11787.0"/>
    <n v="7"/>
    <n v="11787"/>
  </r>
  <r>
    <x v="11"/>
    <x v="255"/>
    <x v="2"/>
    <s v=" 22953.0"/>
    <n v="7"/>
    <n v="22953"/>
  </r>
  <r>
    <x v="11"/>
    <x v="255"/>
    <x v="3"/>
    <s v=" 4979.0"/>
    <n v="6"/>
    <n v="4979"/>
  </r>
  <r>
    <x v="11"/>
    <x v="255"/>
    <x v="4"/>
    <s v=" 14889.0"/>
    <n v="7"/>
    <n v="14889"/>
  </r>
  <r>
    <x v="11"/>
    <x v="255"/>
    <x v="5"/>
    <s v=" 3085.0"/>
    <n v="6"/>
    <n v="3085"/>
  </r>
  <r>
    <x v="11"/>
    <x v="256"/>
    <x v="0"/>
    <s v=" 7176.0"/>
    <n v="6"/>
    <n v="7176"/>
  </r>
  <r>
    <x v="11"/>
    <x v="256"/>
    <x v="1"/>
    <s v=" 7495.0"/>
    <n v="6"/>
    <n v="7495"/>
  </r>
  <r>
    <x v="11"/>
    <x v="256"/>
    <x v="2"/>
    <s v=" 14671.0"/>
    <n v="7"/>
    <n v="14671"/>
  </r>
  <r>
    <x v="11"/>
    <x v="256"/>
    <x v="3"/>
    <s v=" 2782.0"/>
    <n v="6"/>
    <n v="2782"/>
  </r>
  <r>
    <x v="11"/>
    <x v="256"/>
    <x v="4"/>
    <s v=" 9332.0"/>
    <n v="6"/>
    <n v="9332"/>
  </r>
  <r>
    <x v="11"/>
    <x v="256"/>
    <x v="5"/>
    <s v=" 2557.0"/>
    <n v="6"/>
    <n v="2557"/>
  </r>
  <r>
    <x v="11"/>
    <x v="257"/>
    <x v="0"/>
    <s v=" 2068.0"/>
    <n v="6"/>
    <n v="2068"/>
  </r>
  <r>
    <x v="11"/>
    <x v="257"/>
    <x v="1"/>
    <s v=" 2118.0"/>
    <n v="6"/>
    <n v="2118"/>
  </r>
  <r>
    <x v="11"/>
    <x v="257"/>
    <x v="2"/>
    <s v=" 4186.0"/>
    <n v="6"/>
    <n v="4186"/>
  </r>
  <r>
    <x v="11"/>
    <x v="257"/>
    <x v="3"/>
    <s v=" 637.0"/>
    <n v="5"/>
    <n v="637"/>
  </r>
  <r>
    <x v="11"/>
    <x v="257"/>
    <x v="4"/>
    <s v=" 2523.0"/>
    <n v="6"/>
    <n v="2523"/>
  </r>
  <r>
    <x v="11"/>
    <x v="257"/>
    <x v="5"/>
    <s v=" 1026.0"/>
    <n v="6"/>
    <n v="1026"/>
  </r>
  <r>
    <x v="11"/>
    <x v="258"/>
    <x v="0"/>
    <s v=" 15273.0"/>
    <n v="7"/>
    <n v="15273"/>
  </r>
  <r>
    <x v="11"/>
    <x v="258"/>
    <x v="1"/>
    <s v=" 15849.0"/>
    <n v="7"/>
    <n v="15849"/>
  </r>
  <r>
    <x v="11"/>
    <x v="258"/>
    <x v="2"/>
    <s v=" 31122.0"/>
    <n v="7"/>
    <n v="31122"/>
  </r>
  <r>
    <x v="11"/>
    <x v="258"/>
    <x v="3"/>
    <s v=" 5965.0"/>
    <n v="6"/>
    <n v="5965"/>
  </r>
  <r>
    <x v="11"/>
    <x v="258"/>
    <x v="4"/>
    <s v=" 19992.0"/>
    <n v="7"/>
    <n v="19992"/>
  </r>
  <r>
    <x v="11"/>
    <x v="258"/>
    <x v="5"/>
    <s v=" 5165.0"/>
    <n v="6"/>
    <n v="5165"/>
  </r>
  <r>
    <x v="11"/>
    <x v="259"/>
    <x v="0"/>
    <s v=" 18167.0"/>
    <n v="7"/>
    <n v="18167"/>
  </r>
  <r>
    <x v="11"/>
    <x v="259"/>
    <x v="1"/>
    <s v=" 19276.0"/>
    <n v="7"/>
    <n v="19276"/>
  </r>
  <r>
    <x v="11"/>
    <x v="259"/>
    <x v="2"/>
    <s v=" 37443.0"/>
    <n v="7"/>
    <n v="37443"/>
  </r>
  <r>
    <x v="11"/>
    <x v="259"/>
    <x v="3"/>
    <s v=" 7764.0"/>
    <n v="6"/>
    <n v="7764"/>
  </r>
  <r>
    <x v="11"/>
    <x v="259"/>
    <x v="4"/>
    <s v=" 24024.0"/>
    <n v="7"/>
    <n v="24024"/>
  </r>
  <r>
    <x v="11"/>
    <x v="259"/>
    <x v="5"/>
    <s v=" 5655.0"/>
    <n v="6"/>
    <n v="5655"/>
  </r>
  <r>
    <x v="11"/>
    <x v="260"/>
    <x v="0"/>
    <s v=" 3372.0"/>
    <n v="6"/>
    <n v="3372"/>
  </r>
  <r>
    <x v="11"/>
    <x v="260"/>
    <x v="1"/>
    <s v=" 3432.0"/>
    <n v="6"/>
    <n v="3432"/>
  </r>
  <r>
    <x v="11"/>
    <x v="260"/>
    <x v="2"/>
    <s v=" 6804.0"/>
    <n v="6"/>
    <n v="6804"/>
  </r>
  <r>
    <x v="11"/>
    <x v="260"/>
    <x v="3"/>
    <s v=" 1794.0"/>
    <n v="6"/>
    <n v="1794"/>
  </r>
  <r>
    <x v="11"/>
    <x v="260"/>
    <x v="4"/>
    <s v=" 4348.0"/>
    <n v="6"/>
    <n v="4348"/>
  </r>
  <r>
    <x v="11"/>
    <x v="260"/>
    <x v="5"/>
    <s v=" 662.0"/>
    <n v="5"/>
    <n v="662"/>
  </r>
  <r>
    <x v="11"/>
    <x v="261"/>
    <x v="0"/>
    <s v=" 3137.0"/>
    <n v="6"/>
    <n v="3137"/>
  </r>
  <r>
    <x v="11"/>
    <x v="261"/>
    <x v="1"/>
    <s v=" 3218.0"/>
    <n v="6"/>
    <n v="3218"/>
  </r>
  <r>
    <x v="11"/>
    <x v="261"/>
    <x v="2"/>
    <s v=" 6355.0"/>
    <n v="6"/>
    <n v="6355"/>
  </r>
  <r>
    <x v="11"/>
    <x v="261"/>
    <x v="3"/>
    <s v=" 1143.0"/>
    <n v="6"/>
    <n v="1143"/>
  </r>
  <r>
    <x v="11"/>
    <x v="261"/>
    <x v="4"/>
    <s v=" 4058.0"/>
    <n v="6"/>
    <n v="4058"/>
  </r>
  <r>
    <x v="11"/>
    <x v="261"/>
    <x v="5"/>
    <s v=" 1154.0"/>
    <n v="6"/>
    <n v="1154"/>
  </r>
  <r>
    <x v="11"/>
    <x v="262"/>
    <x v="0"/>
    <s v=" 5451.0"/>
    <n v="6"/>
    <n v="5451"/>
  </r>
  <r>
    <x v="11"/>
    <x v="262"/>
    <x v="1"/>
    <s v=" 5654.0"/>
    <n v="6"/>
    <n v="5654"/>
  </r>
  <r>
    <x v="11"/>
    <x v="262"/>
    <x v="2"/>
    <s v=" 11105.0"/>
    <n v="7"/>
    <n v="11105"/>
  </r>
  <r>
    <x v="11"/>
    <x v="262"/>
    <x v="3"/>
    <s v=" 2443.0"/>
    <n v="6"/>
    <n v="2443"/>
  </r>
  <r>
    <x v="11"/>
    <x v="262"/>
    <x v="4"/>
    <s v=" 7282.0"/>
    <n v="6"/>
    <n v="7282"/>
  </r>
  <r>
    <x v="11"/>
    <x v="262"/>
    <x v="5"/>
    <s v=" 1380.0"/>
    <n v="6"/>
    <n v="1380"/>
  </r>
  <r>
    <x v="12"/>
    <x v="263"/>
    <x v="0"/>
    <s v=" 503438.0"/>
    <n v="8"/>
    <n v="503438"/>
  </r>
  <r>
    <x v="12"/>
    <x v="263"/>
    <x v="1"/>
    <s v=" 528726.0"/>
    <n v="8"/>
    <n v="528726"/>
  </r>
  <r>
    <x v="12"/>
    <x v="263"/>
    <x v="2"/>
    <s v=" 1032164.0"/>
    <n v="9"/>
    <n v="1032164"/>
  </r>
  <r>
    <x v="12"/>
    <x v="263"/>
    <x v="3"/>
    <s v=" 196063.0"/>
    <n v="8"/>
    <n v="196063"/>
  </r>
  <r>
    <x v="12"/>
    <x v="263"/>
    <x v="4"/>
    <s v=" 675894.0"/>
    <n v="8"/>
    <n v="675894"/>
  </r>
  <r>
    <x v="12"/>
    <x v="263"/>
    <x v="5"/>
    <s v=" 160207.0"/>
    <n v="8"/>
    <n v="160207"/>
  </r>
  <r>
    <x v="12"/>
    <x v="264"/>
    <x v="0"/>
    <s v=" 5317.0"/>
    <n v="6"/>
    <n v="5317"/>
  </r>
  <r>
    <x v="12"/>
    <x v="264"/>
    <x v="1"/>
    <s v=" 5685.0"/>
    <n v="6"/>
    <n v="5685"/>
  </r>
  <r>
    <x v="12"/>
    <x v="264"/>
    <x v="2"/>
    <s v=" 11002.0"/>
    <n v="7"/>
    <n v="11002"/>
  </r>
  <r>
    <x v="12"/>
    <x v="264"/>
    <x v="3"/>
    <s v=" 2126.0"/>
    <n v="6"/>
    <n v="2126"/>
  </r>
  <r>
    <x v="12"/>
    <x v="264"/>
    <x v="4"/>
    <s v=" 7196.0"/>
    <n v="6"/>
    <n v="7196"/>
  </r>
  <r>
    <x v="12"/>
    <x v="264"/>
    <x v="5"/>
    <s v=" 1680.0"/>
    <n v="6"/>
    <n v="1680"/>
  </r>
  <r>
    <x v="12"/>
    <x v="265"/>
    <x v="0"/>
    <s v=" 27488.0"/>
    <n v="7"/>
    <n v="27488"/>
  </r>
  <r>
    <x v="12"/>
    <x v="265"/>
    <x v="1"/>
    <s v=" 29309.0"/>
    <n v="7"/>
    <n v="29309"/>
  </r>
  <r>
    <x v="12"/>
    <x v="265"/>
    <x v="2"/>
    <s v=" 56797.0"/>
    <n v="7"/>
    <n v="56797"/>
  </r>
  <r>
    <x v="12"/>
    <x v="265"/>
    <x v="3"/>
    <s v=" 11008.0"/>
    <n v="7"/>
    <n v="11008"/>
  </r>
  <r>
    <x v="12"/>
    <x v="265"/>
    <x v="4"/>
    <s v=" 36796.0"/>
    <n v="7"/>
    <n v="36796"/>
  </r>
  <r>
    <x v="12"/>
    <x v="265"/>
    <x v="5"/>
    <s v=" 8993.0"/>
    <n v="6"/>
    <n v="8993"/>
  </r>
  <r>
    <x v="12"/>
    <x v="266"/>
    <x v="0"/>
    <s v=" 12972.0"/>
    <n v="7"/>
    <n v="12972"/>
  </r>
  <r>
    <x v="12"/>
    <x v="266"/>
    <x v="1"/>
    <s v=" 13586.0"/>
    <n v="7"/>
    <n v="13586"/>
  </r>
  <r>
    <x v="12"/>
    <x v="266"/>
    <x v="2"/>
    <s v=" 26558.0"/>
    <n v="7"/>
    <n v="26558"/>
  </r>
  <r>
    <x v="12"/>
    <x v="266"/>
    <x v="3"/>
    <s v=" 5471.0"/>
    <n v="6"/>
    <n v="5471"/>
  </r>
  <r>
    <x v="12"/>
    <x v="266"/>
    <x v="4"/>
    <s v=" 17077.0"/>
    <n v="7"/>
    <n v="17077"/>
  </r>
  <r>
    <x v="12"/>
    <x v="266"/>
    <x v="5"/>
    <s v=" 4010.0"/>
    <n v="6"/>
    <n v="4010"/>
  </r>
  <r>
    <x v="12"/>
    <x v="267"/>
    <x v="0"/>
    <s v=" 3695.0"/>
    <n v="6"/>
    <n v="3695"/>
  </r>
  <r>
    <x v="12"/>
    <x v="267"/>
    <x v="1"/>
    <s v=" 3773.0"/>
    <n v="6"/>
    <n v="3773"/>
  </r>
  <r>
    <x v="12"/>
    <x v="267"/>
    <x v="2"/>
    <s v=" 7468.0"/>
    <n v="6"/>
    <n v="7468"/>
  </r>
  <r>
    <x v="12"/>
    <x v="267"/>
    <x v="3"/>
    <s v=" 1304.0"/>
    <n v="6"/>
    <n v="1304"/>
  </r>
  <r>
    <x v="12"/>
    <x v="267"/>
    <x v="4"/>
    <s v=" 4739.0"/>
    <n v="6"/>
    <n v="4739"/>
  </r>
  <r>
    <x v="12"/>
    <x v="267"/>
    <x v="5"/>
    <s v=" 1425.0"/>
    <n v="6"/>
    <n v="1425"/>
  </r>
  <r>
    <x v="12"/>
    <x v="268"/>
    <x v="0"/>
    <s v=" 5896.0"/>
    <n v="6"/>
    <n v="5896"/>
  </r>
  <r>
    <x v="12"/>
    <x v="268"/>
    <x v="1"/>
    <s v=" 6207.0"/>
    <n v="6"/>
    <n v="6207"/>
  </r>
  <r>
    <x v="12"/>
    <x v="268"/>
    <x v="2"/>
    <s v=" 12103.0"/>
    <n v="7"/>
    <n v="12103"/>
  </r>
  <r>
    <x v="12"/>
    <x v="268"/>
    <x v="3"/>
    <s v=" 2284.0"/>
    <n v="6"/>
    <n v="2284"/>
  </r>
  <r>
    <x v="12"/>
    <x v="268"/>
    <x v="4"/>
    <s v=" 7594.0"/>
    <n v="6"/>
    <n v="7594"/>
  </r>
  <r>
    <x v="12"/>
    <x v="268"/>
    <x v="5"/>
    <s v=" 2225.0"/>
    <n v="6"/>
    <n v="2225"/>
  </r>
  <r>
    <x v="12"/>
    <x v="269"/>
    <x v="0"/>
    <s v=" 4137.0"/>
    <n v="6"/>
    <n v="4137"/>
  </r>
  <r>
    <x v="12"/>
    <x v="269"/>
    <x v="1"/>
    <s v=" 4250.0"/>
    <n v="6"/>
    <n v="4250"/>
  </r>
  <r>
    <x v="12"/>
    <x v="269"/>
    <x v="2"/>
    <s v=" 8387.0"/>
    <n v="6"/>
    <n v="8387"/>
  </r>
  <r>
    <x v="12"/>
    <x v="269"/>
    <x v="3"/>
    <s v=" 1767.0"/>
    <n v="6"/>
    <n v="1767"/>
  </r>
  <r>
    <x v="12"/>
    <x v="269"/>
    <x v="4"/>
    <s v=" 5161.0"/>
    <n v="6"/>
    <n v="5161"/>
  </r>
  <r>
    <x v="12"/>
    <x v="269"/>
    <x v="5"/>
    <s v=" 1459.0"/>
    <n v="6"/>
    <n v="1459"/>
  </r>
  <r>
    <x v="12"/>
    <x v="270"/>
    <x v="0"/>
    <s v=" 4983.0"/>
    <n v="6"/>
    <n v="4983"/>
  </r>
  <r>
    <x v="12"/>
    <x v="270"/>
    <x v="1"/>
    <s v=" 4933.0"/>
    <n v="6"/>
    <n v="4933"/>
  </r>
  <r>
    <x v="12"/>
    <x v="270"/>
    <x v="2"/>
    <s v=" 9916.0"/>
    <n v="6"/>
    <n v="9916"/>
  </r>
  <r>
    <x v="12"/>
    <x v="270"/>
    <x v="3"/>
    <s v=" 1944.0"/>
    <n v="6"/>
    <n v="1944"/>
  </r>
  <r>
    <x v="12"/>
    <x v="270"/>
    <x v="4"/>
    <s v=" 6175.0"/>
    <n v="6"/>
    <n v="6175"/>
  </r>
  <r>
    <x v="12"/>
    <x v="270"/>
    <x v="5"/>
    <s v=" 1797.0"/>
    <n v="6"/>
    <n v="1797"/>
  </r>
  <r>
    <x v="12"/>
    <x v="271"/>
    <x v="0"/>
    <s v=" 17297.0"/>
    <n v="7"/>
    <n v="17297"/>
  </r>
  <r>
    <x v="12"/>
    <x v="271"/>
    <x v="1"/>
    <s v=" 18257.0"/>
    <n v="7"/>
    <n v="18257"/>
  </r>
  <r>
    <x v="12"/>
    <x v="271"/>
    <x v="2"/>
    <s v=" 35554.0"/>
    <n v="7"/>
    <n v="35554"/>
  </r>
  <r>
    <x v="12"/>
    <x v="271"/>
    <x v="3"/>
    <s v=" 6371.0"/>
    <n v="6"/>
    <n v="6371"/>
  </r>
  <r>
    <x v="12"/>
    <x v="271"/>
    <x v="4"/>
    <s v=" 23038.0"/>
    <n v="7"/>
    <n v="23038"/>
  </r>
  <r>
    <x v="12"/>
    <x v="271"/>
    <x v="5"/>
    <s v=" 6145.0"/>
    <n v="6"/>
    <n v="6145"/>
  </r>
  <r>
    <x v="12"/>
    <x v="272"/>
    <x v="0"/>
    <s v=" 9329.0"/>
    <n v="6"/>
    <n v="9329"/>
  </r>
  <r>
    <x v="12"/>
    <x v="272"/>
    <x v="1"/>
    <s v=" 9931.0"/>
    <n v="6"/>
    <n v="9931"/>
  </r>
  <r>
    <x v="12"/>
    <x v="272"/>
    <x v="2"/>
    <s v=" 19260.0"/>
    <n v="7"/>
    <n v="19260"/>
  </r>
  <r>
    <x v="12"/>
    <x v="272"/>
    <x v="3"/>
    <s v=" 3602.0"/>
    <n v="6"/>
    <n v="3602"/>
  </r>
  <r>
    <x v="12"/>
    <x v="272"/>
    <x v="4"/>
    <s v=" 11901.0"/>
    <n v="7"/>
    <n v="11901"/>
  </r>
  <r>
    <x v="12"/>
    <x v="272"/>
    <x v="5"/>
    <s v=" 3757.0"/>
    <n v="6"/>
    <n v="3757"/>
  </r>
  <r>
    <x v="12"/>
    <x v="273"/>
    <x v="0"/>
    <s v=" 6252.0"/>
    <n v="6"/>
    <n v="6252"/>
  </r>
  <r>
    <x v="12"/>
    <x v="273"/>
    <x v="1"/>
    <s v=" 6316.0"/>
    <n v="6"/>
    <n v="6316"/>
  </r>
  <r>
    <x v="12"/>
    <x v="273"/>
    <x v="2"/>
    <s v=" 12568.0"/>
    <n v="7"/>
    <n v="12568"/>
  </r>
  <r>
    <x v="12"/>
    <x v="273"/>
    <x v="3"/>
    <s v=" 2554.0"/>
    <n v="6"/>
    <n v="2554"/>
  </r>
  <r>
    <x v="12"/>
    <x v="273"/>
    <x v="4"/>
    <s v=" 7793.0"/>
    <n v="6"/>
    <n v="7793"/>
  </r>
  <r>
    <x v="12"/>
    <x v="273"/>
    <x v="5"/>
    <s v=" 2221.0"/>
    <n v="6"/>
    <n v="2221"/>
  </r>
  <r>
    <x v="12"/>
    <x v="274"/>
    <x v="0"/>
    <s v=" 3576.0"/>
    <n v="6"/>
    <n v="3576"/>
  </r>
  <r>
    <x v="12"/>
    <x v="274"/>
    <x v="1"/>
    <s v=" 3693.0"/>
    <n v="6"/>
    <n v="3693"/>
  </r>
  <r>
    <x v="12"/>
    <x v="274"/>
    <x v="2"/>
    <s v=" 7269.0"/>
    <n v="6"/>
    <n v="7269"/>
  </r>
  <r>
    <x v="12"/>
    <x v="274"/>
    <x v="3"/>
    <s v=" 1411.0"/>
    <n v="6"/>
    <n v="1411"/>
  </r>
  <r>
    <x v="12"/>
    <x v="274"/>
    <x v="4"/>
    <s v=" 4650.0"/>
    <n v="6"/>
    <n v="4650"/>
  </r>
  <r>
    <x v="12"/>
    <x v="274"/>
    <x v="5"/>
    <s v=" 1208.0"/>
    <n v="6"/>
    <n v="1208"/>
  </r>
  <r>
    <x v="12"/>
    <x v="275"/>
    <x v="0"/>
    <s v=" 8868.0"/>
    <n v="6"/>
    <n v="8868"/>
  </r>
  <r>
    <x v="12"/>
    <x v="275"/>
    <x v="1"/>
    <s v=" 9343.0"/>
    <n v="6"/>
    <n v="9343"/>
  </r>
  <r>
    <x v="12"/>
    <x v="275"/>
    <x v="2"/>
    <s v=" 18211.0"/>
    <n v="7"/>
    <n v="18211"/>
  </r>
  <r>
    <x v="12"/>
    <x v="275"/>
    <x v="3"/>
    <s v=" 3273.0"/>
    <n v="6"/>
    <n v="3273"/>
  </r>
  <r>
    <x v="12"/>
    <x v="275"/>
    <x v="4"/>
    <s v=" 11332.0"/>
    <n v="7"/>
    <n v="11332"/>
  </r>
  <r>
    <x v="12"/>
    <x v="275"/>
    <x v="5"/>
    <s v=" 3606.0"/>
    <n v="6"/>
    <n v="3606"/>
  </r>
  <r>
    <x v="12"/>
    <x v="276"/>
    <x v="0"/>
    <s v=" 5560.0"/>
    <n v="6"/>
    <n v="5560"/>
  </r>
  <r>
    <x v="12"/>
    <x v="276"/>
    <x v="1"/>
    <s v=" 5549.0"/>
    <n v="6"/>
    <n v="5549"/>
  </r>
  <r>
    <x v="12"/>
    <x v="276"/>
    <x v="2"/>
    <s v=" 11109.0"/>
    <n v="7"/>
    <n v="11109"/>
  </r>
  <r>
    <x v="12"/>
    <x v="276"/>
    <x v="3"/>
    <s v=" 2221.0"/>
    <n v="6"/>
    <n v="2221"/>
  </r>
  <r>
    <x v="12"/>
    <x v="276"/>
    <x v="4"/>
    <s v=" 7135.0"/>
    <n v="6"/>
    <n v="7135"/>
  </r>
  <r>
    <x v="12"/>
    <x v="276"/>
    <x v="5"/>
    <s v=" 1753.0"/>
    <n v="6"/>
    <n v="1753"/>
  </r>
  <r>
    <x v="12"/>
    <x v="277"/>
    <x v="0"/>
    <s v=" 20404.0"/>
    <n v="7"/>
    <n v="20404"/>
  </r>
  <r>
    <x v="12"/>
    <x v="277"/>
    <x v="1"/>
    <s v=" 21480.0"/>
    <n v="7"/>
    <n v="21480"/>
  </r>
  <r>
    <x v="12"/>
    <x v="277"/>
    <x v="2"/>
    <s v=" 41884.0"/>
    <n v="7"/>
    <n v="41884"/>
  </r>
  <r>
    <x v="12"/>
    <x v="277"/>
    <x v="3"/>
    <s v=" 8480.0"/>
    <n v="6"/>
    <n v="8480"/>
  </r>
  <r>
    <x v="12"/>
    <x v="277"/>
    <x v="4"/>
    <s v=" 27270.0"/>
    <n v="7"/>
    <n v="27270"/>
  </r>
  <r>
    <x v="12"/>
    <x v="277"/>
    <x v="5"/>
    <s v=" 6134.0"/>
    <n v="6"/>
    <n v="6134"/>
  </r>
  <r>
    <x v="12"/>
    <x v="278"/>
    <x v="0"/>
    <s v=" 6242.0"/>
    <n v="6"/>
    <n v="6242"/>
  </r>
  <r>
    <x v="12"/>
    <x v="278"/>
    <x v="1"/>
    <s v=" 6405.0"/>
    <n v="6"/>
    <n v="6405"/>
  </r>
  <r>
    <x v="12"/>
    <x v="278"/>
    <x v="2"/>
    <s v=" 12647.0"/>
    <n v="7"/>
    <n v="12647"/>
  </r>
  <r>
    <x v="12"/>
    <x v="278"/>
    <x v="3"/>
    <s v=" 2616.0"/>
    <n v="6"/>
    <n v="2616"/>
  </r>
  <r>
    <x v="12"/>
    <x v="278"/>
    <x v="4"/>
    <s v=" 7800.0"/>
    <n v="6"/>
    <n v="7800"/>
  </r>
  <r>
    <x v="12"/>
    <x v="278"/>
    <x v="5"/>
    <s v=" 2231.0"/>
    <n v="6"/>
    <n v="2231"/>
  </r>
  <r>
    <x v="12"/>
    <x v="279"/>
    <x v="0"/>
    <s v=" 16005.0"/>
    <n v="7"/>
    <n v="16005"/>
  </r>
  <r>
    <x v="12"/>
    <x v="279"/>
    <x v="1"/>
    <s v=" 16737.0"/>
    <n v="7"/>
    <n v="16737"/>
  </r>
  <r>
    <x v="12"/>
    <x v="279"/>
    <x v="2"/>
    <s v=" 32742.0"/>
    <n v="7"/>
    <n v="32742"/>
  </r>
  <r>
    <x v="12"/>
    <x v="279"/>
    <x v="3"/>
    <s v=" 6724.0"/>
    <n v="6"/>
    <n v="6724"/>
  </r>
  <r>
    <x v="12"/>
    <x v="279"/>
    <x v="4"/>
    <s v=" 21336.0"/>
    <n v="7"/>
    <n v="21336"/>
  </r>
  <r>
    <x v="12"/>
    <x v="279"/>
    <x v="5"/>
    <s v=" 4682.0"/>
    <n v="6"/>
    <n v="4682"/>
  </r>
  <r>
    <x v="12"/>
    <x v="280"/>
    <x v="0"/>
    <s v=" 12637.0"/>
    <n v="7"/>
    <n v="12637"/>
  </r>
  <r>
    <x v="12"/>
    <x v="280"/>
    <x v="1"/>
    <s v=" 12878.0"/>
    <n v="7"/>
    <n v="12878"/>
  </r>
  <r>
    <x v="12"/>
    <x v="280"/>
    <x v="2"/>
    <s v=" 25515.0"/>
    <n v="7"/>
    <n v="25515"/>
  </r>
  <r>
    <x v="12"/>
    <x v="280"/>
    <x v="3"/>
    <s v=" 4925.0"/>
    <n v="6"/>
    <n v="4925"/>
  </r>
  <r>
    <x v="12"/>
    <x v="280"/>
    <x v="4"/>
    <s v=" 15880.0"/>
    <n v="7"/>
    <n v="15880"/>
  </r>
  <r>
    <x v="12"/>
    <x v="280"/>
    <x v="5"/>
    <s v=" 4710.0"/>
    <n v="6"/>
    <n v="4710"/>
  </r>
  <r>
    <x v="12"/>
    <x v="281"/>
    <x v="0"/>
    <s v=" 149603.0"/>
    <n v="8"/>
    <n v="149603"/>
  </r>
  <r>
    <x v="12"/>
    <x v="281"/>
    <x v="1"/>
    <s v=" 160093.0"/>
    <n v="8"/>
    <n v="160093"/>
  </r>
  <r>
    <x v="12"/>
    <x v="281"/>
    <x v="2"/>
    <s v=" 309696.0"/>
    <n v="8"/>
    <n v="309696"/>
  </r>
  <r>
    <x v="12"/>
    <x v="281"/>
    <x v="3"/>
    <s v=" 55783.0"/>
    <n v="7"/>
    <n v="55783"/>
  </r>
  <r>
    <x v="12"/>
    <x v="281"/>
    <x v="4"/>
    <s v=" 212401.0"/>
    <n v="8"/>
    <n v="212401"/>
  </r>
  <r>
    <x v="12"/>
    <x v="281"/>
    <x v="5"/>
    <s v=" 41512.0"/>
    <n v="7"/>
    <n v="41512"/>
  </r>
  <r>
    <x v="12"/>
    <x v="282"/>
    <x v="0"/>
    <s v=" 16683.0"/>
    <n v="7"/>
    <n v="16683"/>
  </r>
  <r>
    <x v="12"/>
    <x v="282"/>
    <x v="1"/>
    <s v=" 17468.0"/>
    <n v="7"/>
    <n v="17468"/>
  </r>
  <r>
    <x v="12"/>
    <x v="282"/>
    <x v="2"/>
    <s v=" 34151.0"/>
    <n v="7"/>
    <n v="34151"/>
  </r>
  <r>
    <x v="12"/>
    <x v="282"/>
    <x v="3"/>
    <s v=" 6706.0"/>
    <n v="6"/>
    <n v="6706"/>
  </r>
  <r>
    <x v="12"/>
    <x v="282"/>
    <x v="4"/>
    <s v=" 21461.0"/>
    <n v="7"/>
    <n v="21461"/>
  </r>
  <r>
    <x v="12"/>
    <x v="282"/>
    <x v="5"/>
    <s v=" 5984.0"/>
    <n v="6"/>
    <n v="5984"/>
  </r>
  <r>
    <x v="12"/>
    <x v="283"/>
    <x v="0"/>
    <s v=" 41561.0"/>
    <n v="7"/>
    <n v="41561"/>
  </r>
  <r>
    <x v="12"/>
    <x v="283"/>
    <x v="1"/>
    <s v=" 43812.0"/>
    <n v="7"/>
    <n v="43812"/>
  </r>
  <r>
    <x v="12"/>
    <x v="283"/>
    <x v="2"/>
    <s v=" 85373.0"/>
    <n v="7"/>
    <n v="85373"/>
  </r>
  <r>
    <x v="12"/>
    <x v="283"/>
    <x v="3"/>
    <s v=" 17937.0"/>
    <n v="7"/>
    <n v="17937"/>
  </r>
  <r>
    <x v="12"/>
    <x v="283"/>
    <x v="4"/>
    <s v=" 57044.0"/>
    <n v="7"/>
    <n v="57044"/>
  </r>
  <r>
    <x v="12"/>
    <x v="283"/>
    <x v="5"/>
    <s v=" 10392.0"/>
    <n v="7"/>
    <n v="10392"/>
  </r>
  <r>
    <x v="12"/>
    <x v="284"/>
    <x v="0"/>
    <s v=" 6234.0"/>
    <n v="6"/>
    <n v="6234"/>
  </r>
  <r>
    <x v="12"/>
    <x v="284"/>
    <x v="1"/>
    <s v=" 6426.0"/>
    <n v="6"/>
    <n v="6426"/>
  </r>
  <r>
    <x v="12"/>
    <x v="284"/>
    <x v="2"/>
    <s v=" 12660.0"/>
    <n v="7"/>
    <n v="12660"/>
  </r>
  <r>
    <x v="12"/>
    <x v="284"/>
    <x v="3"/>
    <s v=" 2458.0"/>
    <n v="6"/>
    <n v="2458"/>
  </r>
  <r>
    <x v="12"/>
    <x v="284"/>
    <x v="4"/>
    <s v=" 7679.0"/>
    <n v="6"/>
    <n v="7679"/>
  </r>
  <r>
    <x v="12"/>
    <x v="284"/>
    <x v="5"/>
    <s v=" 2523.0"/>
    <n v="6"/>
    <n v="2523"/>
  </r>
  <r>
    <x v="12"/>
    <x v="285"/>
    <x v="0"/>
    <s v=" 3132.0"/>
    <n v="6"/>
    <n v="3132"/>
  </r>
  <r>
    <x v="12"/>
    <x v="285"/>
    <x v="1"/>
    <s v=" 3187.0"/>
    <n v="6"/>
    <n v="3187"/>
  </r>
  <r>
    <x v="12"/>
    <x v="285"/>
    <x v="2"/>
    <s v=" 6319.0"/>
    <n v="6"/>
    <n v="6319"/>
  </r>
  <r>
    <x v="12"/>
    <x v="285"/>
    <x v="3"/>
    <s v=" 1132.0"/>
    <n v="6"/>
    <n v="1132"/>
  </r>
  <r>
    <x v="12"/>
    <x v="285"/>
    <x v="4"/>
    <s v=" 3830.0"/>
    <n v="6"/>
    <n v="3830"/>
  </r>
  <r>
    <x v="12"/>
    <x v="285"/>
    <x v="5"/>
    <s v=" 1357.0"/>
    <n v="6"/>
    <n v="1357"/>
  </r>
  <r>
    <x v="12"/>
    <x v="286"/>
    <x v="0"/>
    <s v=" 8973.0"/>
    <n v="6"/>
    <n v="8973"/>
  </r>
  <r>
    <x v="12"/>
    <x v="286"/>
    <x v="1"/>
    <s v=" 9095.0"/>
    <n v="6"/>
    <n v="9095"/>
  </r>
  <r>
    <x v="12"/>
    <x v="286"/>
    <x v="2"/>
    <s v=" 18068.0"/>
    <n v="7"/>
    <n v="18068"/>
  </r>
  <r>
    <x v="12"/>
    <x v="286"/>
    <x v="3"/>
    <s v=" 3139.0"/>
    <n v="6"/>
    <n v="3139"/>
  </r>
  <r>
    <x v="12"/>
    <x v="286"/>
    <x v="4"/>
    <s v=" 11070.0"/>
    <n v="7"/>
    <n v="11070"/>
  </r>
  <r>
    <x v="12"/>
    <x v="286"/>
    <x v="5"/>
    <s v=" 3859.0"/>
    <n v="6"/>
    <n v="3859"/>
  </r>
  <r>
    <x v="12"/>
    <x v="287"/>
    <x v="0"/>
    <s v=" 12669.0"/>
    <n v="7"/>
    <n v="12669"/>
  </r>
  <r>
    <x v="12"/>
    <x v="287"/>
    <x v="1"/>
    <s v=" 12819.0"/>
    <n v="7"/>
    <n v="12819"/>
  </r>
  <r>
    <x v="12"/>
    <x v="287"/>
    <x v="2"/>
    <s v=" 25488.0"/>
    <n v="7"/>
    <n v="25488"/>
  </r>
  <r>
    <x v="12"/>
    <x v="287"/>
    <x v="3"/>
    <s v=" 4545.0"/>
    <n v="6"/>
    <n v="4545"/>
  </r>
  <r>
    <x v="12"/>
    <x v="287"/>
    <x v="4"/>
    <s v=" 16459.0"/>
    <n v="7"/>
    <n v="16459"/>
  </r>
  <r>
    <x v="12"/>
    <x v="287"/>
    <x v="5"/>
    <s v=" 4484.0"/>
    <n v="6"/>
    <n v="4484"/>
  </r>
  <r>
    <x v="12"/>
    <x v="288"/>
    <x v="0"/>
    <s v=" 12910.0"/>
    <n v="7"/>
    <n v="12910"/>
  </r>
  <r>
    <x v="12"/>
    <x v="288"/>
    <x v="1"/>
    <s v=" 13707.0"/>
    <n v="7"/>
    <n v="13707"/>
  </r>
  <r>
    <x v="12"/>
    <x v="288"/>
    <x v="2"/>
    <s v=" 26617.0"/>
    <n v="7"/>
    <n v="26617"/>
  </r>
  <r>
    <x v="12"/>
    <x v="288"/>
    <x v="3"/>
    <s v=" 4776.0"/>
    <n v="6"/>
    <n v="4776"/>
  </r>
  <r>
    <x v="12"/>
    <x v="288"/>
    <x v="4"/>
    <s v=" 16872.0"/>
    <n v="7"/>
    <n v="16872"/>
  </r>
  <r>
    <x v="12"/>
    <x v="288"/>
    <x v="5"/>
    <s v=" 4969.0"/>
    <n v="6"/>
    <n v="4969"/>
  </r>
  <r>
    <x v="12"/>
    <x v="289"/>
    <x v="0"/>
    <s v=" 7802.0"/>
    <n v="6"/>
    <n v="7802"/>
  </r>
  <r>
    <x v="12"/>
    <x v="289"/>
    <x v="1"/>
    <s v=" 7942.0"/>
    <n v="6"/>
    <n v="7942"/>
  </r>
  <r>
    <x v="12"/>
    <x v="289"/>
    <x v="2"/>
    <s v=" 15744.0"/>
    <n v="7"/>
    <n v="15744"/>
  </r>
  <r>
    <x v="12"/>
    <x v="289"/>
    <x v="3"/>
    <s v=" 2825.0"/>
    <n v="6"/>
    <n v="2825"/>
  </r>
  <r>
    <x v="12"/>
    <x v="289"/>
    <x v="4"/>
    <s v=" 9685.0"/>
    <n v="6"/>
    <n v="9685"/>
  </r>
  <r>
    <x v="12"/>
    <x v="289"/>
    <x v="5"/>
    <s v=" 3234.0"/>
    <n v="6"/>
    <n v="3234"/>
  </r>
  <r>
    <x v="12"/>
    <x v="290"/>
    <x v="0"/>
    <s v=" 7359.0"/>
    <n v="6"/>
    <n v="7359"/>
  </r>
  <r>
    <x v="12"/>
    <x v="290"/>
    <x v="1"/>
    <s v=" 7717.0"/>
    <n v="6"/>
    <n v="7717"/>
  </r>
  <r>
    <x v="12"/>
    <x v="290"/>
    <x v="2"/>
    <s v=" 15076.0"/>
    <n v="7"/>
    <n v="15076"/>
  </r>
  <r>
    <x v="12"/>
    <x v="290"/>
    <x v="3"/>
    <s v=" 2447.0"/>
    <n v="6"/>
    <n v="2447"/>
  </r>
  <r>
    <x v="12"/>
    <x v="290"/>
    <x v="4"/>
    <s v=" 9535.0"/>
    <n v="6"/>
    <n v="9535"/>
  </r>
  <r>
    <x v="12"/>
    <x v="290"/>
    <x v="5"/>
    <s v=" 3094.0"/>
    <n v="6"/>
    <n v="3094"/>
  </r>
  <r>
    <x v="12"/>
    <x v="291"/>
    <x v="0"/>
    <s v=" 4949.0"/>
    <n v="6"/>
    <n v="4949"/>
  </r>
  <r>
    <x v="12"/>
    <x v="291"/>
    <x v="1"/>
    <s v=" 4988.0"/>
    <n v="6"/>
    <n v="4988"/>
  </r>
  <r>
    <x v="12"/>
    <x v="291"/>
    <x v="2"/>
    <s v=" 9937.0"/>
    <n v="6"/>
    <n v="9937"/>
  </r>
  <r>
    <x v="12"/>
    <x v="291"/>
    <x v="3"/>
    <s v=" 1831.0"/>
    <n v="6"/>
    <n v="1831"/>
  </r>
  <r>
    <x v="12"/>
    <x v="291"/>
    <x v="4"/>
    <s v=" 6190.0"/>
    <n v="6"/>
    <n v="6190"/>
  </r>
  <r>
    <x v="12"/>
    <x v="291"/>
    <x v="5"/>
    <s v=" 1916.0"/>
    <n v="6"/>
    <n v="1916"/>
  </r>
  <r>
    <x v="12"/>
    <x v="292"/>
    <x v="0"/>
    <s v=" 15107.0"/>
    <n v="7"/>
    <n v="15107"/>
  </r>
  <r>
    <x v="12"/>
    <x v="292"/>
    <x v="1"/>
    <s v=" 15605.0"/>
    <n v="7"/>
    <n v="15605"/>
  </r>
  <r>
    <x v="12"/>
    <x v="292"/>
    <x v="2"/>
    <s v=" 30712.0"/>
    <n v="7"/>
    <n v="30712"/>
  </r>
  <r>
    <x v="12"/>
    <x v="292"/>
    <x v="3"/>
    <s v=" 6101.0"/>
    <n v="6"/>
    <n v="6101"/>
  </r>
  <r>
    <x v="12"/>
    <x v="292"/>
    <x v="4"/>
    <s v=" 20539.0"/>
    <n v="7"/>
    <n v="20539"/>
  </r>
  <r>
    <x v="12"/>
    <x v="292"/>
    <x v="5"/>
    <s v=" 4072.0"/>
    <n v="6"/>
    <n v="4072"/>
  </r>
  <r>
    <x v="12"/>
    <x v="293"/>
    <x v="0"/>
    <s v=" 29710.0"/>
    <n v="7"/>
    <n v="29710"/>
  </r>
  <r>
    <x v="12"/>
    <x v="293"/>
    <x v="1"/>
    <s v=" 30965.0"/>
    <n v="7"/>
    <n v="30965"/>
  </r>
  <r>
    <x v="12"/>
    <x v="293"/>
    <x v="2"/>
    <s v=" 60675.0"/>
    <n v="7"/>
    <n v="60675"/>
  </r>
  <r>
    <x v="12"/>
    <x v="293"/>
    <x v="3"/>
    <s v=" 11900.0"/>
    <n v="7"/>
    <n v="11900"/>
  </r>
  <r>
    <x v="12"/>
    <x v="293"/>
    <x v="4"/>
    <s v=" 39731.0"/>
    <n v="7"/>
    <n v="39731"/>
  </r>
  <r>
    <x v="12"/>
    <x v="293"/>
    <x v="5"/>
    <s v=" 9044.0"/>
    <n v="6"/>
    <n v="9044"/>
  </r>
  <r>
    <x v="12"/>
    <x v="294"/>
    <x v="0"/>
    <s v=" 3936.0"/>
    <n v="6"/>
    <n v="3936"/>
  </r>
  <r>
    <x v="12"/>
    <x v="294"/>
    <x v="1"/>
    <s v=" 3937.0"/>
    <n v="6"/>
    <n v="3937"/>
  </r>
  <r>
    <x v="12"/>
    <x v="294"/>
    <x v="2"/>
    <s v=" 7873.0"/>
    <n v="6"/>
    <n v="7873"/>
  </r>
  <r>
    <x v="12"/>
    <x v="294"/>
    <x v="3"/>
    <s v=" 1670.0"/>
    <n v="6"/>
    <n v="1670"/>
  </r>
  <r>
    <x v="12"/>
    <x v="294"/>
    <x v="4"/>
    <s v=" 4968.0"/>
    <n v="6"/>
    <n v="4968"/>
  </r>
  <r>
    <x v="12"/>
    <x v="294"/>
    <x v="5"/>
    <s v=" 1235.0"/>
    <n v="6"/>
    <n v="1235"/>
  </r>
  <r>
    <x v="12"/>
    <x v="295"/>
    <x v="0"/>
    <s v=" 12152.0"/>
    <n v="7"/>
    <n v="12152"/>
  </r>
  <r>
    <x v="12"/>
    <x v="295"/>
    <x v="1"/>
    <s v=" 12633.0"/>
    <n v="7"/>
    <n v="12633"/>
  </r>
  <r>
    <x v="12"/>
    <x v="295"/>
    <x v="2"/>
    <s v=" 24785.0"/>
    <n v="7"/>
    <n v="24785"/>
  </r>
  <r>
    <x v="12"/>
    <x v="295"/>
    <x v="3"/>
    <s v=" 4732.0"/>
    <n v="6"/>
    <n v="4732"/>
  </r>
  <r>
    <x v="12"/>
    <x v="295"/>
    <x v="4"/>
    <s v=" 15557.0"/>
    <n v="7"/>
    <n v="15557"/>
  </r>
  <r>
    <x v="12"/>
    <x v="295"/>
    <x v="5"/>
    <s v=" 4496.0"/>
    <n v="6"/>
    <n v="4496"/>
  </r>
  <r>
    <x v="13"/>
    <x v="296"/>
    <x v="0"/>
    <s v=" 201540.0"/>
    <n v="8"/>
    <n v="201540"/>
  </r>
  <r>
    <x v="13"/>
    <x v="296"/>
    <x v="1"/>
    <s v=" 211246.0"/>
    <n v="8"/>
    <n v="211246"/>
  </r>
  <r>
    <x v="13"/>
    <x v="296"/>
    <x v="2"/>
    <s v=" 412786.0"/>
    <n v="8"/>
    <n v="412786"/>
  </r>
  <r>
    <x v="13"/>
    <x v="296"/>
    <x v="3"/>
    <s v=" 73654.0"/>
    <n v="7"/>
    <n v="73654"/>
  </r>
  <r>
    <x v="13"/>
    <x v="296"/>
    <x v="4"/>
    <s v=" 275126.0"/>
    <n v="8"/>
    <n v="275126"/>
  </r>
  <r>
    <x v="13"/>
    <x v="296"/>
    <x v="5"/>
    <s v=" 64006.0"/>
    <n v="7"/>
    <n v="64006"/>
  </r>
  <r>
    <x v="13"/>
    <x v="297"/>
    <x v="0"/>
    <s v=" 11762.0"/>
    <n v="7"/>
    <n v="11762"/>
  </r>
  <r>
    <x v="13"/>
    <x v="297"/>
    <x v="1"/>
    <s v=" 12244.0"/>
    <n v="7"/>
    <n v="12244"/>
  </r>
  <r>
    <x v="13"/>
    <x v="297"/>
    <x v="2"/>
    <s v=" 24006.0"/>
    <n v="7"/>
    <n v="24006"/>
  </r>
  <r>
    <x v="13"/>
    <x v="297"/>
    <x v="3"/>
    <s v=" 5030.0"/>
    <n v="6"/>
    <n v="5030"/>
  </r>
  <r>
    <x v="13"/>
    <x v="297"/>
    <x v="4"/>
    <s v=" 15392.0"/>
    <n v="7"/>
    <n v="15392"/>
  </r>
  <r>
    <x v="13"/>
    <x v="297"/>
    <x v="5"/>
    <s v=" 3584.0"/>
    <n v="6"/>
    <n v="3584"/>
  </r>
  <r>
    <x v="13"/>
    <x v="298"/>
    <x v="0"/>
    <s v=" 8815.0"/>
    <n v="6"/>
    <n v="8815"/>
  </r>
  <r>
    <x v="13"/>
    <x v="298"/>
    <x v="1"/>
    <s v=" 9235.0"/>
    <n v="6"/>
    <n v="9235"/>
  </r>
  <r>
    <x v="13"/>
    <x v="298"/>
    <x v="2"/>
    <s v=" 18050.0"/>
    <n v="7"/>
    <n v="18050"/>
  </r>
  <r>
    <x v="13"/>
    <x v="298"/>
    <x v="3"/>
    <s v=" 3503.0"/>
    <n v="6"/>
    <n v="3503"/>
  </r>
  <r>
    <x v="13"/>
    <x v="298"/>
    <x v="4"/>
    <s v=" 11591.0"/>
    <n v="7"/>
    <n v="11591"/>
  </r>
  <r>
    <x v="13"/>
    <x v="298"/>
    <x v="5"/>
    <s v=" 2956.0"/>
    <n v="6"/>
    <n v="2956"/>
  </r>
  <r>
    <x v="13"/>
    <x v="299"/>
    <x v="0"/>
    <s v=" 17872.0"/>
    <n v="7"/>
    <n v="17872"/>
  </r>
  <r>
    <x v="13"/>
    <x v="299"/>
    <x v="1"/>
    <s v=" 18348.0"/>
    <n v="7"/>
    <n v="18348"/>
  </r>
  <r>
    <x v="13"/>
    <x v="299"/>
    <x v="2"/>
    <s v=" 36220.0"/>
    <n v="7"/>
    <n v="36220"/>
  </r>
  <r>
    <x v="13"/>
    <x v="299"/>
    <x v="3"/>
    <s v=" 6871.0"/>
    <n v="6"/>
    <n v="6871"/>
  </r>
  <r>
    <x v="13"/>
    <x v="299"/>
    <x v="4"/>
    <s v=" 23607.0"/>
    <n v="7"/>
    <n v="23607"/>
  </r>
  <r>
    <x v="13"/>
    <x v="299"/>
    <x v="5"/>
    <s v=" 5742.0"/>
    <n v="6"/>
    <n v="5742"/>
  </r>
  <r>
    <x v="13"/>
    <x v="300"/>
    <x v="0"/>
    <s v=" 3627.0"/>
    <n v="6"/>
    <n v="3627"/>
  </r>
  <r>
    <x v="13"/>
    <x v="300"/>
    <x v="1"/>
    <s v=" 3748.0"/>
    <n v="6"/>
    <n v="3748"/>
  </r>
  <r>
    <x v="13"/>
    <x v="300"/>
    <x v="2"/>
    <s v=" 7375.0"/>
    <n v="6"/>
    <n v="7375"/>
  </r>
  <r>
    <x v="13"/>
    <x v="300"/>
    <x v="3"/>
    <s v=" 1399.0"/>
    <n v="6"/>
    <n v="1399"/>
  </r>
  <r>
    <x v="13"/>
    <x v="300"/>
    <x v="4"/>
    <s v=" 4697.0"/>
    <n v="6"/>
    <n v="4697"/>
  </r>
  <r>
    <x v="13"/>
    <x v="300"/>
    <x v="5"/>
    <s v=" 1279.0"/>
    <n v="6"/>
    <n v="1279"/>
  </r>
  <r>
    <x v="13"/>
    <x v="301"/>
    <x v="0"/>
    <s v=" 88028.0"/>
    <n v="7"/>
    <n v="88028"/>
  </r>
  <r>
    <x v="13"/>
    <x v="301"/>
    <x v="1"/>
    <s v=" 94058.0"/>
    <n v="7"/>
    <n v="94058"/>
  </r>
  <r>
    <x v="13"/>
    <x v="301"/>
    <x v="2"/>
    <s v=" 182086.0"/>
    <n v="8"/>
    <n v="182086"/>
  </r>
  <r>
    <x v="13"/>
    <x v="301"/>
    <x v="3"/>
    <s v=" 30588.0"/>
    <n v="7"/>
    <n v="30588"/>
  </r>
  <r>
    <x v="13"/>
    <x v="301"/>
    <x v="4"/>
    <s v=" 126057.0"/>
    <n v="8"/>
    <n v="126057"/>
  </r>
  <r>
    <x v="13"/>
    <x v="301"/>
    <x v="5"/>
    <s v=" 25441.0"/>
    <n v="7"/>
    <n v="25441"/>
  </r>
  <r>
    <x v="13"/>
    <x v="302"/>
    <x v="0"/>
    <s v=" 10148.0"/>
    <n v="7"/>
    <n v="10148"/>
  </r>
  <r>
    <x v="13"/>
    <x v="302"/>
    <x v="1"/>
    <s v=" 10372.0"/>
    <n v="7"/>
    <n v="10372"/>
  </r>
  <r>
    <x v="13"/>
    <x v="302"/>
    <x v="2"/>
    <s v=" 20520.0"/>
    <n v="7"/>
    <n v="20520"/>
  </r>
  <r>
    <x v="13"/>
    <x v="302"/>
    <x v="3"/>
    <s v=" 3837.0"/>
    <n v="6"/>
    <n v="3837"/>
  </r>
  <r>
    <x v="13"/>
    <x v="302"/>
    <x v="4"/>
    <s v=" 13400.0"/>
    <n v="7"/>
    <n v="13400"/>
  </r>
  <r>
    <x v="13"/>
    <x v="302"/>
    <x v="5"/>
    <s v=" 3283.0"/>
    <n v="6"/>
    <n v="3283"/>
  </r>
  <r>
    <x v="13"/>
    <x v="303"/>
    <x v="0"/>
    <s v=" 2688.0"/>
    <n v="6"/>
    <n v="2688"/>
  </r>
  <r>
    <x v="13"/>
    <x v="303"/>
    <x v="1"/>
    <s v=" 2736.0"/>
    <n v="6"/>
    <n v="2736"/>
  </r>
  <r>
    <x v="13"/>
    <x v="303"/>
    <x v="2"/>
    <s v=" 5424.0"/>
    <n v="6"/>
    <n v="5424"/>
  </r>
  <r>
    <x v="13"/>
    <x v="303"/>
    <x v="3"/>
    <s v=" 896.0"/>
    <n v="5"/>
    <n v="896"/>
  </r>
  <r>
    <x v="13"/>
    <x v="303"/>
    <x v="4"/>
    <s v=" 3484.0"/>
    <n v="6"/>
    <n v="3484"/>
  </r>
  <r>
    <x v="13"/>
    <x v="303"/>
    <x v="5"/>
    <s v=" 1044.0"/>
    <n v="6"/>
    <n v="1044"/>
  </r>
  <r>
    <x v="13"/>
    <x v="304"/>
    <x v="0"/>
    <s v=" 10275.0"/>
    <n v="7"/>
    <n v="10275"/>
  </r>
  <r>
    <x v="13"/>
    <x v="304"/>
    <x v="1"/>
    <s v=" 10667.0"/>
    <n v="7"/>
    <n v="10667"/>
  </r>
  <r>
    <x v="13"/>
    <x v="304"/>
    <x v="2"/>
    <s v=" 20942.0"/>
    <n v="7"/>
    <n v="20942"/>
  </r>
  <r>
    <x v="13"/>
    <x v="304"/>
    <x v="3"/>
    <s v=" 3856.0"/>
    <n v="6"/>
    <n v="3856"/>
  </r>
  <r>
    <x v="13"/>
    <x v="304"/>
    <x v="4"/>
    <s v=" 13516.0"/>
    <n v="7"/>
    <n v="13516"/>
  </r>
  <r>
    <x v="13"/>
    <x v="304"/>
    <x v="5"/>
    <s v=" 3570.0"/>
    <n v="6"/>
    <n v="3570"/>
  </r>
  <r>
    <x v="13"/>
    <x v="305"/>
    <x v="0"/>
    <s v=" 7478.0"/>
    <n v="6"/>
    <n v="7478"/>
  </r>
  <r>
    <x v="13"/>
    <x v="305"/>
    <x v="1"/>
    <s v=" 7710.0"/>
    <n v="6"/>
    <n v="7710"/>
  </r>
  <r>
    <x v="13"/>
    <x v="305"/>
    <x v="2"/>
    <s v=" 15188.0"/>
    <n v="7"/>
    <n v="15188"/>
  </r>
  <r>
    <x v="13"/>
    <x v="305"/>
    <x v="3"/>
    <s v=" 3026.0"/>
    <n v="6"/>
    <n v="3026"/>
  </r>
  <r>
    <x v="13"/>
    <x v="305"/>
    <x v="4"/>
    <s v=" 9876.0"/>
    <n v="6"/>
    <n v="9876"/>
  </r>
  <r>
    <x v="13"/>
    <x v="305"/>
    <x v="5"/>
    <s v=" 2286.0"/>
    <n v="6"/>
    <n v="2286"/>
  </r>
  <r>
    <x v="13"/>
    <x v="306"/>
    <x v="0"/>
    <s v=" 19469.0"/>
    <n v="7"/>
    <n v="19469"/>
  </r>
  <r>
    <x v="13"/>
    <x v="306"/>
    <x v="1"/>
    <s v=" 20236.0"/>
    <n v="7"/>
    <n v="20236"/>
  </r>
  <r>
    <x v="13"/>
    <x v="306"/>
    <x v="2"/>
    <s v=" 39705.0"/>
    <n v="7"/>
    <n v="39705"/>
  </r>
  <r>
    <x v="13"/>
    <x v="306"/>
    <x v="3"/>
    <s v=" 7132.0"/>
    <n v="6"/>
    <n v="7132"/>
  </r>
  <r>
    <x v="13"/>
    <x v="306"/>
    <x v="4"/>
    <s v=" 25655.0"/>
    <n v="7"/>
    <n v="25655"/>
  </r>
  <r>
    <x v="13"/>
    <x v="306"/>
    <x v="5"/>
    <s v=" 6918.0"/>
    <n v="6"/>
    <n v="6918"/>
  </r>
  <r>
    <x v="13"/>
    <x v="307"/>
    <x v="0"/>
    <s v=" 5126.0"/>
    <n v="6"/>
    <n v="5126"/>
  </r>
  <r>
    <x v="13"/>
    <x v="307"/>
    <x v="1"/>
    <s v=" 5146.0"/>
    <n v="6"/>
    <n v="5146"/>
  </r>
  <r>
    <x v="13"/>
    <x v="307"/>
    <x v="2"/>
    <s v=" 10272.0"/>
    <n v="7"/>
    <n v="10272"/>
  </r>
  <r>
    <x v="13"/>
    <x v="307"/>
    <x v="3"/>
    <s v=" 1870.0"/>
    <n v="6"/>
    <n v="1870"/>
  </r>
  <r>
    <x v="13"/>
    <x v="307"/>
    <x v="4"/>
    <s v=" 6525.0"/>
    <n v="6"/>
    <n v="6525"/>
  </r>
  <r>
    <x v="13"/>
    <x v="307"/>
    <x v="5"/>
    <s v=" 1877.0"/>
    <n v="6"/>
    <n v="1877"/>
  </r>
  <r>
    <x v="13"/>
    <x v="308"/>
    <x v="0"/>
    <s v=" 16252.0"/>
    <n v="7"/>
    <n v="16252"/>
  </r>
  <r>
    <x v="13"/>
    <x v="308"/>
    <x v="1"/>
    <s v=" 16746.0"/>
    <n v="7"/>
    <n v="16746"/>
  </r>
  <r>
    <x v="13"/>
    <x v="308"/>
    <x v="2"/>
    <s v=" 32998.0"/>
    <n v="7"/>
    <n v="32998"/>
  </r>
  <r>
    <x v="13"/>
    <x v="308"/>
    <x v="3"/>
    <s v=" 5646.0"/>
    <n v="6"/>
    <n v="5646"/>
  </r>
  <r>
    <x v="13"/>
    <x v="308"/>
    <x v="4"/>
    <s v=" 21326.0"/>
    <n v="7"/>
    <n v="21326"/>
  </r>
  <r>
    <x v="13"/>
    <x v="308"/>
    <x v="5"/>
    <s v=" 6026.0"/>
    <n v="6"/>
    <n v="6026"/>
  </r>
  <r>
    <x v="14"/>
    <x v="309"/>
    <x v="0"/>
    <s v=" 453413.0"/>
    <n v="8"/>
    <n v="453413"/>
  </r>
  <r>
    <x v="14"/>
    <x v="309"/>
    <x v="1"/>
    <s v=" 458758.0"/>
    <n v="8"/>
    <n v="458758"/>
  </r>
  <r>
    <x v="14"/>
    <x v="309"/>
    <x v="2"/>
    <s v=" 912171.0"/>
    <n v="8"/>
    <n v="912171"/>
  </r>
  <r>
    <x v="14"/>
    <x v="309"/>
    <x v="3"/>
    <s v=" 165246.0"/>
    <n v="8"/>
    <n v="165246"/>
  </r>
  <r>
    <x v="14"/>
    <x v="309"/>
    <x v="4"/>
    <s v=" 619349.0"/>
    <n v="8"/>
    <n v="619349"/>
  </r>
  <r>
    <x v="14"/>
    <x v="309"/>
    <x v="5"/>
    <s v=" 127576.0"/>
    <n v="8"/>
    <n v="127576"/>
  </r>
  <r>
    <x v="14"/>
    <x v="310"/>
    <x v="0"/>
    <s v=" 5269.0"/>
    <n v="6"/>
    <n v="5269"/>
  </r>
  <r>
    <x v="14"/>
    <x v="310"/>
    <x v="1"/>
    <s v=" 5268.0"/>
    <n v="6"/>
    <n v="5268"/>
  </r>
  <r>
    <x v="14"/>
    <x v="310"/>
    <x v="2"/>
    <s v=" 10537.0"/>
    <n v="7"/>
    <n v="10537"/>
  </r>
  <r>
    <x v="14"/>
    <x v="310"/>
    <x v="3"/>
    <s v=" 1654.0"/>
    <n v="6"/>
    <n v="1654"/>
  </r>
  <r>
    <x v="14"/>
    <x v="310"/>
    <x v="4"/>
    <s v=" 6679.0"/>
    <n v="6"/>
    <n v="6679"/>
  </r>
  <r>
    <x v="14"/>
    <x v="310"/>
    <x v="5"/>
    <s v=" 2204.0"/>
    <n v="6"/>
    <n v="2204"/>
  </r>
  <r>
    <x v="14"/>
    <x v="311"/>
    <x v="0"/>
    <s v=" 86473.0"/>
    <n v="7"/>
    <n v="86473"/>
  </r>
  <r>
    <x v="14"/>
    <x v="311"/>
    <x v="1"/>
    <s v=" 89831.0"/>
    <n v="7"/>
    <n v="89831"/>
  </r>
  <r>
    <x v="14"/>
    <x v="311"/>
    <x v="2"/>
    <s v=" 176304.0"/>
    <n v="8"/>
    <n v="176304"/>
  </r>
  <r>
    <x v="14"/>
    <x v="311"/>
    <x v="3"/>
    <s v=" 31022.0"/>
    <n v="7"/>
    <n v="31022"/>
  </r>
  <r>
    <x v="14"/>
    <x v="311"/>
    <x v="4"/>
    <s v=" 119379.0"/>
    <n v="8"/>
    <n v="119379"/>
  </r>
  <r>
    <x v="14"/>
    <x v="311"/>
    <x v="5"/>
    <s v=" 25903.0"/>
    <n v="7"/>
    <n v="25903"/>
  </r>
  <r>
    <x v="14"/>
    <x v="312"/>
    <x v="0"/>
    <s v=" 3815.0"/>
    <n v="6"/>
    <n v="3815"/>
  </r>
  <r>
    <x v="14"/>
    <x v="312"/>
    <x v="1"/>
    <s v=" 3609.0"/>
    <n v="6"/>
    <n v="3609"/>
  </r>
  <r>
    <x v="14"/>
    <x v="312"/>
    <x v="2"/>
    <s v=" 7424.0"/>
    <n v="6"/>
    <n v="7424"/>
  </r>
  <r>
    <x v="14"/>
    <x v="312"/>
    <x v="3"/>
    <s v=" 1074.0"/>
    <n v="6"/>
    <n v="1074"/>
  </r>
  <r>
    <x v="14"/>
    <x v="312"/>
    <x v="4"/>
    <s v=" 4670.0"/>
    <n v="6"/>
    <n v="4670"/>
  </r>
  <r>
    <x v="14"/>
    <x v="312"/>
    <x v="5"/>
    <s v=" 1680.0"/>
    <n v="6"/>
    <n v="1680"/>
  </r>
  <r>
    <x v="14"/>
    <x v="313"/>
    <x v="0"/>
    <s v=" 5935.0"/>
    <n v="6"/>
    <n v="5935"/>
  </r>
  <r>
    <x v="14"/>
    <x v="313"/>
    <x v="1"/>
    <s v=" 5883.0"/>
    <n v="6"/>
    <n v="5883"/>
  </r>
  <r>
    <x v="14"/>
    <x v="313"/>
    <x v="2"/>
    <s v=" 11818.0"/>
    <n v="7"/>
    <n v="11818"/>
  </r>
  <r>
    <x v="14"/>
    <x v="313"/>
    <x v="3"/>
    <s v=" 1949.0"/>
    <n v="6"/>
    <n v="1949"/>
  </r>
  <r>
    <x v="14"/>
    <x v="313"/>
    <x v="4"/>
    <s v=" 7771.0"/>
    <n v="6"/>
    <n v="7771"/>
  </r>
  <r>
    <x v="14"/>
    <x v="313"/>
    <x v="5"/>
    <s v=" 2098.0"/>
    <n v="6"/>
    <n v="2098"/>
  </r>
  <r>
    <x v="14"/>
    <x v="314"/>
    <x v="0"/>
    <s v=" 7055.0"/>
    <n v="6"/>
    <n v="7055"/>
  </r>
  <r>
    <x v="14"/>
    <x v="314"/>
    <x v="1"/>
    <s v=" 7030.0"/>
    <n v="6"/>
    <n v="7030"/>
  </r>
  <r>
    <x v="14"/>
    <x v="314"/>
    <x v="2"/>
    <s v=" 14085.0"/>
    <n v="7"/>
    <n v="14085"/>
  </r>
  <r>
    <x v="14"/>
    <x v="314"/>
    <x v="3"/>
    <s v=" 2284.0"/>
    <n v="6"/>
    <n v="2284"/>
  </r>
  <r>
    <x v="14"/>
    <x v="314"/>
    <x v="4"/>
    <s v=" 9045.0"/>
    <n v="6"/>
    <n v="9045"/>
  </r>
  <r>
    <x v="14"/>
    <x v="314"/>
    <x v="5"/>
    <s v=" 2756.0"/>
    <n v="6"/>
    <n v="2756"/>
  </r>
  <r>
    <x v="14"/>
    <x v="315"/>
    <x v="0"/>
    <s v=" 10412.0"/>
    <n v="7"/>
    <n v="10412"/>
  </r>
  <r>
    <x v="14"/>
    <x v="315"/>
    <x v="1"/>
    <s v=" 10556.0"/>
    <n v="7"/>
    <n v="10556"/>
  </r>
  <r>
    <x v="14"/>
    <x v="315"/>
    <x v="2"/>
    <s v=" 20968.0"/>
    <n v="7"/>
    <n v="20968"/>
  </r>
  <r>
    <x v="14"/>
    <x v="315"/>
    <x v="3"/>
    <s v=" 3584.0"/>
    <n v="6"/>
    <n v="3584"/>
  </r>
  <r>
    <x v="14"/>
    <x v="315"/>
    <x v="4"/>
    <s v=" 13457.0"/>
    <n v="7"/>
    <n v="13457"/>
  </r>
  <r>
    <x v="14"/>
    <x v="315"/>
    <x v="5"/>
    <s v=" 3927.0"/>
    <n v="6"/>
    <n v="3927"/>
  </r>
  <r>
    <x v="14"/>
    <x v="316"/>
    <x v="0"/>
    <s v=" 4603.0"/>
    <n v="6"/>
    <n v="4603"/>
  </r>
  <r>
    <x v="14"/>
    <x v="316"/>
    <x v="1"/>
    <s v=" 4453.0"/>
    <n v="6"/>
    <n v="4453"/>
  </r>
  <r>
    <x v="14"/>
    <x v="316"/>
    <x v="2"/>
    <s v=" 9056.0"/>
    <n v="6"/>
    <n v="9056"/>
  </r>
  <r>
    <x v="14"/>
    <x v="316"/>
    <x v="3"/>
    <s v=" 1514.0"/>
    <n v="6"/>
    <n v="1514"/>
  </r>
  <r>
    <x v="14"/>
    <x v="316"/>
    <x v="4"/>
    <s v=" 6120.0"/>
    <n v="6"/>
    <n v="6120"/>
  </r>
  <r>
    <x v="14"/>
    <x v="316"/>
    <x v="5"/>
    <s v=" 1422.0"/>
    <n v="6"/>
    <n v="1422"/>
  </r>
  <r>
    <x v="14"/>
    <x v="317"/>
    <x v="0"/>
    <s v=" 10384.0"/>
    <n v="7"/>
    <n v="10384"/>
  </r>
  <r>
    <x v="14"/>
    <x v="317"/>
    <x v="1"/>
    <s v=" 10433.0"/>
    <n v="7"/>
    <n v="10433"/>
  </r>
  <r>
    <x v="14"/>
    <x v="317"/>
    <x v="2"/>
    <s v=" 20817.0"/>
    <n v="7"/>
    <n v="20817"/>
  </r>
  <r>
    <x v="14"/>
    <x v="317"/>
    <x v="3"/>
    <s v=" 3757.0"/>
    <n v="6"/>
    <n v="3757"/>
  </r>
  <r>
    <x v="14"/>
    <x v="317"/>
    <x v="4"/>
    <s v=" 13978.0"/>
    <n v="7"/>
    <n v="13978"/>
  </r>
  <r>
    <x v="14"/>
    <x v="317"/>
    <x v="5"/>
    <s v=" 3082.0"/>
    <n v="6"/>
    <n v="3082"/>
  </r>
  <r>
    <x v="14"/>
    <x v="318"/>
    <x v="0"/>
    <s v=" 6311.0"/>
    <n v="6"/>
    <n v="6311"/>
  </r>
  <r>
    <x v="14"/>
    <x v="318"/>
    <x v="1"/>
    <s v=" 6260.0"/>
    <n v="6"/>
    <n v="6260"/>
  </r>
  <r>
    <x v="14"/>
    <x v="318"/>
    <x v="2"/>
    <s v=" 12571.0"/>
    <n v="7"/>
    <n v="12571"/>
  </r>
  <r>
    <x v="14"/>
    <x v="318"/>
    <x v="3"/>
    <s v=" 2009.0"/>
    <n v="6"/>
    <n v="2009"/>
  </r>
  <r>
    <x v="14"/>
    <x v="318"/>
    <x v="4"/>
    <s v=" 8220.0"/>
    <n v="6"/>
    <n v="8220"/>
  </r>
  <r>
    <x v="14"/>
    <x v="318"/>
    <x v="5"/>
    <s v=" 2342.0"/>
    <n v="6"/>
    <n v="2342"/>
  </r>
  <r>
    <x v="14"/>
    <x v="319"/>
    <x v="0"/>
    <s v=" 9365.0"/>
    <n v="6"/>
    <n v="9365"/>
  </r>
  <r>
    <x v="14"/>
    <x v="319"/>
    <x v="1"/>
    <s v=" 9498.0"/>
    <n v="6"/>
    <n v="9498"/>
  </r>
  <r>
    <x v="14"/>
    <x v="319"/>
    <x v="2"/>
    <s v=" 18863.0"/>
    <n v="7"/>
    <n v="18863"/>
  </r>
  <r>
    <x v="14"/>
    <x v="319"/>
    <x v="3"/>
    <s v=" 3286.0"/>
    <n v="6"/>
    <n v="3286"/>
  </r>
  <r>
    <x v="14"/>
    <x v="319"/>
    <x v="4"/>
    <s v=" 12786.0"/>
    <n v="7"/>
    <n v="12786"/>
  </r>
  <r>
    <x v="14"/>
    <x v="319"/>
    <x v="5"/>
    <s v=" 2791.0"/>
    <n v="6"/>
    <n v="2791"/>
  </r>
  <r>
    <x v="14"/>
    <x v="320"/>
    <x v="0"/>
    <s v=" 25415.0"/>
    <n v="7"/>
    <n v="25415"/>
  </r>
  <r>
    <x v="14"/>
    <x v="320"/>
    <x v="1"/>
    <s v=" 25901.0"/>
    <n v="7"/>
    <n v="25901"/>
  </r>
  <r>
    <x v="14"/>
    <x v="320"/>
    <x v="2"/>
    <s v=" 51316.0"/>
    <n v="7"/>
    <n v="51316"/>
  </r>
  <r>
    <x v="14"/>
    <x v="320"/>
    <x v="3"/>
    <s v=" 9967.0"/>
    <n v="6"/>
    <n v="9967"/>
  </r>
  <r>
    <x v="14"/>
    <x v="320"/>
    <x v="4"/>
    <s v=" 35029.0"/>
    <n v="7"/>
    <n v="35029"/>
  </r>
  <r>
    <x v="14"/>
    <x v="320"/>
    <x v="5"/>
    <s v=" 6320.0"/>
    <n v="6"/>
    <n v="6320"/>
  </r>
  <r>
    <x v="14"/>
    <x v="321"/>
    <x v="0"/>
    <s v=" 8996.0"/>
    <n v="6"/>
    <n v="8996"/>
  </r>
  <r>
    <x v="14"/>
    <x v="321"/>
    <x v="1"/>
    <s v=" 8836.0"/>
    <n v="6"/>
    <n v="8836"/>
  </r>
  <r>
    <x v="14"/>
    <x v="321"/>
    <x v="2"/>
    <s v=" 17832.0"/>
    <n v="7"/>
    <n v="17832"/>
  </r>
  <r>
    <x v="14"/>
    <x v="321"/>
    <x v="3"/>
    <s v=" 3017.0"/>
    <n v="6"/>
    <n v="3017"/>
  </r>
  <r>
    <x v="14"/>
    <x v="321"/>
    <x v="4"/>
    <s v=" 11516.0"/>
    <n v="7"/>
    <n v="11516"/>
  </r>
  <r>
    <x v="14"/>
    <x v="321"/>
    <x v="5"/>
    <s v=" 3299.0"/>
    <n v="6"/>
    <n v="3299"/>
  </r>
  <r>
    <x v="14"/>
    <x v="322"/>
    <x v="0"/>
    <s v=" 139459.0"/>
    <n v="8"/>
    <n v="139459"/>
  </r>
  <r>
    <x v="14"/>
    <x v="322"/>
    <x v="1"/>
    <s v=" 141496.0"/>
    <n v="8"/>
    <n v="141496"/>
  </r>
  <r>
    <x v="14"/>
    <x v="322"/>
    <x v="2"/>
    <s v=" 280955.0"/>
    <n v="8"/>
    <n v="280955"/>
  </r>
  <r>
    <x v="14"/>
    <x v="322"/>
    <x v="3"/>
    <s v=" 53888.0"/>
    <n v="7"/>
    <n v="53888"/>
  </r>
  <r>
    <x v="14"/>
    <x v="322"/>
    <x v="4"/>
    <s v=" 196816.0"/>
    <n v="8"/>
    <n v="196816"/>
  </r>
  <r>
    <x v="14"/>
    <x v="322"/>
    <x v="5"/>
    <s v=" 30251.0"/>
    <n v="7"/>
    <n v="30251"/>
  </r>
  <r>
    <x v="14"/>
    <x v="323"/>
    <x v="0"/>
    <s v=" 7451.0"/>
    <n v="6"/>
    <n v="7451"/>
  </r>
  <r>
    <x v="14"/>
    <x v="323"/>
    <x v="1"/>
    <s v=" 7284.0"/>
    <n v="6"/>
    <n v="7284"/>
  </r>
  <r>
    <x v="14"/>
    <x v="323"/>
    <x v="2"/>
    <s v=" 14735.0"/>
    <n v="7"/>
    <n v="14735"/>
  </r>
  <r>
    <x v="14"/>
    <x v="323"/>
    <x v="3"/>
    <s v=" 2229.0"/>
    <n v="6"/>
    <n v="2229"/>
  </r>
  <r>
    <x v="14"/>
    <x v="323"/>
    <x v="4"/>
    <s v=" 9531.0"/>
    <n v="6"/>
    <n v="9531"/>
  </r>
  <r>
    <x v="14"/>
    <x v="323"/>
    <x v="5"/>
    <s v=" 2975.0"/>
    <n v="6"/>
    <n v="2975"/>
  </r>
  <r>
    <x v="14"/>
    <x v="324"/>
    <x v="0"/>
    <s v=" 2031.0"/>
    <n v="6"/>
    <n v="2031"/>
  </r>
  <r>
    <x v="14"/>
    <x v="324"/>
    <x v="1"/>
    <s v=" 1916.0"/>
    <n v="6"/>
    <n v="1916"/>
  </r>
  <r>
    <x v="14"/>
    <x v="324"/>
    <x v="2"/>
    <s v=" 3947.0"/>
    <n v="6"/>
    <n v="3947"/>
  </r>
  <r>
    <x v="14"/>
    <x v="324"/>
    <x v="3"/>
    <s v=" 569.0"/>
    <n v="5"/>
    <n v="569"/>
  </r>
  <r>
    <x v="14"/>
    <x v="324"/>
    <x v="4"/>
    <s v=" 2563.0"/>
    <n v="6"/>
    <n v="2563"/>
  </r>
  <r>
    <x v="14"/>
    <x v="324"/>
    <x v="5"/>
    <s v=" 815.0"/>
    <n v="5"/>
    <n v="815"/>
  </r>
  <r>
    <x v="14"/>
    <x v="325"/>
    <x v="0"/>
    <s v=" 18909.0"/>
    <n v="7"/>
    <n v="18909"/>
  </r>
  <r>
    <x v="14"/>
    <x v="325"/>
    <x v="1"/>
    <s v=" 18717.0"/>
    <n v="7"/>
    <n v="18717"/>
  </r>
  <r>
    <x v="14"/>
    <x v="325"/>
    <x v="2"/>
    <s v=" 37626.0"/>
    <n v="7"/>
    <n v="37626"/>
  </r>
  <r>
    <x v="14"/>
    <x v="325"/>
    <x v="3"/>
    <s v=" 6851.0"/>
    <n v="6"/>
    <n v="6851"/>
  </r>
  <r>
    <x v="14"/>
    <x v="325"/>
    <x v="4"/>
    <s v=" 24728.0"/>
    <n v="7"/>
    <n v="24728"/>
  </r>
  <r>
    <x v="14"/>
    <x v="325"/>
    <x v="5"/>
    <s v=" 6047.0"/>
    <n v="6"/>
    <n v="6047"/>
  </r>
  <r>
    <x v="14"/>
    <x v="326"/>
    <x v="0"/>
    <s v=" 21169.0"/>
    <n v="7"/>
    <n v="21169"/>
  </r>
  <r>
    <x v="14"/>
    <x v="326"/>
    <x v="1"/>
    <s v=" 21355.0"/>
    <n v="7"/>
    <n v="21355"/>
  </r>
  <r>
    <x v="14"/>
    <x v="326"/>
    <x v="2"/>
    <s v=" 42524.0"/>
    <n v="7"/>
    <n v="42524"/>
  </r>
  <r>
    <x v="14"/>
    <x v="326"/>
    <x v="3"/>
    <s v=" 7228.0"/>
    <n v="6"/>
    <n v="7228"/>
  </r>
  <r>
    <x v="14"/>
    <x v="326"/>
    <x v="4"/>
    <s v=" 28368.0"/>
    <n v="7"/>
    <n v="28368"/>
  </r>
  <r>
    <x v="14"/>
    <x v="326"/>
    <x v="5"/>
    <s v=" 6928.0"/>
    <n v="6"/>
    <n v="6928"/>
  </r>
  <r>
    <x v="14"/>
    <x v="327"/>
    <x v="0"/>
    <s v=" 4873.0"/>
    <n v="6"/>
    <n v="4873"/>
  </r>
  <r>
    <x v="14"/>
    <x v="327"/>
    <x v="1"/>
    <s v=" 4713.0"/>
    <n v="6"/>
    <n v="4713"/>
  </r>
  <r>
    <x v="14"/>
    <x v="327"/>
    <x v="2"/>
    <s v=" 9586.0"/>
    <n v="6"/>
    <n v="9586"/>
  </r>
  <r>
    <x v="14"/>
    <x v="327"/>
    <x v="3"/>
    <s v=" 1844.0"/>
    <n v="6"/>
    <n v="1844"/>
  </r>
  <r>
    <x v="14"/>
    <x v="327"/>
    <x v="4"/>
    <s v=" 6376.0"/>
    <n v="6"/>
    <n v="6376"/>
  </r>
  <r>
    <x v="14"/>
    <x v="327"/>
    <x v="5"/>
    <s v=" 1366.0"/>
    <n v="6"/>
    <n v="1366"/>
  </r>
  <r>
    <x v="14"/>
    <x v="328"/>
    <x v="0"/>
    <s v=" 4411.0"/>
    <n v="6"/>
    <n v="4411"/>
  </r>
  <r>
    <x v="14"/>
    <x v="328"/>
    <x v="1"/>
    <s v=" 4343.0"/>
    <n v="6"/>
    <n v="4343"/>
  </r>
  <r>
    <x v="14"/>
    <x v="328"/>
    <x v="2"/>
    <s v=" 8754.0"/>
    <n v="6"/>
    <n v="8754"/>
  </r>
  <r>
    <x v="14"/>
    <x v="328"/>
    <x v="3"/>
    <s v=" 1437.0"/>
    <n v="6"/>
    <n v="1437"/>
  </r>
  <r>
    <x v="14"/>
    <x v="328"/>
    <x v="4"/>
    <s v=" 5620.0"/>
    <n v="6"/>
    <n v="5620"/>
  </r>
  <r>
    <x v="14"/>
    <x v="328"/>
    <x v="5"/>
    <s v=" 1697.0"/>
    <n v="6"/>
    <n v="1697"/>
  </r>
  <r>
    <x v="14"/>
    <x v="329"/>
    <x v="0"/>
    <s v=" 7730.0"/>
    <n v="6"/>
    <n v="7730"/>
  </r>
  <r>
    <x v="14"/>
    <x v="329"/>
    <x v="1"/>
    <s v=" 7726.0"/>
    <n v="6"/>
    <n v="7726"/>
  </r>
  <r>
    <x v="14"/>
    <x v="329"/>
    <x v="2"/>
    <s v=" 15456.0"/>
    <n v="7"/>
    <n v="15456"/>
  </r>
  <r>
    <x v="14"/>
    <x v="329"/>
    <x v="3"/>
    <s v=" 2883.0"/>
    <n v="6"/>
    <n v="2883"/>
  </r>
  <r>
    <x v="14"/>
    <x v="329"/>
    <x v="4"/>
    <s v=" 10341.0"/>
    <n v="7"/>
    <n v="10341"/>
  </r>
  <r>
    <x v="14"/>
    <x v="329"/>
    <x v="5"/>
    <s v=" 2232.0"/>
    <n v="6"/>
    <n v="2232"/>
  </r>
  <r>
    <x v="14"/>
    <x v="330"/>
    <x v="0"/>
    <s v=" 2037.0"/>
    <n v="6"/>
    <n v="2037"/>
  </r>
  <r>
    <x v="14"/>
    <x v="330"/>
    <x v="1"/>
    <s v=" 2098.0"/>
    <n v="6"/>
    <n v="2098"/>
  </r>
  <r>
    <x v="14"/>
    <x v="330"/>
    <x v="2"/>
    <s v=" 4135.0"/>
    <n v="6"/>
    <n v="4135"/>
  </r>
  <r>
    <x v="14"/>
    <x v="330"/>
    <x v="3"/>
    <s v=" 734.0"/>
    <n v="5"/>
    <n v="734"/>
  </r>
  <r>
    <x v="14"/>
    <x v="330"/>
    <x v="4"/>
    <s v=" 2612.0"/>
    <n v="6"/>
    <n v="2612"/>
  </r>
  <r>
    <x v="14"/>
    <x v="330"/>
    <x v="5"/>
    <s v=" 789.0"/>
    <n v="5"/>
    <n v="789"/>
  </r>
  <r>
    <x v="14"/>
    <x v="331"/>
    <x v="0"/>
    <s v=" 4034.0"/>
    <n v="6"/>
    <n v="4034"/>
  </r>
  <r>
    <x v="14"/>
    <x v="331"/>
    <x v="1"/>
    <s v=" 4152.0"/>
    <n v="6"/>
    <n v="4152"/>
  </r>
  <r>
    <x v="14"/>
    <x v="331"/>
    <x v="2"/>
    <s v=" 8186.0"/>
    <n v="6"/>
    <n v="8186"/>
  </r>
  <r>
    <x v="14"/>
    <x v="331"/>
    <x v="3"/>
    <s v=" 1370.0"/>
    <n v="6"/>
    <n v="1370"/>
  </r>
  <r>
    <x v="14"/>
    <x v="331"/>
    <x v="4"/>
    <s v=" 5290.0"/>
    <n v="6"/>
    <n v="5290"/>
  </r>
  <r>
    <x v="14"/>
    <x v="331"/>
    <x v="5"/>
    <s v=" 1526.0"/>
    <n v="6"/>
    <n v="1526"/>
  </r>
  <r>
    <x v="14"/>
    <x v="332"/>
    <x v="0"/>
    <s v=" 24085.0"/>
    <n v="7"/>
    <n v="24085"/>
  </r>
  <r>
    <x v="14"/>
    <x v="332"/>
    <x v="1"/>
    <s v=" 24642.0"/>
    <n v="7"/>
    <n v="24642"/>
  </r>
  <r>
    <x v="14"/>
    <x v="332"/>
    <x v="2"/>
    <s v=" 48727.0"/>
    <n v="7"/>
    <n v="48727"/>
  </r>
  <r>
    <x v="14"/>
    <x v="332"/>
    <x v="3"/>
    <s v=" 8896.0"/>
    <n v="6"/>
    <n v="8896"/>
  </r>
  <r>
    <x v="14"/>
    <x v="332"/>
    <x v="4"/>
    <s v=" 33198.0"/>
    <n v="7"/>
    <n v="33198"/>
  </r>
  <r>
    <x v="14"/>
    <x v="332"/>
    <x v="5"/>
    <s v=" 6633.0"/>
    <n v="6"/>
    <n v="6633"/>
  </r>
  <r>
    <x v="14"/>
    <x v="333"/>
    <x v="0"/>
    <s v=" 2108.0"/>
    <n v="6"/>
    <n v="2108"/>
  </r>
  <r>
    <x v="14"/>
    <x v="333"/>
    <x v="1"/>
    <s v=" 2080.0"/>
    <n v="6"/>
    <n v="2080"/>
  </r>
  <r>
    <x v="14"/>
    <x v="333"/>
    <x v="2"/>
    <s v=" 4188.0"/>
    <n v="6"/>
    <n v="4188"/>
  </r>
  <r>
    <x v="14"/>
    <x v="333"/>
    <x v="3"/>
    <s v=" 644.0"/>
    <n v="5"/>
    <n v="644"/>
  </r>
  <r>
    <x v="14"/>
    <x v="333"/>
    <x v="4"/>
    <s v=" 2691.0"/>
    <n v="6"/>
    <n v="2691"/>
  </r>
  <r>
    <x v="14"/>
    <x v="333"/>
    <x v="5"/>
    <s v=" 853.0"/>
    <n v="5"/>
    <n v="853"/>
  </r>
  <r>
    <x v="14"/>
    <x v="334"/>
    <x v="0"/>
    <s v=" 8085.0"/>
    <n v="6"/>
    <n v="8085"/>
  </r>
  <r>
    <x v="14"/>
    <x v="334"/>
    <x v="1"/>
    <s v=" 8182.0"/>
    <n v="6"/>
    <n v="8182"/>
  </r>
  <r>
    <x v="14"/>
    <x v="334"/>
    <x v="2"/>
    <s v=" 16267.0"/>
    <n v="7"/>
    <n v="16267"/>
  </r>
  <r>
    <x v="14"/>
    <x v="334"/>
    <x v="3"/>
    <s v=" 2795.0"/>
    <n v="6"/>
    <n v="2795"/>
  </r>
  <r>
    <x v="14"/>
    <x v="334"/>
    <x v="4"/>
    <s v=" 11089.0"/>
    <n v="7"/>
    <n v="11089"/>
  </r>
  <r>
    <x v="14"/>
    <x v="334"/>
    <x v="5"/>
    <s v=" 2383.0"/>
    <n v="6"/>
    <n v="2383"/>
  </r>
  <r>
    <x v="14"/>
    <x v="335"/>
    <x v="0"/>
    <s v=" 2797.0"/>
    <n v="6"/>
    <n v="2797"/>
  </r>
  <r>
    <x v="14"/>
    <x v="335"/>
    <x v="1"/>
    <s v=" 2745.0"/>
    <n v="6"/>
    <n v="2745"/>
  </r>
  <r>
    <x v="14"/>
    <x v="335"/>
    <x v="2"/>
    <s v=" 5542.0"/>
    <n v="6"/>
    <n v="5542"/>
  </r>
  <r>
    <x v="14"/>
    <x v="335"/>
    <x v="3"/>
    <s v=" 968.0"/>
    <n v="5"/>
    <n v="968"/>
  </r>
  <r>
    <x v="14"/>
    <x v="335"/>
    <x v="4"/>
    <s v=" 3661.0"/>
    <n v="6"/>
    <n v="3661"/>
  </r>
  <r>
    <x v="14"/>
    <x v="335"/>
    <x v="5"/>
    <s v=" 913.0"/>
    <n v="5"/>
    <n v="913"/>
  </r>
  <r>
    <x v="14"/>
    <x v="336"/>
    <x v="0"/>
    <s v=" 2633.0"/>
    <n v="6"/>
    <n v="2633"/>
  </r>
  <r>
    <x v="14"/>
    <x v="336"/>
    <x v="1"/>
    <s v=" 2445.0"/>
    <n v="6"/>
    <n v="2445"/>
  </r>
  <r>
    <x v="14"/>
    <x v="336"/>
    <x v="2"/>
    <s v=" 5078.0"/>
    <n v="6"/>
    <n v="5078"/>
  </r>
  <r>
    <x v="14"/>
    <x v="336"/>
    <x v="3"/>
    <s v=" 840.0"/>
    <n v="5"/>
    <n v="840"/>
  </r>
  <r>
    <x v="14"/>
    <x v="336"/>
    <x v="4"/>
    <s v=" 3509.0"/>
    <n v="6"/>
    <n v="3509"/>
  </r>
  <r>
    <x v="14"/>
    <x v="336"/>
    <x v="5"/>
    <s v=" 729.0"/>
    <n v="5"/>
    <n v="729"/>
  </r>
  <r>
    <x v="14"/>
    <x v="337"/>
    <x v="0"/>
    <s v=" 15185.0"/>
    <n v="7"/>
    <n v="15185"/>
  </r>
  <r>
    <x v="14"/>
    <x v="337"/>
    <x v="1"/>
    <s v=" 14951.0"/>
    <n v="7"/>
    <n v="14951"/>
  </r>
  <r>
    <x v="14"/>
    <x v="337"/>
    <x v="2"/>
    <s v=" 30136.0"/>
    <n v="7"/>
    <n v="30136"/>
  </r>
  <r>
    <x v="14"/>
    <x v="337"/>
    <x v="3"/>
    <s v=" 6192.0"/>
    <n v="6"/>
    <n v="6192"/>
  </r>
  <r>
    <x v="14"/>
    <x v="337"/>
    <x v="4"/>
    <s v=" 21137.0"/>
    <n v="7"/>
    <n v="21137"/>
  </r>
  <r>
    <x v="14"/>
    <x v="337"/>
    <x v="5"/>
    <s v=" 2807.0"/>
    <n v="6"/>
    <n v="2807"/>
  </r>
  <r>
    <x v="14"/>
    <x v="338"/>
    <x v="0"/>
    <s v=" 1466.0"/>
    <n v="6"/>
    <n v="1466"/>
  </r>
  <r>
    <x v="14"/>
    <x v="338"/>
    <x v="1"/>
    <s v=" 1446.0"/>
    <n v="6"/>
    <n v="1446"/>
  </r>
  <r>
    <x v="14"/>
    <x v="338"/>
    <x v="2"/>
    <s v=" 2912.0"/>
    <n v="6"/>
    <n v="2912"/>
  </r>
  <r>
    <x v="14"/>
    <x v="338"/>
    <x v="3"/>
    <s v=" 485.0"/>
    <n v="5"/>
    <n v="485"/>
  </r>
  <r>
    <x v="14"/>
    <x v="338"/>
    <x v="4"/>
    <s v=" 1967.0"/>
    <n v="6"/>
    <n v="1967"/>
  </r>
  <r>
    <x v="14"/>
    <x v="338"/>
    <x v="5"/>
    <s v=" 460.0"/>
    <n v="5"/>
    <n v="460"/>
  </r>
  <r>
    <x v="14"/>
    <x v="339"/>
    <x v="0"/>
    <s v=" 917.0"/>
    <n v="5"/>
    <n v="917"/>
  </r>
  <r>
    <x v="14"/>
    <x v="339"/>
    <x v="1"/>
    <s v=" 909.0"/>
    <n v="5"/>
    <n v="909"/>
  </r>
  <r>
    <x v="14"/>
    <x v="339"/>
    <x v="2"/>
    <s v=" 1826.0"/>
    <n v="6"/>
    <n v="1826"/>
  </r>
  <r>
    <x v="14"/>
    <x v="339"/>
    <x v="3"/>
    <s v=" 276.0"/>
    <n v="5"/>
    <n v="276"/>
  </r>
  <r>
    <x v="14"/>
    <x v="339"/>
    <x v="4"/>
    <s v=" 1202.0"/>
    <n v="6"/>
    <n v="1202"/>
  </r>
  <r>
    <x v="14"/>
    <x v="339"/>
    <x v="5"/>
    <s v=" 348.0"/>
    <n v="5"/>
    <n v="348"/>
  </r>
  <r>
    <x v="15"/>
    <x v="340"/>
    <x v="0"/>
    <s v=" 54651.0"/>
    <n v="7"/>
    <n v="54651"/>
  </r>
  <r>
    <x v="15"/>
    <x v="340"/>
    <x v="1"/>
    <s v=" 53887.0"/>
    <n v="7"/>
    <n v="53887"/>
  </r>
  <r>
    <x v="15"/>
    <x v="340"/>
    <x v="2"/>
    <s v=" 108538.0"/>
    <n v="8"/>
    <n v="108538"/>
  </r>
  <r>
    <x v="15"/>
    <x v="340"/>
    <x v="3"/>
    <s v=" 21702.0"/>
    <n v="7"/>
    <n v="21702"/>
  </r>
  <r>
    <x v="15"/>
    <x v="340"/>
    <x v="4"/>
    <s v=" 73341.0"/>
    <n v="7"/>
    <n v="73341"/>
  </r>
  <r>
    <x v="15"/>
    <x v="340"/>
    <x v="5"/>
    <s v=" 13495.0"/>
    <n v="7"/>
    <n v="13495"/>
  </r>
  <r>
    <x v="15"/>
    <x v="341"/>
    <x v="0"/>
    <s v=" 842.0"/>
    <n v="5"/>
    <n v="842"/>
  </r>
  <r>
    <x v="15"/>
    <x v="341"/>
    <x v="1"/>
    <s v=" 769.0"/>
    <n v="5"/>
    <n v="769"/>
  </r>
  <r>
    <x v="15"/>
    <x v="341"/>
    <x v="2"/>
    <s v=" 1611.0"/>
    <n v="6"/>
    <n v="1611"/>
  </r>
  <r>
    <x v="15"/>
    <x v="341"/>
    <x v="3"/>
    <s v=" 323.0"/>
    <n v="5"/>
    <n v="323"/>
  </r>
  <r>
    <x v="15"/>
    <x v="341"/>
    <x v="4"/>
    <s v=" 1128.0"/>
    <n v="6"/>
    <n v="1128"/>
  </r>
  <r>
    <x v="15"/>
    <x v="341"/>
    <x v="5"/>
    <s v=" 160.0"/>
    <n v="5"/>
    <n v="160"/>
  </r>
  <r>
    <x v="15"/>
    <x v="342"/>
    <x v="0"/>
    <s v=" 484.0"/>
    <n v="5"/>
    <n v="484"/>
  </r>
  <r>
    <x v="15"/>
    <x v="342"/>
    <x v="1"/>
    <s v=" 430.0"/>
    <n v="5"/>
    <n v="430"/>
  </r>
  <r>
    <x v="15"/>
    <x v="342"/>
    <x v="2"/>
    <s v=" 914.0"/>
    <n v="5"/>
    <n v="914"/>
  </r>
  <r>
    <x v="15"/>
    <x v="342"/>
    <x v="3"/>
    <s v=" 136.0"/>
    <n v="5"/>
    <n v="136"/>
  </r>
  <r>
    <x v="15"/>
    <x v="342"/>
    <x v="4"/>
    <s v=" 607.0"/>
    <n v="5"/>
    <n v="607"/>
  </r>
  <r>
    <x v="15"/>
    <x v="342"/>
    <x v="5"/>
    <s v=" 171.0"/>
    <n v="5"/>
    <n v="171"/>
  </r>
  <r>
    <x v="15"/>
    <x v="343"/>
    <x v="0"/>
    <s v=" 3033.0"/>
    <n v="6"/>
    <n v="3033"/>
  </r>
  <r>
    <x v="15"/>
    <x v="343"/>
    <x v="1"/>
    <s v=" 2839.0"/>
    <n v="6"/>
    <n v="2839"/>
  </r>
  <r>
    <x v="15"/>
    <x v="343"/>
    <x v="2"/>
    <s v=" 5872.0"/>
    <n v="6"/>
    <n v="5872"/>
  </r>
  <r>
    <x v="15"/>
    <x v="343"/>
    <x v="3"/>
    <s v=" 1158.0"/>
    <n v="6"/>
    <n v="1158"/>
  </r>
  <r>
    <x v="15"/>
    <x v="343"/>
    <x v="4"/>
    <s v=" 4047.0"/>
    <n v="6"/>
    <n v="4047"/>
  </r>
  <r>
    <x v="15"/>
    <x v="343"/>
    <x v="5"/>
    <s v=" 667.0"/>
    <n v="5"/>
    <n v="667"/>
  </r>
  <r>
    <x v="15"/>
    <x v="344"/>
    <x v="0"/>
    <s v=" 12847.0"/>
    <n v="7"/>
    <n v="12847"/>
  </r>
  <r>
    <x v="15"/>
    <x v="344"/>
    <x v="1"/>
    <s v=" 12371.0"/>
    <n v="7"/>
    <n v="12371"/>
  </r>
  <r>
    <x v="15"/>
    <x v="344"/>
    <x v="2"/>
    <s v=" 25218.0"/>
    <n v="7"/>
    <n v="25218"/>
  </r>
  <r>
    <x v="15"/>
    <x v="344"/>
    <x v="3"/>
    <s v=" 5206.0"/>
    <n v="6"/>
    <n v="5206"/>
  </r>
  <r>
    <x v="15"/>
    <x v="344"/>
    <x v="4"/>
    <s v=" 17006.0"/>
    <n v="7"/>
    <n v="17006"/>
  </r>
  <r>
    <x v="15"/>
    <x v="344"/>
    <x v="5"/>
    <s v=" 3006.0"/>
    <n v="6"/>
    <n v="3006"/>
  </r>
  <r>
    <x v="15"/>
    <x v="345"/>
    <x v="0"/>
    <s v=" 30822.0"/>
    <n v="7"/>
    <n v="30822"/>
  </r>
  <r>
    <x v="15"/>
    <x v="345"/>
    <x v="1"/>
    <s v=" 31224.0"/>
    <n v="7"/>
    <n v="31224"/>
  </r>
  <r>
    <x v="15"/>
    <x v="345"/>
    <x v="2"/>
    <s v=" 62046.0"/>
    <n v="7"/>
    <n v="62046"/>
  </r>
  <r>
    <x v="15"/>
    <x v="345"/>
    <x v="3"/>
    <s v=" 12628.0"/>
    <n v="7"/>
    <n v="12628"/>
  </r>
  <r>
    <x v="15"/>
    <x v="345"/>
    <x v="4"/>
    <s v=" 41938.0"/>
    <n v="7"/>
    <n v="41938"/>
  </r>
  <r>
    <x v="15"/>
    <x v="345"/>
    <x v="5"/>
    <s v=" 7480.0"/>
    <n v="6"/>
    <n v="7480"/>
  </r>
  <r>
    <x v="15"/>
    <x v="346"/>
    <x v="0"/>
    <s v=" 1408.0"/>
    <n v="6"/>
    <n v="1408"/>
  </r>
  <r>
    <x v="15"/>
    <x v="346"/>
    <x v="1"/>
    <s v=" 1305.0"/>
    <n v="6"/>
    <n v="1305"/>
  </r>
  <r>
    <x v="15"/>
    <x v="346"/>
    <x v="2"/>
    <s v=" 2713.0"/>
    <n v="6"/>
    <n v="2713"/>
  </r>
  <r>
    <x v="15"/>
    <x v="346"/>
    <x v="3"/>
    <s v=" 388.0"/>
    <n v="5"/>
    <n v="388"/>
  </r>
  <r>
    <x v="15"/>
    <x v="346"/>
    <x v="4"/>
    <s v=" 1743.0"/>
    <n v="6"/>
    <n v="1743"/>
  </r>
  <r>
    <x v="15"/>
    <x v="346"/>
    <x v="5"/>
    <s v=" 582.0"/>
    <n v="5"/>
    <n v="582"/>
  </r>
  <r>
    <x v="15"/>
    <x v="347"/>
    <x v="0"/>
    <s v=" 2637.0"/>
    <n v="6"/>
    <n v="2637"/>
  </r>
  <r>
    <x v="15"/>
    <x v="347"/>
    <x v="1"/>
    <s v=" 2526.0"/>
    <n v="6"/>
    <n v="2526"/>
  </r>
  <r>
    <x v="15"/>
    <x v="347"/>
    <x v="2"/>
    <s v=" 5163.0"/>
    <n v="6"/>
    <n v="5163"/>
  </r>
  <r>
    <x v="15"/>
    <x v="347"/>
    <x v="3"/>
    <s v=" 900.0"/>
    <n v="5"/>
    <n v="900"/>
  </r>
  <r>
    <x v="15"/>
    <x v="347"/>
    <x v="4"/>
    <s v=" 3448.0"/>
    <n v="6"/>
    <n v="3448"/>
  </r>
  <r>
    <x v="15"/>
    <x v="347"/>
    <x v="5"/>
    <s v=" 815.0"/>
    <n v="5"/>
    <n v="815"/>
  </r>
  <r>
    <x v="15"/>
    <x v="348"/>
    <x v="0"/>
    <s v=" 1926.0"/>
    <n v="6"/>
    <n v="1926"/>
  </r>
  <r>
    <x v="15"/>
    <x v="348"/>
    <x v="1"/>
    <s v=" 1815.0"/>
    <n v="6"/>
    <n v="1815"/>
  </r>
  <r>
    <x v="15"/>
    <x v="348"/>
    <x v="2"/>
    <s v=" 3741.0"/>
    <n v="6"/>
    <n v="3741"/>
  </r>
  <r>
    <x v="15"/>
    <x v="348"/>
    <x v="3"/>
    <s v=" 707.0"/>
    <n v="5"/>
    <n v="707"/>
  </r>
  <r>
    <x v="15"/>
    <x v="348"/>
    <x v="4"/>
    <s v=" 2540.0"/>
    <n v="6"/>
    <n v="2540"/>
  </r>
  <r>
    <x v="15"/>
    <x v="348"/>
    <x v="5"/>
    <s v=" 494.0"/>
    <n v="5"/>
    <n v="494"/>
  </r>
  <r>
    <x v="15"/>
    <x v="349"/>
    <x v="0"/>
    <s v=" 298.0"/>
    <n v="5"/>
    <n v="298"/>
  </r>
  <r>
    <x v="15"/>
    <x v="349"/>
    <x v="1"/>
    <s v=" 287.0"/>
    <n v="5"/>
    <n v="287"/>
  </r>
  <r>
    <x v="15"/>
    <x v="349"/>
    <x v="2"/>
    <s v=" 585.0"/>
    <n v="5"/>
    <n v="585"/>
  </r>
  <r>
    <x v="15"/>
    <x v="349"/>
    <x v="3"/>
    <s v=" 126.0"/>
    <n v="5"/>
    <n v="126"/>
  </r>
  <r>
    <x v="15"/>
    <x v="349"/>
    <x v="4"/>
    <s v=" 399.0"/>
    <n v="5"/>
    <n v="399"/>
  </r>
  <r>
    <x v="15"/>
    <x v="349"/>
    <x v="5"/>
    <s v=" 60.0"/>
    <n v="4"/>
    <n v="60"/>
  </r>
  <r>
    <x v="15"/>
    <x v="350"/>
    <x v="0"/>
    <s v=" 354.0"/>
    <n v="5"/>
    <n v="354"/>
  </r>
  <r>
    <x v="15"/>
    <x v="350"/>
    <x v="1"/>
    <s v=" 321.0"/>
    <n v="5"/>
    <n v="321"/>
  </r>
  <r>
    <x v="15"/>
    <x v="350"/>
    <x v="2"/>
    <s v=" 675.0"/>
    <n v="5"/>
    <n v="675"/>
  </r>
  <r>
    <x v="15"/>
    <x v="350"/>
    <x v="3"/>
    <s v=" 130.0"/>
    <n v="5"/>
    <n v="130"/>
  </r>
  <r>
    <x v="15"/>
    <x v="350"/>
    <x v="4"/>
    <s v=" 485.0"/>
    <n v="5"/>
    <n v="485"/>
  </r>
  <r>
    <x v="15"/>
    <x v="350"/>
    <x v="5"/>
    <s v=" 60.0"/>
    <n v="4"/>
    <n v="60"/>
  </r>
  <r>
    <x v="16"/>
    <x v="351"/>
    <x v="0"/>
    <s v=" 93226.0"/>
    <n v="7"/>
    <n v="93226"/>
  </r>
  <r>
    <x v="16"/>
    <x v="351"/>
    <x v="1"/>
    <s v=" 90009.0"/>
    <n v="7"/>
    <n v="90009"/>
  </r>
  <r>
    <x v="16"/>
    <x v="351"/>
    <x v="2"/>
    <s v=" 183235.0"/>
    <n v="8"/>
    <n v="183235"/>
  </r>
  <r>
    <x v="16"/>
    <x v="351"/>
    <x v="3"/>
    <s v=" 31094.0"/>
    <n v="7"/>
    <n v="31094"/>
  </r>
  <r>
    <x v="16"/>
    <x v="351"/>
    <x v="4"/>
    <s v=" 125987.0"/>
    <n v="8"/>
    <n v="125987"/>
  </r>
  <r>
    <x v="16"/>
    <x v="351"/>
    <x v="5"/>
    <s v=" 26154.0"/>
    <n v="7"/>
    <n v="26154"/>
  </r>
  <r>
    <x v="16"/>
    <x v="352"/>
    <x v="0"/>
    <s v=" 600.0"/>
    <n v="5"/>
    <n v="600"/>
  </r>
  <r>
    <x v="16"/>
    <x v="352"/>
    <x v="1"/>
    <s v=" 481.0"/>
    <n v="5"/>
    <n v="481"/>
  </r>
  <r>
    <x v="16"/>
    <x v="352"/>
    <x v="2"/>
    <s v=" 1081.0"/>
    <n v="6"/>
    <n v="1081"/>
  </r>
  <r>
    <x v="16"/>
    <x v="352"/>
    <x v="3"/>
    <s v=" 67.0"/>
    <n v="4"/>
    <n v="67"/>
  </r>
  <r>
    <x v="16"/>
    <x v="352"/>
    <x v="4"/>
    <s v=" 932.0"/>
    <n v="5"/>
    <n v="932"/>
  </r>
  <r>
    <x v="16"/>
    <x v="352"/>
    <x v="5"/>
    <s v=" 82.0"/>
    <n v="4"/>
    <n v="82"/>
  </r>
  <r>
    <x v="16"/>
    <x v="353"/>
    <x v="0"/>
    <s v=" 12514.0"/>
    <n v="7"/>
    <n v="12514"/>
  </r>
  <r>
    <x v="16"/>
    <x v="353"/>
    <x v="1"/>
    <s v=" 12117.0"/>
    <n v="7"/>
    <n v="12117"/>
  </r>
  <r>
    <x v="16"/>
    <x v="353"/>
    <x v="2"/>
    <s v=" 24631.0"/>
    <n v="7"/>
    <n v="24631"/>
  </r>
  <r>
    <x v="16"/>
    <x v="353"/>
    <x v="3"/>
    <s v=" 4196.0"/>
    <n v="6"/>
    <n v="4196"/>
  </r>
  <r>
    <x v="16"/>
    <x v="353"/>
    <x v="4"/>
    <s v=" 16481.0"/>
    <n v="7"/>
    <n v="16481"/>
  </r>
  <r>
    <x v="16"/>
    <x v="353"/>
    <x v="5"/>
    <s v=" 3954.0"/>
    <n v="6"/>
    <n v="3954"/>
  </r>
  <r>
    <x v="16"/>
    <x v="354"/>
    <x v="0"/>
    <s v=" 147.0"/>
    <n v="5"/>
    <n v="147"/>
  </r>
  <r>
    <x v="16"/>
    <x v="354"/>
    <x v="1"/>
    <s v=" 101.0"/>
    <n v="5"/>
    <n v="101"/>
  </r>
  <r>
    <x v="16"/>
    <x v="354"/>
    <x v="2"/>
    <s v=" 248.0"/>
    <n v="5"/>
    <n v="248"/>
  </r>
  <r>
    <x v="16"/>
    <x v="354"/>
    <x v="3"/>
    <s v=" 40.0"/>
    <n v="4"/>
    <n v="40"/>
  </r>
  <r>
    <x v="16"/>
    <x v="354"/>
    <x v="4"/>
    <s v=" 172.0"/>
    <n v="5"/>
    <n v="172"/>
  </r>
  <r>
    <x v="16"/>
    <x v="354"/>
    <x v="5"/>
    <s v=" 36.0"/>
    <n v="4"/>
    <n v="36"/>
  </r>
  <r>
    <x v="16"/>
    <x v="355"/>
    <x v="0"/>
    <s v=" 362.0"/>
    <n v="5"/>
    <n v="362"/>
  </r>
  <r>
    <x v="16"/>
    <x v="355"/>
    <x v="1"/>
    <s v=" 289.0"/>
    <n v="5"/>
    <n v="289"/>
  </r>
  <r>
    <x v="16"/>
    <x v="355"/>
    <x v="2"/>
    <s v=" 651.0"/>
    <n v="5"/>
    <n v="651"/>
  </r>
  <r>
    <x v="16"/>
    <x v="355"/>
    <x v="3"/>
    <s v=" 107.0"/>
    <n v="5"/>
    <n v="107"/>
  </r>
  <r>
    <x v="16"/>
    <x v="355"/>
    <x v="4"/>
    <s v=" 469.0"/>
    <n v="5"/>
    <n v="469"/>
  </r>
  <r>
    <x v="16"/>
    <x v="355"/>
    <x v="5"/>
    <s v=" 75.0"/>
    <n v="4"/>
    <n v="75"/>
  </r>
  <r>
    <x v="16"/>
    <x v="356"/>
    <x v="0"/>
    <s v=" 128.0"/>
    <n v="5"/>
    <n v="128"/>
  </r>
  <r>
    <x v="16"/>
    <x v="356"/>
    <x v="1"/>
    <s v=" 77.0"/>
    <n v="4"/>
    <n v="77"/>
  </r>
  <r>
    <x v="16"/>
    <x v="356"/>
    <x v="2"/>
    <s v=" 205.0"/>
    <n v="5"/>
    <n v="205"/>
  </r>
  <r>
    <x v="16"/>
    <x v="356"/>
    <x v="3"/>
    <s v=" 13.0"/>
    <n v="4"/>
    <n v="13"/>
  </r>
  <r>
    <x v="16"/>
    <x v="356"/>
    <x v="4"/>
    <s v=" 153.0"/>
    <n v="5"/>
    <n v="153"/>
  </r>
  <r>
    <x v="16"/>
    <x v="356"/>
    <x v="5"/>
    <s v=" 39.0"/>
    <n v="4"/>
    <n v="39"/>
  </r>
  <r>
    <x v="16"/>
    <x v="357"/>
    <x v="0"/>
    <s v=" 376.0"/>
    <n v="5"/>
    <n v="376"/>
  </r>
  <r>
    <x v="16"/>
    <x v="357"/>
    <x v="1"/>
    <s v=" 298.0"/>
    <n v="5"/>
    <n v="298"/>
  </r>
  <r>
    <x v="16"/>
    <x v="357"/>
    <x v="2"/>
    <s v=" 674.0"/>
    <n v="5"/>
    <n v="674"/>
  </r>
  <r>
    <x v="16"/>
    <x v="357"/>
    <x v="3"/>
    <s v=" 105.0"/>
    <n v="5"/>
    <n v="105"/>
  </r>
  <r>
    <x v="16"/>
    <x v="357"/>
    <x v="4"/>
    <s v=" 506.0"/>
    <n v="5"/>
    <n v="506"/>
  </r>
  <r>
    <x v="16"/>
    <x v="357"/>
    <x v="5"/>
    <s v=" 63.0"/>
    <n v="4"/>
    <n v="63"/>
  </r>
  <r>
    <x v="16"/>
    <x v="358"/>
    <x v="0"/>
    <s v=" 73682.0"/>
    <n v="7"/>
    <n v="73682"/>
  </r>
  <r>
    <x v="16"/>
    <x v="358"/>
    <x v="1"/>
    <s v=" 72031.0"/>
    <n v="7"/>
    <n v="72031"/>
  </r>
  <r>
    <x v="16"/>
    <x v="358"/>
    <x v="2"/>
    <s v=" 145713.0"/>
    <n v="8"/>
    <n v="145713"/>
  </r>
  <r>
    <x v="16"/>
    <x v="358"/>
    <x v="3"/>
    <s v=" 24693.0"/>
    <n v="7"/>
    <n v="24693"/>
  </r>
  <r>
    <x v="16"/>
    <x v="358"/>
    <x v="4"/>
    <s v=" 100162.0"/>
    <n v="8"/>
    <n v="100162"/>
  </r>
  <r>
    <x v="16"/>
    <x v="358"/>
    <x v="5"/>
    <s v=" 20858.0"/>
    <n v="7"/>
    <n v="20858"/>
  </r>
  <r>
    <x v="16"/>
    <x v="359"/>
    <x v="0"/>
    <s v=" 4126.0"/>
    <n v="6"/>
    <n v="4126"/>
  </r>
  <r>
    <x v="16"/>
    <x v="359"/>
    <x v="1"/>
    <s v=" 3511.0"/>
    <n v="6"/>
    <n v="3511"/>
  </r>
  <r>
    <x v="16"/>
    <x v="359"/>
    <x v="2"/>
    <s v=" 7637.0"/>
    <n v="6"/>
    <n v="7637"/>
  </r>
  <r>
    <x v="16"/>
    <x v="359"/>
    <x v="3"/>
    <s v=" 1315.0"/>
    <n v="6"/>
    <n v="1315"/>
  </r>
  <r>
    <x v="16"/>
    <x v="359"/>
    <x v="4"/>
    <s v=" 5381.0"/>
    <n v="6"/>
    <n v="5381"/>
  </r>
  <r>
    <x v="16"/>
    <x v="359"/>
    <x v="5"/>
    <s v=" 941.0"/>
    <n v="5"/>
    <n v="941"/>
  </r>
  <r>
    <x v="16"/>
    <x v="360"/>
    <x v="0"/>
    <s v=" 176.0"/>
    <n v="5"/>
    <n v="176"/>
  </r>
  <r>
    <x v="16"/>
    <x v="360"/>
    <x v="1"/>
    <s v=" 100.0"/>
    <n v="5"/>
    <n v="100"/>
  </r>
  <r>
    <x v="16"/>
    <x v="360"/>
    <x v="2"/>
    <s v=" 276.0"/>
    <n v="5"/>
    <n v="276"/>
  </r>
  <r>
    <x v="16"/>
    <x v="360"/>
    <x v="3"/>
    <s v=" 35.0"/>
    <n v="4"/>
    <n v="35"/>
  </r>
  <r>
    <x v="16"/>
    <x v="360"/>
    <x v="4"/>
    <s v=" 220.0"/>
    <n v="5"/>
    <n v="220"/>
  </r>
  <r>
    <x v="16"/>
    <x v="360"/>
    <x v="5"/>
    <s v=" 21.0"/>
    <n v="4"/>
    <n v="21"/>
  </r>
  <r>
    <x v="16"/>
    <x v="361"/>
    <x v="0"/>
    <s v=" 1016.0"/>
    <n v="6"/>
    <n v="1016"/>
  </r>
  <r>
    <x v="16"/>
    <x v="361"/>
    <x v="1"/>
    <s v=" 952.0"/>
    <n v="5"/>
    <n v="952"/>
  </r>
  <r>
    <x v="16"/>
    <x v="361"/>
    <x v="2"/>
    <s v=" 1968.0"/>
    <n v="6"/>
    <n v="1968"/>
  </r>
  <r>
    <x v="16"/>
    <x v="361"/>
    <x v="3"/>
    <s v=" 504.0"/>
    <n v="5"/>
    <n v="504"/>
  </r>
  <r>
    <x v="16"/>
    <x v="361"/>
    <x v="4"/>
    <s v=" 1379.0"/>
    <n v="6"/>
    <n v="1379"/>
  </r>
  <r>
    <x v="16"/>
    <x v="361"/>
    <x v="5"/>
    <s v=" 85.0"/>
    <n v="4"/>
    <n v="85"/>
  </r>
  <r>
    <x v="16"/>
    <x v="362"/>
    <x v="0"/>
    <s v=" 99.0"/>
    <n v="4"/>
    <n v="99"/>
  </r>
  <r>
    <x v="16"/>
    <x v="362"/>
    <x v="1"/>
    <s v=" 52.0"/>
    <n v="4"/>
    <n v="52"/>
  </r>
  <r>
    <x v="16"/>
    <x v="362"/>
    <x v="2"/>
    <s v=" 151.0"/>
    <n v="5"/>
    <n v="151"/>
  </r>
  <r>
    <x v="16"/>
    <x v="362"/>
    <x v="3"/>
    <s v=" 19.0"/>
    <n v="4"/>
    <n v="19"/>
  </r>
  <r>
    <x v="16"/>
    <x v="362"/>
    <x v="4"/>
    <s v=" 132.0"/>
    <n v="5"/>
    <n v="132"/>
  </r>
  <r>
    <x v="16"/>
    <x v="362"/>
    <x v="5"/>
    <s v=" 0.0"/>
    <n v="3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4"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1"/>
  </r>
  <r>
    <x v="0"/>
  </r>
  <r>
    <x v="2"/>
  </r>
  <r>
    <x v="3"/>
  </r>
  <r>
    <x v="4"/>
  </r>
  <r>
    <x v="2"/>
  </r>
  <r>
    <x v="0"/>
  </r>
  <r>
    <x v="5"/>
  </r>
  <r>
    <x v="1"/>
  </r>
  <r>
    <x v="1"/>
  </r>
  <r>
    <x v="0"/>
  </r>
  <r>
    <x v="0"/>
  </r>
  <r>
    <x v="1"/>
  </r>
  <r>
    <x v="5"/>
  </r>
  <r>
    <x v="1"/>
  </r>
  <r>
    <x v="2"/>
  </r>
  <r>
    <x v="2"/>
  </r>
  <r>
    <x v="0"/>
  </r>
  <r>
    <x v="5"/>
  </r>
  <r>
    <x v="5"/>
  </r>
  <r>
    <x v="4"/>
  </r>
  <r>
    <x v="0"/>
  </r>
  <r>
    <x v="3"/>
  </r>
  <r>
    <x v="1"/>
  </r>
  <r>
    <x v="4"/>
  </r>
  <r>
    <x v="3"/>
  </r>
  <r>
    <x v="3"/>
  </r>
  <r>
    <x v="3"/>
  </r>
  <r>
    <x v="5"/>
  </r>
  <r>
    <x v="0"/>
  </r>
  <r>
    <x v="0"/>
  </r>
  <r>
    <x v="5"/>
  </r>
  <r>
    <x v="5"/>
  </r>
  <r>
    <x v="5"/>
  </r>
  <r>
    <x v="2"/>
  </r>
  <r>
    <x v="3"/>
  </r>
  <r>
    <x v="0"/>
  </r>
  <r>
    <x v="0"/>
  </r>
  <r>
    <x v="4"/>
  </r>
  <r>
    <x v="4"/>
  </r>
  <r>
    <x v="1"/>
  </r>
  <r>
    <x v="3"/>
  </r>
  <r>
    <x v="5"/>
  </r>
  <r>
    <x v="1"/>
  </r>
  <r>
    <x v="4"/>
  </r>
  <r>
    <x v="2"/>
  </r>
  <r>
    <x v="2"/>
  </r>
  <r>
    <x v="5"/>
  </r>
  <r>
    <x v="5"/>
  </r>
  <r>
    <x v="2"/>
  </r>
  <r>
    <x v="5"/>
  </r>
  <r>
    <x v="5"/>
  </r>
  <r>
    <x v="0"/>
  </r>
  <r>
    <x v="2"/>
  </r>
  <r>
    <x v="0"/>
  </r>
  <r>
    <x v="1"/>
  </r>
  <r>
    <x v="5"/>
  </r>
  <r>
    <x v="5"/>
  </r>
  <r>
    <x v="5"/>
  </r>
  <r>
    <x v="2"/>
  </r>
  <r>
    <x v="5"/>
  </r>
  <r>
    <x v="0"/>
  </r>
  <r>
    <x v="0"/>
  </r>
  <r>
    <x v="4"/>
  </r>
  <r>
    <x v="0"/>
  </r>
  <r>
    <x v="4"/>
  </r>
  <r>
    <x v="4"/>
  </r>
  <r>
    <x v="1"/>
  </r>
  <r>
    <x v="0"/>
  </r>
  <r>
    <x v="3"/>
  </r>
  <r>
    <x v="1"/>
  </r>
  <r>
    <x v="5"/>
  </r>
  <r>
    <x v="5"/>
  </r>
  <r>
    <x v="4"/>
  </r>
  <r>
    <x v="5"/>
  </r>
  <r>
    <x v="2"/>
  </r>
  <r>
    <x v="0"/>
  </r>
  <r>
    <x v="5"/>
  </r>
  <r>
    <x v="0"/>
  </r>
  <r>
    <x v="0"/>
  </r>
  <r>
    <x v="0"/>
  </r>
  <r>
    <x v="1"/>
  </r>
  <r>
    <x v="0"/>
  </r>
  <r>
    <x v="4"/>
  </r>
  <r>
    <x v="0"/>
  </r>
  <r>
    <x v="0"/>
  </r>
  <r>
    <x v="3"/>
  </r>
  <r>
    <x v="4"/>
  </r>
  <r>
    <x v="2"/>
  </r>
  <r>
    <x v="5"/>
  </r>
  <r>
    <x v="0"/>
  </r>
  <r>
    <x v="1"/>
  </r>
  <r>
    <x v="3"/>
  </r>
  <r>
    <x v="2"/>
  </r>
  <r>
    <x v="5"/>
  </r>
  <r>
    <x v="2"/>
  </r>
  <r>
    <x v="1"/>
  </r>
  <r>
    <x v="5"/>
  </r>
  <r>
    <x v="5"/>
  </r>
  <r>
    <x v="1"/>
  </r>
  <r>
    <x v="0"/>
  </r>
  <r>
    <x v="5"/>
  </r>
  <r>
    <x v="1"/>
  </r>
  <r>
    <x v="3"/>
  </r>
  <r>
    <x v="4"/>
  </r>
  <r>
    <x v="4"/>
  </r>
  <r>
    <x v="1"/>
  </r>
  <r>
    <x v="3"/>
  </r>
  <r>
    <x v="3"/>
  </r>
  <r>
    <x v="5"/>
  </r>
  <r>
    <x v="0"/>
  </r>
  <r>
    <x v="3"/>
  </r>
  <r>
    <x v="5"/>
  </r>
  <r>
    <x v="0"/>
  </r>
  <r>
    <x v="5"/>
  </r>
  <r>
    <x v="0"/>
  </r>
  <r>
    <x v="5"/>
  </r>
  <r>
    <x v="2"/>
  </r>
  <r>
    <x v="3"/>
  </r>
  <r>
    <x v="5"/>
  </r>
  <r>
    <x v="0"/>
  </r>
  <r>
    <x v="1"/>
  </r>
  <r>
    <x v="4"/>
  </r>
  <r>
    <x v="2"/>
  </r>
  <r>
    <x v="0"/>
  </r>
  <r>
    <x v="5"/>
  </r>
  <r>
    <x v="3"/>
  </r>
  <r>
    <x v="3"/>
  </r>
  <r>
    <x v="5"/>
  </r>
  <r>
    <x v="4"/>
  </r>
  <r>
    <x v="5"/>
  </r>
  <r>
    <x v="5"/>
  </r>
  <r>
    <x v="1"/>
  </r>
  <r>
    <x v="5"/>
  </r>
  <r>
    <x v="4"/>
  </r>
  <r>
    <x v="5"/>
  </r>
  <r>
    <x v="1"/>
  </r>
  <r>
    <x v="1"/>
  </r>
  <r>
    <x v="5"/>
  </r>
  <r>
    <x v="1"/>
  </r>
  <r>
    <x v="5"/>
  </r>
  <r>
    <x v="0"/>
  </r>
  <r>
    <x v="4"/>
  </r>
  <r>
    <x v="0"/>
  </r>
  <r>
    <x v="2"/>
  </r>
  <r>
    <x v="3"/>
  </r>
  <r>
    <x v="5"/>
  </r>
  <r>
    <x v="1"/>
  </r>
  <r>
    <x v="1"/>
  </r>
  <r>
    <x v="3"/>
  </r>
  <r>
    <x v="3"/>
  </r>
  <r>
    <x v="4"/>
  </r>
  <r>
    <x v="5"/>
  </r>
  <r>
    <x v="1"/>
  </r>
  <r>
    <x v="0"/>
  </r>
  <r>
    <x v="2"/>
  </r>
  <r>
    <x v="4"/>
  </r>
  <r>
    <x v="0"/>
  </r>
  <r>
    <x v="3"/>
  </r>
  <r>
    <x v="5"/>
  </r>
  <r>
    <x v="0"/>
  </r>
  <r>
    <x v="2"/>
  </r>
  <r>
    <x v="5"/>
  </r>
  <r>
    <x v="5"/>
  </r>
  <r>
    <x v="5"/>
  </r>
  <r>
    <x v="1"/>
  </r>
  <r>
    <x v="1"/>
  </r>
  <r>
    <x v="1"/>
  </r>
  <r>
    <x v="2"/>
  </r>
  <r>
    <x v="5"/>
  </r>
  <r>
    <x v="5"/>
  </r>
  <r>
    <x v="2"/>
  </r>
  <r>
    <x v="3"/>
  </r>
  <r>
    <x v="3"/>
  </r>
  <r>
    <x v="2"/>
  </r>
  <r>
    <x v="5"/>
  </r>
  <r>
    <x v="1"/>
  </r>
  <r>
    <x v="3"/>
  </r>
  <r>
    <x v="0"/>
  </r>
  <r>
    <x v="3"/>
  </r>
  <r>
    <x v="1"/>
  </r>
  <r>
    <x v="3"/>
  </r>
  <r>
    <x v="5"/>
  </r>
  <r>
    <x v="5"/>
  </r>
  <r>
    <x v="1"/>
  </r>
  <r>
    <x v="2"/>
  </r>
  <r>
    <x v="3"/>
  </r>
  <r>
    <x v="2"/>
  </r>
  <r>
    <x v="5"/>
  </r>
  <r>
    <x v="2"/>
  </r>
  <r>
    <x v="1"/>
  </r>
  <r>
    <x v="5"/>
  </r>
  <r>
    <x v="0"/>
  </r>
  <r>
    <x v="1"/>
  </r>
  <r>
    <x v="0"/>
  </r>
  <r>
    <x v="1"/>
  </r>
  <r>
    <x v="5"/>
  </r>
  <r>
    <x v="0"/>
  </r>
  <r>
    <x v="0"/>
  </r>
  <r>
    <x v="5"/>
  </r>
  <r>
    <x v="2"/>
  </r>
  <r>
    <x v="5"/>
  </r>
  <r>
    <x v="0"/>
  </r>
  <r>
    <x v="3"/>
  </r>
  <r>
    <x v="3"/>
  </r>
  <r>
    <x v="4"/>
  </r>
  <r>
    <x v="3"/>
  </r>
  <r>
    <x v="2"/>
  </r>
  <r>
    <x v="4"/>
  </r>
  <r>
    <x v="5"/>
  </r>
  <r>
    <x v="2"/>
  </r>
  <r>
    <x v="1"/>
  </r>
  <r>
    <x v="3"/>
  </r>
  <r>
    <x v="5"/>
  </r>
  <r>
    <x v="0"/>
  </r>
  <r>
    <x v="1"/>
  </r>
  <r>
    <x v="0"/>
  </r>
  <r>
    <x v="3"/>
  </r>
  <r>
    <x v="1"/>
  </r>
  <r>
    <x v="4"/>
  </r>
  <r>
    <x v="0"/>
  </r>
  <r>
    <x v="1"/>
  </r>
  <r>
    <x v="2"/>
  </r>
  <r>
    <x v="1"/>
  </r>
  <r>
    <x v="1"/>
  </r>
  <r>
    <x v="0"/>
  </r>
  <r>
    <x v="2"/>
  </r>
  <r>
    <x v="3"/>
  </r>
  <r>
    <x v="4"/>
  </r>
  <r>
    <x v="2"/>
  </r>
  <r>
    <x v="0"/>
  </r>
  <r>
    <x v="2"/>
  </r>
  <r>
    <x v="0"/>
  </r>
  <r>
    <x v="1"/>
  </r>
  <r>
    <x v="2"/>
  </r>
  <r>
    <x v="0"/>
  </r>
  <r>
    <x v="0"/>
  </r>
  <r>
    <x v="0"/>
  </r>
  <r>
    <x v="1"/>
  </r>
  <r>
    <x v="0"/>
  </r>
  <r>
    <x v="0"/>
  </r>
  <r>
    <x v="0"/>
  </r>
  <r>
    <x v="2"/>
  </r>
  <r>
    <x v="1"/>
  </r>
  <r>
    <x v="3"/>
  </r>
  <r>
    <x v="2"/>
  </r>
  <r>
    <x v="0"/>
  </r>
  <r>
    <x v="1"/>
  </r>
  <r>
    <x v="4"/>
  </r>
  <r>
    <x v="1"/>
  </r>
  <r>
    <x v="0"/>
  </r>
  <r>
    <x v="2"/>
  </r>
  <r>
    <x v="0"/>
  </r>
  <r>
    <x v="0"/>
  </r>
  <r>
    <x v="1"/>
  </r>
  <r>
    <x v="0"/>
  </r>
  <r>
    <x v="0"/>
  </r>
  <r>
    <x v="3"/>
  </r>
  <r>
    <x v="3"/>
  </r>
  <r>
    <x v="1"/>
  </r>
  <r>
    <x v="1"/>
  </r>
  <r>
    <x v="1"/>
  </r>
  <r>
    <x v="0"/>
  </r>
  <r>
    <x v="4"/>
  </r>
  <r>
    <x v="3"/>
  </r>
  <r>
    <x v="1"/>
  </r>
  <r>
    <x v="2"/>
  </r>
  <r>
    <x v="0"/>
  </r>
  <r>
    <x v="0"/>
  </r>
  <r>
    <x v="0"/>
  </r>
  <r>
    <x v="1"/>
  </r>
  <r>
    <x v="3"/>
  </r>
  <r>
    <x v="2"/>
  </r>
  <r>
    <x v="1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2"/>
  </r>
  <r>
    <x v="2"/>
  </r>
  <r>
    <x v="0"/>
  </r>
  <r>
    <x v="0"/>
  </r>
  <r>
    <x v="0"/>
  </r>
  <r>
    <x v="0"/>
  </r>
  <r>
    <x v="2"/>
  </r>
  <r>
    <x v="0"/>
  </r>
  <r>
    <x v="0"/>
  </r>
  <r>
    <x v="1"/>
  </r>
  <r>
    <x v="0"/>
  </r>
  <r>
    <x v="0"/>
  </r>
  <r>
    <x v="1"/>
  </r>
  <r>
    <x v="1"/>
  </r>
  <r>
    <x v="5"/>
  </r>
  <r>
    <x v="0"/>
  </r>
  <r>
    <x v="2"/>
  </r>
  <r>
    <x v="3"/>
  </r>
  <r>
    <x v="1"/>
  </r>
  <r>
    <x v="0"/>
  </r>
  <r>
    <x v="0"/>
  </r>
  <r>
    <x v="1"/>
  </r>
  <r>
    <x v="4"/>
  </r>
  <r>
    <x v="1"/>
  </r>
  <r>
    <x v="0"/>
  </r>
  <r>
    <x v="1"/>
  </r>
  <r>
    <x v="3"/>
  </r>
  <r>
    <x v="1"/>
  </r>
  <r>
    <x v="1"/>
  </r>
  <r>
    <x v="0"/>
  </r>
  <r>
    <x v="2"/>
  </r>
  <r>
    <x v="2"/>
  </r>
  <r>
    <x v="1"/>
  </r>
  <r>
    <x v="2"/>
  </r>
  <r>
    <x v="0"/>
  </r>
  <r>
    <x v="0"/>
  </r>
  <r>
    <x v="1"/>
  </r>
  <r>
    <x v="1"/>
  </r>
  <r>
    <x v="2"/>
  </r>
  <r>
    <x v="1"/>
  </r>
  <r>
    <x v="2"/>
  </r>
  <r>
    <x v="0"/>
  </r>
  <r>
    <x v="3"/>
  </r>
  <r>
    <x v="2"/>
  </r>
  <r>
    <x v="0"/>
  </r>
  <r>
    <x v="0"/>
  </r>
  <r>
    <x v="0"/>
  </r>
  <r>
    <x v="3"/>
  </r>
  <r>
    <x v="1"/>
  </r>
  <r>
    <x v="2"/>
  </r>
  <r>
    <x v="2"/>
  </r>
  <r>
    <x v="2"/>
  </r>
  <r>
    <x v="2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2"/>
  </r>
  <r>
    <x v="0"/>
  </r>
  <r>
    <x v="0"/>
  </r>
  <r>
    <x v="0"/>
  </r>
  <r>
    <x v="2"/>
  </r>
  <r>
    <x v="0"/>
  </r>
  <r>
    <x v="1"/>
  </r>
  <r>
    <x v="0"/>
  </r>
  <r>
    <x v="0"/>
  </r>
  <r>
    <x v="0"/>
  </r>
  <r>
    <x v="1"/>
  </r>
  <r>
    <x v="0"/>
  </r>
  <r>
    <x v="2"/>
  </r>
  <r>
    <x v="1"/>
  </r>
  <r>
    <x v="0"/>
  </r>
  <r>
    <x v="0"/>
  </r>
  <r>
    <x v="2"/>
  </r>
  <r>
    <x v="0"/>
  </r>
  <r>
    <x v="1"/>
  </r>
  <r>
    <x v="2"/>
  </r>
  <r>
    <x v="0"/>
  </r>
  <r>
    <x v="0"/>
  </r>
  <r>
    <x v="0"/>
  </r>
  <r>
    <x v="1"/>
  </r>
  <r>
    <x v="0"/>
  </r>
  <r>
    <x v="0"/>
  </r>
  <r>
    <x v="0"/>
  </r>
  <r>
    <x v="3"/>
  </r>
  <r>
    <x v="2"/>
  </r>
  <r>
    <x v="1"/>
  </r>
  <r>
    <x v="1"/>
  </r>
  <r>
    <x v="2"/>
  </r>
  <r>
    <x v="0"/>
  </r>
  <r>
    <x v="0"/>
  </r>
  <r>
    <x v="0"/>
  </r>
  <r>
    <x v="2"/>
  </r>
  <r>
    <x v="0"/>
  </r>
  <r>
    <x v="0"/>
  </r>
  <r>
    <x v="1"/>
  </r>
  <r>
    <x v="0"/>
  </r>
  <r>
    <x v="0"/>
  </r>
  <r>
    <x v="0"/>
  </r>
  <r>
    <x v="1"/>
  </r>
  <r>
    <x v="0"/>
  </r>
  <r>
    <x v="2"/>
  </r>
  <r>
    <x v="0"/>
  </r>
  <r>
    <x v="0"/>
  </r>
  <r>
    <x v="3"/>
  </r>
  <r>
    <x v="0"/>
  </r>
  <r>
    <x v="0"/>
  </r>
  <r>
    <x v="5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1"/>
  </r>
  <r>
    <x v="0"/>
  </r>
  <r>
    <x v="1"/>
  </r>
  <r>
    <x v="0"/>
  </r>
  <r>
    <x v="1"/>
  </r>
  <r>
    <x v="0"/>
  </r>
  <r>
    <x v="2"/>
  </r>
  <r>
    <x v="1"/>
  </r>
  <r>
    <x v="1"/>
  </r>
  <r>
    <x v="1"/>
  </r>
  <r>
    <x v="0"/>
  </r>
  <r>
    <x v="3"/>
  </r>
  <r>
    <x v="0"/>
  </r>
  <r>
    <x v="2"/>
  </r>
  <r>
    <x v="4"/>
  </r>
  <r>
    <x v="0"/>
  </r>
  <r>
    <x v="2"/>
  </r>
  <r>
    <x v="0"/>
  </r>
  <r>
    <x v="3"/>
  </r>
  <r>
    <x v="2"/>
  </r>
  <r>
    <x v="3"/>
  </r>
  <r>
    <x v="1"/>
  </r>
  <r>
    <x v="0"/>
  </r>
  <r>
    <x v="2"/>
  </r>
  <r>
    <x v="0"/>
  </r>
  <r>
    <x v="5"/>
  </r>
  <r>
    <x v="1"/>
  </r>
  <r>
    <x v="0"/>
  </r>
  <r>
    <x v="3"/>
  </r>
  <r>
    <x v="3"/>
  </r>
  <r>
    <x v="1"/>
  </r>
  <r>
    <x v="3"/>
  </r>
  <r>
    <x v="2"/>
  </r>
  <r>
    <x v="0"/>
  </r>
  <r>
    <x v="0"/>
  </r>
  <r>
    <x v="1"/>
  </r>
  <r>
    <x v="0"/>
  </r>
  <r>
    <x v="5"/>
  </r>
  <r>
    <x v="0"/>
  </r>
  <r>
    <x v="2"/>
  </r>
  <r>
    <x v="0"/>
  </r>
  <r>
    <x v="0"/>
  </r>
  <r>
    <x v="3"/>
  </r>
  <r>
    <x v="1"/>
  </r>
  <r>
    <x v="0"/>
  </r>
  <r>
    <x v="0"/>
  </r>
  <r>
    <x v="0"/>
  </r>
  <r>
    <x v="0"/>
  </r>
  <r>
    <x v="3"/>
  </r>
  <r>
    <x v="0"/>
  </r>
  <r>
    <x v="3"/>
  </r>
  <r>
    <x v="0"/>
  </r>
  <r>
    <x v="4"/>
  </r>
  <r>
    <x v="2"/>
  </r>
  <r>
    <x v="1"/>
  </r>
  <r>
    <x v="2"/>
  </r>
  <r>
    <x v="2"/>
  </r>
  <r>
    <x v="2"/>
  </r>
  <r>
    <x v="0"/>
  </r>
  <r>
    <x v="1"/>
  </r>
  <r>
    <x v="3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2"/>
  </r>
  <r>
    <x v="3"/>
  </r>
  <r>
    <x v="1"/>
  </r>
  <r>
    <x v="2"/>
  </r>
  <r>
    <x v="1"/>
  </r>
  <r>
    <x v="1"/>
  </r>
  <r>
    <x v="0"/>
  </r>
  <r>
    <x v="0"/>
  </r>
  <r>
    <x v="2"/>
  </r>
  <r>
    <x v="2"/>
  </r>
  <r>
    <x v="2"/>
  </r>
  <r>
    <x v="0"/>
  </r>
  <r>
    <x v="0"/>
  </r>
  <r>
    <x v="0"/>
  </r>
  <r>
    <x v="1"/>
  </r>
  <r>
    <x v="0"/>
  </r>
  <r>
    <x v="4"/>
  </r>
  <r>
    <x v="0"/>
  </r>
  <r>
    <x v="0"/>
  </r>
  <r>
    <x v="5"/>
  </r>
  <r>
    <x v="0"/>
  </r>
  <r>
    <x v="0"/>
  </r>
  <r>
    <x v="3"/>
  </r>
  <r>
    <x v="0"/>
  </r>
  <r>
    <x v="0"/>
  </r>
  <r>
    <x v="2"/>
  </r>
  <r>
    <x v="2"/>
  </r>
  <r>
    <x v="1"/>
  </r>
  <r>
    <x v="2"/>
  </r>
  <r>
    <x v="0"/>
  </r>
  <r>
    <x v="1"/>
  </r>
  <r>
    <x v="1"/>
  </r>
  <r>
    <x v="0"/>
  </r>
  <r>
    <x v="2"/>
  </r>
  <r>
    <x v="5"/>
  </r>
  <r>
    <x v="1"/>
  </r>
  <r>
    <x v="3"/>
  </r>
  <r>
    <x v="1"/>
  </r>
  <r>
    <x v="1"/>
  </r>
  <r>
    <x v="5"/>
  </r>
  <r>
    <x v="5"/>
  </r>
  <r>
    <x v="1"/>
  </r>
  <r>
    <x v="3"/>
  </r>
  <r>
    <x v="5"/>
  </r>
  <r>
    <x v="1"/>
  </r>
  <r>
    <x v="0"/>
  </r>
  <r>
    <x v="2"/>
  </r>
  <r>
    <x v="2"/>
  </r>
  <r>
    <x v="0"/>
  </r>
  <r>
    <x v="4"/>
  </r>
  <r>
    <x v="0"/>
  </r>
  <r>
    <x v="1"/>
  </r>
  <r>
    <x v="0"/>
  </r>
  <r>
    <x v="1"/>
  </r>
  <r>
    <x v="0"/>
  </r>
  <r>
    <x v="0"/>
  </r>
  <r>
    <x v="0"/>
  </r>
  <r>
    <x v="2"/>
  </r>
  <r>
    <x v="1"/>
  </r>
  <r>
    <x v="0"/>
  </r>
  <r>
    <x v="0"/>
  </r>
  <r>
    <x v="1"/>
  </r>
  <r>
    <x v="1"/>
  </r>
  <r>
    <x v="0"/>
  </r>
  <r>
    <x v="4"/>
  </r>
  <r>
    <x v="0"/>
  </r>
  <r>
    <x v="1"/>
  </r>
  <r>
    <x v="4"/>
  </r>
  <r>
    <x v="2"/>
  </r>
  <r>
    <x v="0"/>
  </r>
  <r>
    <x v="1"/>
  </r>
  <r>
    <x v="1"/>
  </r>
  <r>
    <x v="3"/>
  </r>
  <r>
    <x v="5"/>
  </r>
  <r>
    <x v="4"/>
  </r>
  <r>
    <x v="1"/>
  </r>
  <r>
    <x v="1"/>
  </r>
  <r>
    <x v="3"/>
  </r>
  <r>
    <x v="0"/>
  </r>
  <r>
    <x v="0"/>
  </r>
  <r>
    <x v="4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3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3"/>
  </r>
  <r>
    <x v="0"/>
  </r>
  <r>
    <x v="5"/>
  </r>
  <r>
    <x v="1"/>
  </r>
  <r>
    <x v="0"/>
  </r>
  <r>
    <x v="0"/>
  </r>
  <r>
    <x v="3"/>
  </r>
  <r>
    <x v="0"/>
  </r>
  <r>
    <x v="2"/>
  </r>
  <r>
    <x v="1"/>
  </r>
  <r>
    <x v="0"/>
  </r>
  <r>
    <x v="2"/>
  </r>
  <r>
    <x v="2"/>
  </r>
  <r>
    <x v="0"/>
  </r>
  <r>
    <x v="0"/>
  </r>
  <r>
    <x v="1"/>
  </r>
  <r>
    <x v="0"/>
  </r>
  <r>
    <x v="1"/>
  </r>
  <r>
    <x v="0"/>
  </r>
  <r>
    <x v="1"/>
  </r>
  <r>
    <x v="4"/>
  </r>
  <r>
    <x v="2"/>
  </r>
  <r>
    <x v="0"/>
  </r>
  <r>
    <x v="2"/>
  </r>
  <r>
    <x v="1"/>
  </r>
  <r>
    <x v="0"/>
  </r>
  <r>
    <x v="2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2"/>
  </r>
  <r>
    <x v="2"/>
  </r>
  <r>
    <x v="5"/>
  </r>
  <r>
    <x v="0"/>
  </r>
  <r>
    <x v="4"/>
  </r>
  <r>
    <x v="0"/>
  </r>
  <r>
    <x v="0"/>
  </r>
  <r>
    <x v="2"/>
  </r>
  <r>
    <x v="2"/>
  </r>
  <r>
    <x v="2"/>
  </r>
  <r>
    <x v="0"/>
  </r>
  <r>
    <x v="1"/>
  </r>
  <r>
    <x v="2"/>
  </r>
  <r>
    <x v="0"/>
  </r>
  <r>
    <x v="0"/>
  </r>
  <r>
    <x v="0"/>
  </r>
  <r>
    <x v="2"/>
  </r>
  <r>
    <x v="2"/>
  </r>
  <r>
    <x v="1"/>
  </r>
  <r>
    <x v="1"/>
  </r>
  <r>
    <x v="1"/>
  </r>
  <r>
    <x v="2"/>
  </r>
  <r>
    <x v="0"/>
  </r>
  <r>
    <x v="3"/>
  </r>
  <r>
    <x v="3"/>
  </r>
  <r>
    <x v="3"/>
  </r>
  <r>
    <x v="0"/>
  </r>
  <r>
    <x v="0"/>
  </r>
  <r>
    <x v="0"/>
  </r>
  <r>
    <x v="0"/>
  </r>
  <r>
    <x v="0"/>
  </r>
  <r>
    <x v="5"/>
  </r>
  <r>
    <x v="2"/>
  </r>
  <r>
    <x v="3"/>
  </r>
  <r>
    <x v="0"/>
  </r>
  <r>
    <x v="0"/>
  </r>
  <r>
    <x v="0"/>
  </r>
  <r>
    <x v="3"/>
  </r>
  <r>
    <x v="2"/>
  </r>
  <r>
    <x v="0"/>
  </r>
  <r>
    <x v="1"/>
  </r>
  <r>
    <x v="3"/>
  </r>
  <r>
    <x v="0"/>
  </r>
  <r>
    <x v="2"/>
  </r>
  <r>
    <x v="0"/>
  </r>
  <r>
    <x v="0"/>
  </r>
  <r>
    <x v="3"/>
  </r>
  <r>
    <x v="1"/>
  </r>
  <r>
    <x v="0"/>
  </r>
  <r>
    <x v="1"/>
  </r>
  <r>
    <x v="2"/>
  </r>
  <r>
    <x v="2"/>
  </r>
  <r>
    <x v="1"/>
  </r>
  <r>
    <x v="2"/>
  </r>
  <r>
    <x v="0"/>
  </r>
  <r>
    <x v="2"/>
  </r>
  <r>
    <x v="1"/>
  </r>
  <r>
    <x v="2"/>
  </r>
  <r>
    <x v="0"/>
  </r>
  <r>
    <x v="0"/>
  </r>
  <r>
    <x v="2"/>
  </r>
  <r>
    <x v="5"/>
  </r>
  <r>
    <x v="2"/>
  </r>
  <r>
    <x v="2"/>
  </r>
  <r>
    <x v="2"/>
  </r>
  <r>
    <x v="0"/>
  </r>
  <r>
    <x v="0"/>
  </r>
  <r>
    <x v="0"/>
  </r>
  <r>
    <x v="1"/>
  </r>
  <r>
    <x v="3"/>
  </r>
  <r>
    <x v="1"/>
  </r>
  <r>
    <x v="1"/>
  </r>
  <r>
    <x v="0"/>
  </r>
  <r>
    <x v="0"/>
  </r>
  <r>
    <x v="2"/>
  </r>
  <r>
    <x v="5"/>
  </r>
  <r>
    <x v="0"/>
  </r>
  <r>
    <x v="1"/>
  </r>
  <r>
    <x v="1"/>
  </r>
  <r>
    <x v="2"/>
  </r>
  <r>
    <x v="2"/>
  </r>
  <r>
    <x v="2"/>
  </r>
  <r>
    <x v="1"/>
  </r>
  <r>
    <x v="2"/>
  </r>
  <r>
    <x v="1"/>
  </r>
  <r>
    <x v="0"/>
  </r>
  <r>
    <x v="1"/>
  </r>
  <r>
    <x v="3"/>
  </r>
  <r>
    <x v="3"/>
  </r>
  <r>
    <x v="0"/>
  </r>
  <r>
    <x v="1"/>
  </r>
  <r>
    <x v="0"/>
  </r>
  <r>
    <x v="2"/>
  </r>
  <r>
    <x v="0"/>
  </r>
  <r>
    <x v="5"/>
  </r>
  <r>
    <x v="2"/>
  </r>
  <r>
    <x v="0"/>
  </r>
  <r>
    <x v="2"/>
  </r>
  <r>
    <x v="0"/>
  </r>
  <r>
    <x v="0"/>
  </r>
  <r>
    <x v="2"/>
  </r>
  <r>
    <x v="3"/>
  </r>
  <r>
    <x v="2"/>
  </r>
  <r>
    <x v="1"/>
  </r>
  <r>
    <x v="2"/>
  </r>
  <r>
    <x v="5"/>
  </r>
  <r>
    <x v="2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3"/>
  </r>
  <r>
    <x v="0"/>
  </r>
  <r>
    <x v="0"/>
  </r>
  <r>
    <x v="2"/>
  </r>
  <r>
    <x v="5"/>
  </r>
  <r>
    <x v="0"/>
  </r>
  <r>
    <x v="0"/>
  </r>
  <r>
    <x v="1"/>
  </r>
  <r>
    <x v="2"/>
  </r>
  <r>
    <x v="1"/>
  </r>
  <r>
    <x v="5"/>
  </r>
  <r>
    <x v="5"/>
  </r>
  <r>
    <x v="3"/>
  </r>
  <r>
    <x v="2"/>
  </r>
  <r>
    <x v="2"/>
  </r>
  <r>
    <x v="5"/>
  </r>
  <r>
    <x v="2"/>
  </r>
  <r>
    <x v="0"/>
  </r>
  <r>
    <x v="0"/>
  </r>
  <r>
    <x v="1"/>
  </r>
  <r>
    <x v="3"/>
  </r>
  <r>
    <x v="1"/>
  </r>
  <r>
    <x v="1"/>
  </r>
  <r>
    <x v="0"/>
  </r>
  <r>
    <x v="0"/>
  </r>
  <r>
    <x v="3"/>
  </r>
  <r>
    <x v="1"/>
  </r>
  <r>
    <x v="2"/>
  </r>
  <r>
    <x v="3"/>
  </r>
  <r>
    <x v="2"/>
  </r>
  <r>
    <x v="5"/>
  </r>
  <r>
    <x v="2"/>
  </r>
  <r>
    <x v="1"/>
  </r>
  <r>
    <x v="1"/>
  </r>
  <r>
    <x v="2"/>
  </r>
  <r>
    <x v="1"/>
  </r>
  <r>
    <x v="1"/>
  </r>
  <r>
    <x v="4"/>
  </r>
  <r>
    <x v="5"/>
  </r>
  <r>
    <x v="5"/>
  </r>
  <r>
    <x v="0"/>
  </r>
  <r>
    <x v="5"/>
  </r>
  <r>
    <x v="1"/>
  </r>
  <r>
    <x v="0"/>
  </r>
  <r>
    <x v="0"/>
  </r>
  <r>
    <x v="3"/>
  </r>
  <r>
    <x v="1"/>
  </r>
  <r>
    <x v="1"/>
  </r>
  <r>
    <x v="1"/>
  </r>
  <r>
    <x v="5"/>
  </r>
  <r>
    <x v="0"/>
  </r>
  <r>
    <x v="5"/>
  </r>
  <r>
    <x v="3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5"/>
  </r>
  <r>
    <x v="0"/>
  </r>
  <r>
    <x v="1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47620-D2C1-4852-9639-7B6FDC289454}" name="TablaDinámica11" cacheId="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4:L11" firstHeaderRow="1" firstDataRow="1" firstDataCol="1"/>
  <pivotFields count="1">
    <pivotField axis="axisRow" dataField="1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Tramos_Prom_Propiedad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7CD31-F5C0-44B2-A901-9DAA142087D0}" name="TablaDinámica1" cacheId="53" applyNumberFormats="0" applyBorderFormats="0" applyFontFormats="0" applyPatternFormats="0" applyAlignmentFormats="0" applyWidthHeightFormats="1" dataCaption="Valores" showError="1" updatedVersion="8" minRefreshableVersion="3" itemPrintTitles="1" createdVersion="8" indent="0" outline="1" outlineData="1" multipleFieldFilters="0">
  <location ref="G3:H10" firstHeaderRow="1" firstDataRow="1" firstDataCol="1" rowPageCount="1" colPageCount="1"/>
  <pivotFields count="5">
    <pivotField axis="axisPage" showAll="0">
      <items count="17">
        <item x="2"/>
        <item x="0"/>
        <item x="3"/>
        <item x="14"/>
        <item x="4"/>
        <item x="11"/>
        <item x="13"/>
        <item x="12"/>
        <item x="15"/>
        <item x="1"/>
        <item x="5"/>
        <item x="10"/>
        <item x="7"/>
        <item x="8"/>
        <item x="9"/>
        <item x="6"/>
        <item t="default"/>
      </items>
    </pivotField>
    <pivotField axis="axisRow" showAll="0">
      <items count="7">
        <item x="0"/>
        <item x="1"/>
        <item x="3"/>
        <item x="4"/>
        <item x="5"/>
        <item x="2"/>
        <item t="default"/>
      </items>
    </pivotField>
    <pivotField showAll="0"/>
    <pivotField showAll="0"/>
    <pivotField dataField="1" numFmtId="3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item="15" hier="-1"/>
  </pageFields>
  <dataFields count="1">
    <dataField name="2024 Fin " fld="4" baseField="1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29F3D-C32F-4229-BB63-F90623C0CDB8}" name="TablaDinámica2" cacheId="54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Comuna" colHeaderCaption=".">
  <location ref="A3:G58" firstHeaderRow="1" firstDataRow="2" firstDataCol="1" rowPageCount="1" colPageCount="1"/>
  <pivotFields count="6">
    <pivotField axis="axisPage" showAll="0">
      <items count="18">
        <item x="3"/>
        <item x="1"/>
        <item x="4"/>
        <item x="15"/>
        <item x="5"/>
        <item x="12"/>
        <item x="14"/>
        <item x="13"/>
        <item x="16"/>
        <item x="2"/>
        <item x="6"/>
        <item x="11"/>
        <item x="8"/>
        <item x="9"/>
        <item x="10"/>
        <item x="7"/>
        <item x="0"/>
        <item t="default"/>
      </items>
    </pivotField>
    <pivotField axis="axisRow" showAll="0" sortType="descending">
      <items count="364">
        <item x="82"/>
        <item x="141"/>
        <item x="260"/>
        <item x="33"/>
        <item x="12"/>
        <item x="326"/>
        <item x="40"/>
        <item x="265"/>
        <item x="362"/>
        <item x="22"/>
        <item x="248"/>
        <item x="244"/>
        <item x="4"/>
        <item x="344"/>
        <item x="137"/>
        <item x="223"/>
        <item x="53"/>
        <item x="361"/>
        <item x="240"/>
        <item x="18"/>
        <item x="325"/>
        <item x="27"/>
        <item x="65"/>
        <item x="131"/>
        <item x="72"/>
        <item x="5"/>
        <item x="8"/>
        <item x="46"/>
        <item x="259"/>
        <item x="280"/>
        <item x="85"/>
        <item x="81"/>
        <item x="332"/>
        <item x="63"/>
        <item x="204"/>
        <item x="117"/>
        <item x="103"/>
        <item x="336"/>
        <item x="199"/>
        <item x="25"/>
        <item x="175"/>
        <item x="237"/>
        <item x="0"/>
        <item x="347"/>
        <item x="218"/>
        <item x="220"/>
        <item x="173"/>
        <item x="278"/>
        <item x="334"/>
        <item x="343"/>
        <item x="208"/>
        <item x="324"/>
        <item x="348"/>
        <item x="145"/>
        <item x="214"/>
        <item x="219"/>
        <item x="153"/>
        <item x="198"/>
        <item x="7"/>
        <item x="91"/>
        <item x="266"/>
        <item x="156"/>
        <item x="45"/>
        <item x="234"/>
        <item x="96"/>
        <item x="74"/>
        <item x="189"/>
        <item x="261"/>
        <item x="28"/>
        <item x="37"/>
        <item x="239"/>
        <item x="303"/>
        <item x="345"/>
        <item x="286"/>
        <item x="275"/>
        <item x="98"/>
        <item x="330"/>
        <item x="251"/>
        <item x="294"/>
        <item x="185"/>
        <item x="182"/>
        <item x="329"/>
        <item x="26"/>
        <item x="150"/>
        <item x="125"/>
        <item x="226"/>
        <item x="135"/>
        <item x="83"/>
        <item x="84"/>
        <item x="195"/>
        <item x="269"/>
        <item x="111"/>
        <item x="235"/>
        <item x="287"/>
        <item x="31"/>
        <item x="318"/>
        <item x="317"/>
        <item x="338"/>
        <item x="305"/>
        <item x="273"/>
        <item x="2"/>
        <item x="290"/>
        <item x="146"/>
        <item x="341"/>
        <item x="66"/>
        <item x="327"/>
        <item x="181"/>
        <item x="233"/>
        <item x="238"/>
        <item x="9"/>
        <item x="30"/>
        <item x="95"/>
        <item x="47"/>
        <item x="101"/>
        <item x="10"/>
        <item x="138"/>
        <item x="51"/>
        <item x="86"/>
        <item x="122"/>
        <item x="68"/>
        <item x="151"/>
        <item x="121"/>
        <item x="123"/>
        <item x="35"/>
        <item x="54"/>
        <item x="127"/>
        <item x="107"/>
        <item x="36"/>
        <item x="306"/>
        <item x="307"/>
        <item x="342"/>
        <item x="354"/>
        <item x="246"/>
        <item x="92"/>
        <item x="298"/>
        <item x="155"/>
        <item x="102"/>
        <item x="277"/>
        <item x="254"/>
        <item x="183"/>
        <item x="76"/>
        <item x="202"/>
        <item x="147"/>
        <item x="70"/>
        <item x="319"/>
        <item x="93"/>
        <item x="120"/>
        <item x="108"/>
        <item x="174"/>
        <item x="295"/>
        <item x="203"/>
        <item x="276"/>
        <item x="255"/>
        <item x="69"/>
        <item x="249"/>
        <item x="302"/>
        <item x="321"/>
        <item x="267"/>
        <item x="49"/>
        <item x="241"/>
        <item x="270"/>
        <item x="149"/>
        <item x="113"/>
        <item x="300"/>
        <item x="118"/>
        <item x="164"/>
        <item x="161"/>
        <item x="17"/>
        <item x="119"/>
        <item x="297"/>
        <item x="193"/>
        <item x="323"/>
        <item x="21"/>
        <item x="285"/>
        <item x="136"/>
        <item x="186"/>
        <item x="43"/>
        <item x="144"/>
        <item x="258"/>
        <item x="252"/>
        <item x="172"/>
        <item x="353"/>
        <item x="143"/>
        <item x="253"/>
        <item x="211"/>
        <item x="59"/>
        <item x="282"/>
        <item x="210"/>
        <item x="110"/>
        <item x="350"/>
        <item x="152"/>
        <item x="15"/>
        <item x="75"/>
        <item x="311"/>
        <item x="42"/>
        <item x="126"/>
        <item x="283"/>
        <item x="38"/>
        <item x="304"/>
        <item x="139"/>
        <item x="339"/>
        <item x="166"/>
        <item x="299"/>
        <item x="62"/>
        <item x="55"/>
        <item x="171"/>
        <item x="206"/>
        <item x="114"/>
        <item x="190"/>
        <item x="201"/>
        <item x="227"/>
        <item x="191"/>
        <item x="231"/>
        <item x="130"/>
        <item x="112"/>
        <item x="165"/>
        <item x="274"/>
        <item x="52"/>
        <item x="159"/>
        <item x="13"/>
        <item x="158"/>
        <item x="160"/>
        <item x="222"/>
        <item x="132"/>
        <item x="288"/>
        <item x="169"/>
        <item x="216"/>
        <item x="359"/>
        <item x="11"/>
        <item x="357"/>
        <item x="105"/>
        <item x="58"/>
        <item x="292"/>
        <item x="106"/>
        <item x="129"/>
        <item x="322"/>
        <item x="316"/>
        <item x="320"/>
        <item x="168"/>
        <item x="44"/>
        <item x="358"/>
        <item x="333"/>
        <item x="268"/>
        <item x="315"/>
        <item x="57"/>
        <item x="3"/>
        <item x="313"/>
        <item x="335"/>
        <item x="337"/>
        <item x="328"/>
        <item x="257"/>
        <item x="94"/>
        <item x="250"/>
        <item x="224"/>
        <item x="73"/>
        <item x="80"/>
        <item x="331"/>
        <item x="157"/>
        <item x="104"/>
        <item x="64"/>
        <item x="209"/>
        <item x="148"/>
        <item x="221"/>
        <item x="179"/>
        <item x="100"/>
        <item x="14"/>
        <item x="1"/>
        <item x="24"/>
        <item x="340"/>
        <item x="34"/>
        <item x="263"/>
        <item x="309"/>
        <item x="296"/>
        <item x="351"/>
        <item x="6"/>
        <item x="50"/>
        <item x="229"/>
        <item x="142"/>
        <item x="176"/>
        <item x="207"/>
        <item x="89"/>
        <item x="264"/>
        <item x="99"/>
        <item x="162"/>
        <item x="154"/>
        <item x="205"/>
        <item x="71"/>
        <item x="308"/>
        <item x="187"/>
        <item x="41"/>
        <item x="346"/>
        <item x="314"/>
        <item x="356"/>
        <item x="180"/>
        <item x="284"/>
        <item x="184"/>
        <item x="48"/>
        <item x="88"/>
        <item x="128"/>
        <item x="212"/>
        <item x="194"/>
        <item x="67"/>
        <item x="217"/>
        <item x="61"/>
        <item x="167"/>
        <item x="355"/>
        <item x="225"/>
        <item x="196"/>
        <item x="115"/>
        <item x="133"/>
        <item x="312"/>
        <item x="116"/>
        <item x="215"/>
        <item x="310"/>
        <item x="140"/>
        <item x="20"/>
        <item x="236"/>
        <item x="188"/>
        <item x="124"/>
        <item x="245"/>
        <item x="163"/>
        <item x="256"/>
        <item x="170"/>
        <item x="243"/>
        <item x="60"/>
        <item x="109"/>
        <item x="87"/>
        <item x="19"/>
        <item x="134"/>
        <item x="192"/>
        <item x="232"/>
        <item x="23"/>
        <item x="281"/>
        <item x="177"/>
        <item x="289"/>
        <item x="29"/>
        <item x="90"/>
        <item x="360"/>
        <item x="262"/>
        <item x="16"/>
        <item x="291"/>
        <item x="230"/>
        <item x="352"/>
        <item x="349"/>
        <item x="272"/>
        <item x="213"/>
        <item x="247"/>
        <item x="301"/>
        <item x="32"/>
        <item x="78"/>
        <item x="178"/>
        <item x="271"/>
        <item x="39"/>
        <item x="279"/>
        <item x="197"/>
        <item x="79"/>
        <item x="293"/>
        <item x="77"/>
        <item x="97"/>
        <item x="200"/>
        <item x="242"/>
        <item x="228"/>
        <item x="5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5"/>
            </reference>
          </references>
        </pivotArea>
      </autoSortScope>
    </pivotField>
    <pivotField axis="axisCol" showAll="0">
      <items count="7">
        <item x="0"/>
        <item x="1"/>
        <item x="3"/>
        <item x="4"/>
        <item x="5"/>
        <item x="2"/>
        <item t="default"/>
      </items>
    </pivotField>
    <pivotField showAll="0"/>
    <pivotField showAll="0"/>
    <pivotField dataField="1" numFmtId="3" showAll="0"/>
  </pivotFields>
  <rowFields count="1">
    <field x="1"/>
  </rowFields>
  <rowItems count="54">
    <i>
      <x v="280"/>
    </i>
    <i>
      <x v="234"/>
    </i>
    <i>
      <x v="164"/>
    </i>
    <i>
      <x v="325"/>
    </i>
    <i>
      <x v="121"/>
    </i>
    <i>
      <x v="298"/>
    </i>
    <i>
      <x v="136"/>
    </i>
    <i>
      <x v="251"/>
    </i>
    <i>
      <x v="214"/>
    </i>
    <i>
      <x v="188"/>
    </i>
    <i>
      <x v="233"/>
    </i>
    <i>
      <x v="91"/>
    </i>
    <i>
      <x v="59"/>
    </i>
    <i>
      <x v="264"/>
    </i>
    <i>
      <x v="125"/>
    </i>
    <i>
      <x v="84"/>
    </i>
    <i>
      <x v="230"/>
    </i>
    <i>
      <x v="282"/>
    </i>
    <i>
      <x v="113"/>
    </i>
    <i>
      <x v="174"/>
    </i>
    <i>
      <x v="311"/>
    </i>
    <i>
      <x v="133"/>
    </i>
    <i>
      <x v="258"/>
    </i>
    <i>
      <x v="36"/>
    </i>
    <i>
      <x v="162"/>
    </i>
    <i>
      <x v="64"/>
    </i>
    <i>
      <x v="145"/>
    </i>
    <i>
      <x v="122"/>
    </i>
    <i>
      <x v="111"/>
    </i>
    <i>
      <x v="14"/>
    </i>
    <i>
      <x v="213"/>
    </i>
    <i>
      <x v="207"/>
    </i>
    <i>
      <x v="308"/>
    </i>
    <i>
      <x v="147"/>
    </i>
    <i>
      <x v="118"/>
    </i>
    <i>
      <x v="146"/>
    </i>
    <i>
      <x v="126"/>
    </i>
    <i>
      <x v="358"/>
    </i>
    <i>
      <x v="35"/>
    </i>
    <i>
      <x v="199"/>
    </i>
    <i>
      <x v="328"/>
    </i>
    <i>
      <x v="318"/>
    </i>
    <i>
      <x v="195"/>
    </i>
    <i>
      <x v="115"/>
    </i>
    <i>
      <x v="86"/>
    </i>
    <i>
      <x v="75"/>
    </i>
    <i>
      <x v="223"/>
    </i>
    <i>
      <x v="23"/>
    </i>
    <i>
      <x v="336"/>
    </i>
    <i>
      <x v="309"/>
    </i>
    <i>
      <x v="168"/>
    </i>
    <i>
      <x v="314"/>
    </i>
    <i>
      <x v="1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0" item="15" hier="-1"/>
  </pageFields>
  <dataFields count="1">
    <dataField name="Suma de 2024 Fin" fld="5" baseField="1" baseItem="1" numFmtId="3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CD9C-0CB5-42CF-A461-C9944A0C31EC}">
  <sheetPr codeName="Hoja1"/>
  <dimension ref="A1:H51"/>
  <sheetViews>
    <sheetView showGridLines="0" zoomScale="113" zoomScaleNormal="90" workbookViewId="0">
      <pane xSplit="1" ySplit="4" topLeftCell="B5" activePane="bottomRight" state="frozen"/>
      <selection pane="topRight" activeCell="C1" sqref="C1"/>
      <selection pane="bottomLeft" activeCell="A5" sqref="A5"/>
      <selection pane="bottomRight" activeCell="A3" sqref="A3"/>
    </sheetView>
  </sheetViews>
  <sheetFormatPr baseColWidth="10" defaultRowHeight="15" x14ac:dyDescent="0.25"/>
  <cols>
    <col min="1" max="1" width="31.28515625" bestFit="1" customWidth="1"/>
    <col min="2" max="2" width="17" style="7" bestFit="1" customWidth="1"/>
    <col min="3" max="3" width="15.7109375" bestFit="1" customWidth="1"/>
    <col min="4" max="4" width="2" customWidth="1"/>
    <col min="5" max="5" width="17" bestFit="1" customWidth="1"/>
    <col min="6" max="6" width="15.7109375" bestFit="1" customWidth="1"/>
  </cols>
  <sheetData>
    <row r="1" spans="1:8" ht="15.75" thickBot="1" x14ac:dyDescent="0.3">
      <c r="A1" s="7" t="s">
        <v>2500</v>
      </c>
      <c r="H1" t="s">
        <v>1525</v>
      </c>
    </row>
    <row r="2" spans="1:8" ht="17.25" thickTop="1" thickBot="1" x14ac:dyDescent="0.3">
      <c r="A2" s="37" t="s">
        <v>1748</v>
      </c>
      <c r="B2" s="36" t="s">
        <v>2506</v>
      </c>
      <c r="C2" s="36" t="s">
        <v>2507</v>
      </c>
    </row>
    <row r="3" spans="1:8" ht="16.5" thickTop="1" thickBot="1" x14ac:dyDescent="0.3">
      <c r="B3" s="109" t="s">
        <v>2502</v>
      </c>
      <c r="C3" s="110"/>
      <c r="E3" s="109" t="s">
        <v>2503</v>
      </c>
      <c r="F3" s="110"/>
    </row>
    <row r="4" spans="1:8" s="7" customFormat="1" x14ac:dyDescent="0.25">
      <c r="A4" s="19" t="s">
        <v>2497</v>
      </c>
      <c r="B4" s="20" t="s">
        <v>22</v>
      </c>
      <c r="C4" s="20" t="s">
        <v>2496</v>
      </c>
      <c r="E4" s="20" t="s">
        <v>22</v>
      </c>
      <c r="F4" s="20" t="s">
        <v>2496</v>
      </c>
    </row>
    <row r="5" spans="1:8" s="46" customFormat="1" ht="15" customHeight="1" x14ac:dyDescent="0.25">
      <c r="A5" s="73" t="s">
        <v>2504</v>
      </c>
      <c r="B5" s="74">
        <f>+'P&amp;G_Agente_Inmobiliario'!O7</f>
        <v>986.15266224327877</v>
      </c>
      <c r="C5" s="74">
        <f>+B5/12</f>
        <v>82.179388520273235</v>
      </c>
      <c r="D5" s="45"/>
      <c r="E5" s="74" t="e">
        <f>+'P&amp;G_Agente_Inmobiliario'!#REF!</f>
        <v>#REF!</v>
      </c>
      <c r="F5" s="74" t="e">
        <f>+E5/12</f>
        <v>#REF!</v>
      </c>
    </row>
    <row r="6" spans="1:8" s="46" customFormat="1" ht="15" customHeight="1" x14ac:dyDescent="0.25">
      <c r="A6" s="38" t="s">
        <v>16</v>
      </c>
      <c r="B6" s="44">
        <f>+'P&amp;G_Agente_Inmobiliario'!O13</f>
        <v>176</v>
      </c>
      <c r="C6" s="44">
        <f t="shared" ref="C6:C7" si="0">+B6/12</f>
        <v>14.666666666666666</v>
      </c>
      <c r="D6" s="45"/>
      <c r="E6" s="44" t="e">
        <f>+'P&amp;G_Agente_Inmobiliario'!#REF!</f>
        <v>#REF!</v>
      </c>
      <c r="F6" s="44" t="e">
        <f t="shared" ref="F6:F7" si="1">+E6/12</f>
        <v>#REF!</v>
      </c>
    </row>
    <row r="7" spans="1:8" s="46" customFormat="1" ht="15" customHeight="1" x14ac:dyDescent="0.25">
      <c r="A7" s="39" t="s">
        <v>17</v>
      </c>
      <c r="B7" s="48">
        <f>+'P&amp;G_Agente_Inmobiliario'!O9</f>
        <v>5130.9438902251168</v>
      </c>
      <c r="C7" s="48">
        <f t="shared" si="0"/>
        <v>427.57865751875971</v>
      </c>
      <c r="D7" s="45"/>
      <c r="E7" s="48" t="e">
        <f>+'P&amp;G_Agente_Inmobiliario'!#REF!</f>
        <v>#REF!</v>
      </c>
      <c r="F7" s="48" t="e">
        <f t="shared" si="1"/>
        <v>#REF!</v>
      </c>
    </row>
    <row r="8" spans="1:8" s="52" customFormat="1" ht="15" customHeight="1" x14ac:dyDescent="0.25">
      <c r="A8" s="40" t="s">
        <v>23</v>
      </c>
      <c r="B8" s="50" t="e">
        <f>+'P&amp;G_Agente_Inmobiliario'!#REF!</f>
        <v>#REF!</v>
      </c>
      <c r="C8" s="49"/>
      <c r="D8" s="51"/>
      <c r="E8" s="50" t="e">
        <f>+'P&amp;G_Agente_Inmobiliario'!#REF!</f>
        <v>#REF!</v>
      </c>
      <c r="F8" s="49"/>
    </row>
    <row r="9" spans="1:8" s="52" customFormat="1" ht="15" customHeight="1" x14ac:dyDescent="0.25">
      <c r="A9" s="40" t="s">
        <v>24</v>
      </c>
      <c r="B9" s="50">
        <f>+'P&amp;G_Agente_Inmobiliario'!O11</f>
        <v>148797372.81652838</v>
      </c>
      <c r="C9" s="49"/>
      <c r="D9" s="51"/>
      <c r="E9" s="50" t="e">
        <f>+'P&amp;G_Agente_Inmobiliario'!#REF!</f>
        <v>#REF!</v>
      </c>
      <c r="F9" s="49"/>
    </row>
    <row r="10" spans="1:8" s="52" customFormat="1" ht="15" customHeight="1" x14ac:dyDescent="0.25">
      <c r="A10" s="40" t="s">
        <v>15</v>
      </c>
      <c r="B10" s="50" t="e">
        <f>+'P&amp;G_Agente_Inmobiliario'!#REF!</f>
        <v>#REF!</v>
      </c>
      <c r="C10" s="49"/>
      <c r="D10" s="51"/>
      <c r="E10" s="50" t="e">
        <f>+'P&amp;G_Agente_Inmobiliario'!#REF!</f>
        <v>#REF!</v>
      </c>
      <c r="F10" s="49" t="e">
        <f>+E10</f>
        <v>#REF!</v>
      </c>
    </row>
    <row r="11" spans="1:8" s="52" customFormat="1" ht="15" customHeight="1" x14ac:dyDescent="0.25">
      <c r="A11" s="40" t="s">
        <v>14</v>
      </c>
      <c r="B11" s="50">
        <f>+'P&amp;G_Agente_Inmobiliario'!O12</f>
        <v>44367573.639005408</v>
      </c>
      <c r="C11" s="49"/>
      <c r="D11" s="51"/>
      <c r="E11" s="50" t="e">
        <f>+'P&amp;G_Agente_Inmobiliario'!#REF!</f>
        <v>#REF!</v>
      </c>
      <c r="F11" s="49" t="e">
        <f>+E11</f>
        <v>#REF!</v>
      </c>
    </row>
    <row r="12" spans="1:8" s="46" customFormat="1" ht="15" customHeight="1" x14ac:dyDescent="0.25">
      <c r="A12" s="39" t="s">
        <v>13</v>
      </c>
      <c r="B12" s="48">
        <f>+'P&amp;G_Agente_Inmobiliario'!O14</f>
        <v>7.0000000000000021E-2</v>
      </c>
      <c r="C12" s="47"/>
      <c r="D12" s="45"/>
      <c r="E12" s="48" t="e">
        <f>+'P&amp;G_Agente_Inmobiliario'!#REF!</f>
        <v>#REF!</v>
      </c>
      <c r="F12" s="47"/>
    </row>
    <row r="13" spans="1:8" s="46" customFormat="1" ht="15" customHeight="1" x14ac:dyDescent="0.25">
      <c r="A13" s="40" t="s">
        <v>26</v>
      </c>
      <c r="B13" s="48">
        <f>+'P&amp;G_Agente_Inmobiliario'!O15</f>
        <v>6.2500000000000014E-2</v>
      </c>
      <c r="C13" s="47"/>
      <c r="D13" s="45"/>
      <c r="E13" s="48" t="e">
        <f>+'P&amp;G_Agente_Inmobiliario'!#REF!</f>
        <v>#REF!</v>
      </c>
      <c r="F13" s="47"/>
    </row>
    <row r="14" spans="1:8" s="55" customFormat="1" ht="15" customHeight="1" x14ac:dyDescent="0.25">
      <c r="A14" s="41" t="s">
        <v>18</v>
      </c>
      <c r="B14" s="48" t="e">
        <f>+'P&amp;G_Agente_Inmobiliario'!#REF!</f>
        <v>#REF!</v>
      </c>
      <c r="C14" s="53"/>
      <c r="D14" s="54"/>
      <c r="E14" s="48" t="e">
        <f>+'P&amp;G_Agente_Inmobiliario'!#REF!</f>
        <v>#REF!</v>
      </c>
      <c r="F14" s="53"/>
    </row>
    <row r="15" spans="1:8" s="55" customFormat="1" ht="15" customHeight="1" thickBot="1" x14ac:dyDescent="0.3">
      <c r="A15" s="42" t="s">
        <v>2505</v>
      </c>
      <c r="B15" s="57">
        <f>+'P&amp;G_Agente_Inmobiliario'!O16</f>
        <v>6195.987743291631</v>
      </c>
      <c r="C15" s="56"/>
      <c r="D15" s="54"/>
      <c r="E15" s="57" t="e">
        <f>+'P&amp;G_Agente_Inmobiliario'!#REF!</f>
        <v>#REF!</v>
      </c>
      <c r="F15" s="56"/>
    </row>
    <row r="16" spans="1:8" s="60" customFormat="1" ht="15" customHeight="1" thickBot="1" x14ac:dyDescent="0.3">
      <c r="A16" s="58" t="s">
        <v>12</v>
      </c>
      <c r="B16" s="58">
        <f>+'P&amp;G_Agente_Inmobiliario'!O17</f>
        <v>193164946.4555338</v>
      </c>
      <c r="C16" s="58">
        <f>+B16/12</f>
        <v>16097078.871294484</v>
      </c>
      <c r="D16" s="59"/>
      <c r="E16" s="58" t="e">
        <f>+'P&amp;G_Agente_Inmobiliario'!#REF!</f>
        <v>#REF!</v>
      </c>
      <c r="F16" s="58" t="e">
        <f>+E16/12</f>
        <v>#REF!</v>
      </c>
    </row>
    <row r="17" spans="1:6" s="52" customFormat="1" ht="7.5" customHeight="1" x14ac:dyDescent="0.25">
      <c r="A17" s="45"/>
      <c r="B17" s="54"/>
      <c r="C17" s="45"/>
      <c r="D17" s="45"/>
      <c r="E17" s="54"/>
      <c r="F17" s="45"/>
    </row>
    <row r="18" spans="1:6" s="52" customFormat="1" ht="14.1" customHeight="1" x14ac:dyDescent="0.25">
      <c r="A18" s="61" t="s">
        <v>28</v>
      </c>
      <c r="B18" s="62">
        <f>+'P&amp;G_Agente_Inmobiliario'!O19</f>
        <v>-28974741.818330064</v>
      </c>
      <c r="C18" s="62">
        <f t="shared" ref="C18:C22" si="2">+B18/12</f>
        <v>-2414561.8181941719</v>
      </c>
      <c r="D18" s="51"/>
      <c r="E18" s="62" t="e">
        <f>+'P&amp;G_Agente_Inmobiliario'!#REF!</f>
        <v>#REF!</v>
      </c>
      <c r="F18" s="62" t="e">
        <f t="shared" ref="F18:F22" si="3">+E18/12</f>
        <v>#REF!</v>
      </c>
    </row>
    <row r="19" spans="1:6" s="46" customFormat="1" ht="14.1" customHeight="1" x14ac:dyDescent="0.25">
      <c r="A19" s="61" t="s">
        <v>27</v>
      </c>
      <c r="B19" s="62">
        <f>+'P&amp;G_Agente_Inmobiliario'!O20</f>
        <v>-57949483.636660129</v>
      </c>
      <c r="C19" s="62">
        <f t="shared" si="2"/>
        <v>-4829123.6363883438</v>
      </c>
      <c r="D19" s="45"/>
      <c r="E19" s="62" t="e">
        <f>+'P&amp;G_Agente_Inmobiliario'!#REF!</f>
        <v>#REF!</v>
      </c>
      <c r="F19" s="62" t="e">
        <f t="shared" si="3"/>
        <v>#REF!</v>
      </c>
    </row>
    <row r="20" spans="1:6" s="46" customFormat="1" ht="14.1" customHeight="1" x14ac:dyDescent="0.25">
      <c r="A20" s="61" t="s">
        <v>29</v>
      </c>
      <c r="B20" s="62">
        <f>+'P&amp;G_Agente_Inmobiliario'!O21</f>
        <v>-28974741.818330064</v>
      </c>
      <c r="C20" s="62">
        <f t="shared" si="2"/>
        <v>-2414561.8181941719</v>
      </c>
      <c r="D20" s="45"/>
      <c r="E20" s="62" t="e">
        <f>+'P&amp;G_Agente_Inmobiliario'!#REF!</f>
        <v>#REF!</v>
      </c>
      <c r="F20" s="62" t="e">
        <f t="shared" si="3"/>
        <v>#REF!</v>
      </c>
    </row>
    <row r="21" spans="1:6" s="46" customFormat="1" ht="14.1" customHeight="1" thickBot="1" x14ac:dyDescent="0.3">
      <c r="A21" s="63" t="s">
        <v>30</v>
      </c>
      <c r="B21" s="64">
        <f>+'P&amp;G_Agente_Inmobiliario'!O23</f>
        <v>0</v>
      </c>
      <c r="C21" s="64">
        <f t="shared" si="2"/>
        <v>0</v>
      </c>
      <c r="D21" s="45"/>
      <c r="E21" s="64" t="e">
        <f>+'P&amp;G_Agente_Inmobiliario'!#REF!</f>
        <v>#REF!</v>
      </c>
      <c r="F21" s="64" t="e">
        <f t="shared" si="3"/>
        <v>#REF!</v>
      </c>
    </row>
    <row r="22" spans="1:6" s="46" customFormat="1" ht="14.1" customHeight="1" thickBot="1" x14ac:dyDescent="0.3">
      <c r="A22" s="65" t="s">
        <v>41</v>
      </c>
      <c r="B22" s="65">
        <f>+'P&amp;G_Agente_Inmobiliario'!O24</f>
        <v>-124298967.27332026</v>
      </c>
      <c r="C22" s="65">
        <f t="shared" si="2"/>
        <v>-10358247.272776688</v>
      </c>
      <c r="D22" s="45"/>
      <c r="E22" s="65" t="e">
        <f>+'P&amp;G_Agente_Inmobiliario'!#REF!</f>
        <v>#REF!</v>
      </c>
      <c r="F22" s="65" t="e">
        <f t="shared" si="3"/>
        <v>#REF!</v>
      </c>
    </row>
    <row r="23" spans="1:6" s="46" customFormat="1" ht="14.1" customHeight="1" x14ac:dyDescent="0.25">
      <c r="A23" s="66" t="s">
        <v>44</v>
      </c>
      <c r="B23" s="67">
        <f>+'P&amp;G_Agente_Inmobiliario'!O25</f>
        <v>0</v>
      </c>
      <c r="C23" s="68"/>
      <c r="D23" s="45"/>
      <c r="E23" s="67" t="e">
        <f>+'P&amp;G_Agente_Inmobiliario'!#REF!</f>
        <v>#REF!</v>
      </c>
      <c r="F23" s="68"/>
    </row>
    <row r="24" spans="1:6" s="46" customFormat="1" ht="6.95" customHeight="1" thickBot="1" x14ac:dyDescent="0.3">
      <c r="A24" s="45"/>
      <c r="B24" s="54"/>
      <c r="C24" s="45"/>
      <c r="D24" s="45"/>
      <c r="E24" s="54"/>
      <c r="F24" s="45"/>
    </row>
    <row r="25" spans="1:6" s="46" customFormat="1" ht="14.1" customHeight="1" thickBot="1" x14ac:dyDescent="0.3">
      <c r="A25" s="65" t="s">
        <v>42</v>
      </c>
      <c r="B25" s="65">
        <f>+'P&amp;G_Agente_Inmobiliario'!O27</f>
        <v>68865979.182213545</v>
      </c>
      <c r="C25" s="65">
        <f>+B25/12</f>
        <v>5738831.5985177951</v>
      </c>
      <c r="D25" s="45"/>
      <c r="E25" s="65" t="e">
        <f>+'P&amp;G_Agente_Inmobiliario'!#REF!</f>
        <v>#REF!</v>
      </c>
      <c r="F25" s="65" t="e">
        <f>+E25/12</f>
        <v>#REF!</v>
      </c>
    </row>
    <row r="26" spans="1:6" s="46" customFormat="1" ht="14.1" customHeight="1" thickBot="1" x14ac:dyDescent="0.3">
      <c r="A26" s="69" t="s">
        <v>43</v>
      </c>
      <c r="B26" s="70">
        <f>+'P&amp;G_Agente_Inmobiliario'!O28</f>
        <v>0.35651385225872934</v>
      </c>
      <c r="C26" s="70">
        <f>+C25/C16</f>
        <v>0.35651385225872934</v>
      </c>
      <c r="D26" s="45"/>
      <c r="E26" s="70" t="e">
        <f>+'P&amp;G_Agente_Inmobiliario'!#REF!</f>
        <v>#REF!</v>
      </c>
      <c r="F26" s="70" t="e">
        <f>+F25/F16</f>
        <v>#REF!</v>
      </c>
    </row>
    <row r="27" spans="1:6" s="46" customFormat="1" ht="14.1" customHeight="1" thickBot="1" x14ac:dyDescent="0.3">
      <c r="A27" s="65" t="s">
        <v>2494</v>
      </c>
      <c r="B27" s="65">
        <f>+'P&amp;G_Agente_Inmobiliario'!O29</f>
        <v>0</v>
      </c>
      <c r="C27" s="71"/>
      <c r="D27" s="45"/>
      <c r="E27" s="65" t="e">
        <f>+'P&amp;G_Agente_Inmobiliario'!#REF!</f>
        <v>#REF!</v>
      </c>
      <c r="F27" s="71"/>
    </row>
    <row r="28" spans="1:6" s="46" customFormat="1" ht="14.1" customHeight="1" thickBot="1" x14ac:dyDescent="0.3">
      <c r="A28" s="69" t="s">
        <v>2495</v>
      </c>
      <c r="B28" s="72">
        <f>+'P&amp;G_Agente_Inmobiliario'!O30</f>
        <v>0</v>
      </c>
      <c r="C28" s="71"/>
      <c r="D28" s="45"/>
      <c r="E28" s="72" t="e">
        <f>+'P&amp;G_Agente_Inmobiliario'!#REF!</f>
        <v>#REF!</v>
      </c>
      <c r="F28" s="71"/>
    </row>
    <row r="29" spans="1:6" ht="15.75" x14ac:dyDescent="0.25">
      <c r="A29" s="43"/>
    </row>
    <row r="30" spans="1:6" s="7" customFormat="1" x14ac:dyDescent="0.25"/>
    <row r="42" s="14" customFormat="1" x14ac:dyDescent="0.25"/>
    <row r="43" s="9" customFormat="1" ht="8.1" customHeight="1" x14ac:dyDescent="0.25"/>
    <row r="44" s="9" customFormat="1" x14ac:dyDescent="0.25"/>
    <row r="45" s="9" customFormat="1" x14ac:dyDescent="0.25"/>
    <row r="46" s="9" customFormat="1" x14ac:dyDescent="0.25"/>
    <row r="47" s="9" customFormat="1" x14ac:dyDescent="0.25"/>
    <row r="48" s="8" customFormat="1" x14ac:dyDescent="0.25"/>
    <row r="49" s="9" customFormat="1" x14ac:dyDescent="0.25"/>
    <row r="50" s="9" customFormat="1" ht="9" customHeight="1" x14ac:dyDescent="0.25"/>
    <row r="51" s="9" customFormat="1" x14ac:dyDescent="0.25"/>
  </sheetData>
  <mergeCells count="2">
    <mergeCell ref="B3:C3"/>
    <mergeCell ref="E3:F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AA6D2-EE29-4C6E-A4FE-A9E4FFA97C1E}">
  <sheetPr codeName="Hoja2"/>
  <dimension ref="A1:Q30"/>
  <sheetViews>
    <sheetView showGridLines="0" showRowColHeaders="0" tabSelected="1" zoomScale="130" zoomScaleNormal="130"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N9" sqref="N9"/>
    </sheetView>
  </sheetViews>
  <sheetFormatPr baseColWidth="10" defaultRowHeight="15" outlineLevelCol="1" x14ac:dyDescent="0.25"/>
  <cols>
    <col min="1" max="1" width="21.85546875" bestFit="1" customWidth="1"/>
    <col min="2" max="2" width="14.85546875" customWidth="1" outlineLevel="1"/>
    <col min="3" max="8" width="14" customWidth="1" outlineLevel="1"/>
    <col min="9" max="14" width="15.140625" customWidth="1" outlineLevel="1"/>
    <col min="15" max="15" width="15.140625" style="7" bestFit="1" customWidth="1"/>
    <col min="16" max="16" width="14.140625" style="7" bestFit="1" customWidth="1"/>
  </cols>
  <sheetData>
    <row r="1" spans="1:16" ht="15.75" thickBot="1" x14ac:dyDescent="0.3">
      <c r="H1" s="31"/>
      <c r="I1" s="31" t="s">
        <v>2550</v>
      </c>
    </row>
    <row r="2" spans="1:16" ht="15.75" thickBot="1" x14ac:dyDescent="0.3">
      <c r="I2" s="85">
        <v>950</v>
      </c>
    </row>
    <row r="3" spans="1:16" ht="15.75" thickBot="1" x14ac:dyDescent="0.3">
      <c r="A3" s="106" t="s">
        <v>4963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8"/>
    </row>
    <row r="4" spans="1:16" s="7" customFormat="1" x14ac:dyDescent="0.25">
      <c r="A4" s="19" t="s">
        <v>2497</v>
      </c>
      <c r="B4" s="20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  <c r="K4" s="20" t="s">
        <v>11</v>
      </c>
      <c r="L4" s="20" t="s">
        <v>19</v>
      </c>
      <c r="M4" s="20" t="s">
        <v>20</v>
      </c>
      <c r="N4" s="20" t="s">
        <v>21</v>
      </c>
      <c r="O4" s="20" t="s">
        <v>22</v>
      </c>
      <c r="P4" s="20" t="s">
        <v>2496</v>
      </c>
    </row>
    <row r="5" spans="1:16" ht="12.95" customHeight="1" x14ac:dyDescent="0.25">
      <c r="A5" s="22" t="s">
        <v>2547</v>
      </c>
      <c r="B5" s="53">
        <v>8000</v>
      </c>
      <c r="C5" s="53">
        <f>+B5</f>
        <v>8000</v>
      </c>
      <c r="D5" s="53">
        <f t="shared" ref="D5:N5" si="0">+C5-C16</f>
        <v>7961.2</v>
      </c>
      <c r="E5" s="53">
        <f t="shared" si="0"/>
        <v>7868.3434520000001</v>
      </c>
      <c r="F5" s="53">
        <f t="shared" si="0"/>
        <v>7706.7962656640402</v>
      </c>
      <c r="G5" s="53">
        <f t="shared" si="0"/>
        <v>7465.6209264766458</v>
      </c>
      <c r="H5" s="53">
        <f t="shared" si="0"/>
        <v>7135.7540106827091</v>
      </c>
      <c r="I5" s="53">
        <f t="shared" si="0"/>
        <v>6706.98554430071</v>
      </c>
      <c r="J5" s="53">
        <f t="shared" si="0"/>
        <v>6162.6072152611523</v>
      </c>
      <c r="K5" s="53">
        <f t="shared" si="0"/>
        <v>5511.3692771089663</v>
      </c>
      <c r="L5" s="53">
        <f t="shared" si="0"/>
        <v>4753.3210023664087</v>
      </c>
      <c r="M5" s="53">
        <f t="shared" si="0"/>
        <v>3868.1664620292436</v>
      </c>
      <c r="N5" s="53">
        <f t="shared" si="0"/>
        <v>2881.4725520638108</v>
      </c>
      <c r="O5" s="48">
        <f t="shared" ref="O5:O6" si="1">+SUM(C5:N5)</f>
        <v>76021.636707953701</v>
      </c>
      <c r="P5" s="48">
        <f t="shared" ref="P5:P6" si="2">+O5/12</f>
        <v>6335.1363923294748</v>
      </c>
    </row>
    <row r="6" spans="1:16" ht="12.95" customHeight="1" x14ac:dyDescent="0.25">
      <c r="A6" s="22" t="s">
        <v>2548</v>
      </c>
      <c r="B6" s="86">
        <v>0.01</v>
      </c>
      <c r="C6" s="86">
        <v>5.0000000000000001E-3</v>
      </c>
      <c r="D6" s="86">
        <v>7.0000000000000001E-3</v>
      </c>
      <c r="E6" s="86">
        <v>8.9999999999999993E-3</v>
      </c>
      <c r="F6" s="86">
        <v>0.01</v>
      </c>
      <c r="G6" s="86">
        <v>1.2E-2</v>
      </c>
      <c r="H6" s="86">
        <v>1.4E-2</v>
      </c>
      <c r="I6" s="86">
        <v>1.4999999999999999E-2</v>
      </c>
      <c r="J6" s="86">
        <v>1.7000000000000001E-2</v>
      </c>
      <c r="K6" s="86">
        <v>1.9E-2</v>
      </c>
      <c r="L6" s="86">
        <v>2.1000000000000001E-2</v>
      </c>
      <c r="M6" s="86">
        <v>2.5000000000000001E-2</v>
      </c>
      <c r="N6" s="86">
        <v>0.03</v>
      </c>
      <c r="O6" s="87">
        <f t="shared" si="1"/>
        <v>0.184</v>
      </c>
      <c r="P6" s="87">
        <f t="shared" si="2"/>
        <v>1.5333333333333332E-2</v>
      </c>
    </row>
    <row r="7" spans="1:16" ht="12.95" customHeight="1" x14ac:dyDescent="0.25">
      <c r="A7" s="22" t="s">
        <v>2504</v>
      </c>
      <c r="B7" s="53">
        <f t="shared" ref="B7:N7" si="3">+B5*B6</f>
        <v>80</v>
      </c>
      <c r="C7" s="53"/>
      <c r="D7" s="53">
        <f t="shared" si="3"/>
        <v>55.728400000000001</v>
      </c>
      <c r="E7" s="53">
        <f t="shared" si="3"/>
        <v>70.815091068000001</v>
      </c>
      <c r="F7" s="53">
        <f t="shared" si="3"/>
        <v>77.067962656640404</v>
      </c>
      <c r="G7" s="53">
        <f t="shared" si="3"/>
        <v>89.587451117719752</v>
      </c>
      <c r="H7" s="53">
        <f t="shared" si="3"/>
        <v>99.900556149557929</v>
      </c>
      <c r="I7" s="53">
        <f t="shared" si="3"/>
        <v>100.60478316451065</v>
      </c>
      <c r="J7" s="53">
        <f t="shared" si="3"/>
        <v>104.7643226594396</v>
      </c>
      <c r="K7" s="53">
        <f t="shared" si="3"/>
        <v>104.71601626507035</v>
      </c>
      <c r="L7" s="53">
        <f t="shared" si="3"/>
        <v>99.819741049694585</v>
      </c>
      <c r="M7" s="53">
        <f t="shared" si="3"/>
        <v>96.704161550731101</v>
      </c>
      <c r="N7" s="53">
        <f t="shared" si="3"/>
        <v>86.444176561914318</v>
      </c>
      <c r="O7" s="48">
        <f>+SUM(C7:N7)</f>
        <v>986.15266224327877</v>
      </c>
      <c r="P7" s="48">
        <f>+O7/12</f>
        <v>82.179388520273235</v>
      </c>
    </row>
    <row r="8" spans="1:16" ht="12.95" customHeight="1" x14ac:dyDescent="0.25">
      <c r="A8" s="22" t="s">
        <v>2549</v>
      </c>
      <c r="B8" s="53"/>
      <c r="C8" s="53">
        <f>+C5*C6</f>
        <v>40</v>
      </c>
      <c r="D8" s="53">
        <f t="shared" ref="D8:N8" si="4">+D7+C8</f>
        <v>95.728399999999993</v>
      </c>
      <c r="E8" s="53">
        <f t="shared" si="4"/>
        <v>166.54349106799998</v>
      </c>
      <c r="F8" s="53">
        <f t="shared" si="4"/>
        <v>243.6114537246404</v>
      </c>
      <c r="G8" s="53">
        <f t="shared" si="4"/>
        <v>333.19890484236015</v>
      </c>
      <c r="H8" s="53">
        <f t="shared" si="4"/>
        <v>433.09946099191808</v>
      </c>
      <c r="I8" s="53">
        <f t="shared" si="4"/>
        <v>533.70424415642879</v>
      </c>
      <c r="J8" s="53">
        <f t="shared" si="4"/>
        <v>638.46856681586837</v>
      </c>
      <c r="K8" s="53">
        <f t="shared" si="4"/>
        <v>743.18458308093875</v>
      </c>
      <c r="L8" s="53">
        <f t="shared" si="4"/>
        <v>843.00432413063334</v>
      </c>
      <c r="M8" s="53">
        <f t="shared" si="4"/>
        <v>939.70848568136444</v>
      </c>
      <c r="N8" s="53">
        <f t="shared" si="4"/>
        <v>1026.1526622432787</v>
      </c>
      <c r="O8" s="48"/>
      <c r="P8" s="48"/>
    </row>
    <row r="9" spans="1:16" ht="12.95" customHeight="1" x14ac:dyDescent="0.25">
      <c r="A9" s="22" t="s">
        <v>4961</v>
      </c>
      <c r="B9" s="88">
        <v>0.85</v>
      </c>
      <c r="C9" s="53">
        <f>+$B9*C$8</f>
        <v>34</v>
      </c>
      <c r="D9" s="53">
        <f t="shared" ref="D9:N10" si="5">+$B9*D$8</f>
        <v>81.369139999999987</v>
      </c>
      <c r="E9" s="53">
        <f t="shared" si="5"/>
        <v>141.56196740779998</v>
      </c>
      <c r="F9" s="53">
        <f t="shared" si="5"/>
        <v>207.06973566594434</v>
      </c>
      <c r="G9" s="53">
        <f t="shared" si="5"/>
        <v>283.2190691160061</v>
      </c>
      <c r="H9" s="53">
        <f t="shared" si="5"/>
        <v>368.13454184313036</v>
      </c>
      <c r="I9" s="53">
        <f t="shared" si="5"/>
        <v>453.64860753296443</v>
      </c>
      <c r="J9" s="53">
        <f t="shared" si="5"/>
        <v>542.69828179348815</v>
      </c>
      <c r="K9" s="53">
        <f t="shared" si="5"/>
        <v>631.70689561879794</v>
      </c>
      <c r="L9" s="53">
        <f t="shared" si="5"/>
        <v>716.55367551103836</v>
      </c>
      <c r="M9" s="53">
        <f t="shared" si="5"/>
        <v>798.7522128291597</v>
      </c>
      <c r="N9" s="53">
        <f t="shared" si="5"/>
        <v>872.22976290678685</v>
      </c>
      <c r="O9" s="48">
        <f>+SUM(C9:N9)</f>
        <v>5130.9438902251168</v>
      </c>
      <c r="P9" s="48">
        <f>+O9/12</f>
        <v>427.57865751875971</v>
      </c>
    </row>
    <row r="10" spans="1:16" ht="12.95" customHeight="1" x14ac:dyDescent="0.25">
      <c r="A10" s="22" t="s">
        <v>4959</v>
      </c>
      <c r="B10" s="88">
        <v>0.15</v>
      </c>
      <c r="C10" s="53">
        <f>+$B10*C$8</f>
        <v>6</v>
      </c>
      <c r="D10" s="53">
        <f t="shared" si="5"/>
        <v>14.359259999999999</v>
      </c>
      <c r="E10" s="53">
        <f t="shared" si="5"/>
        <v>24.981523660199997</v>
      </c>
      <c r="F10" s="53">
        <f t="shared" si="5"/>
        <v>36.541718058696055</v>
      </c>
      <c r="G10" s="53">
        <f t="shared" si="5"/>
        <v>49.979835726354018</v>
      </c>
      <c r="H10" s="53">
        <f t="shared" si="5"/>
        <v>64.964919148787715</v>
      </c>
      <c r="I10" s="53">
        <f t="shared" si="5"/>
        <v>80.055636623464309</v>
      </c>
      <c r="J10" s="53">
        <f t="shared" si="5"/>
        <v>95.77028502238025</v>
      </c>
      <c r="K10" s="53">
        <f t="shared" si="5"/>
        <v>111.47768746214081</v>
      </c>
      <c r="L10" s="53">
        <f t="shared" si="5"/>
        <v>126.450648619595</v>
      </c>
      <c r="M10" s="53">
        <f t="shared" si="5"/>
        <v>140.95627285220465</v>
      </c>
      <c r="N10" s="53">
        <f t="shared" si="5"/>
        <v>153.92289933649178</v>
      </c>
      <c r="O10" s="48"/>
      <c r="P10" s="48"/>
    </row>
    <row r="11" spans="1:16" s="1" customFormat="1" ht="12.95" customHeight="1" x14ac:dyDescent="0.25">
      <c r="A11" s="23" t="s">
        <v>4962</v>
      </c>
      <c r="B11" s="49">
        <v>29000</v>
      </c>
      <c r="C11" s="49">
        <f>+$B11*C$9</f>
        <v>986000</v>
      </c>
      <c r="D11" s="49">
        <f t="shared" ref="D11:N11" si="6">+$B11*D$9</f>
        <v>2359705.0599999996</v>
      </c>
      <c r="E11" s="49">
        <f t="shared" si="6"/>
        <v>4105297.0548261995</v>
      </c>
      <c r="F11" s="49">
        <f t="shared" si="6"/>
        <v>6005022.3343123859</v>
      </c>
      <c r="G11" s="49">
        <f t="shared" si="6"/>
        <v>8213353.0043641767</v>
      </c>
      <c r="H11" s="49">
        <f t="shared" si="6"/>
        <v>10675901.71345078</v>
      </c>
      <c r="I11" s="49">
        <f t="shared" si="6"/>
        <v>13155809.618455969</v>
      </c>
      <c r="J11" s="49">
        <f t="shared" si="6"/>
        <v>15738250.172011156</v>
      </c>
      <c r="K11" s="49">
        <f t="shared" si="6"/>
        <v>18319499.972945139</v>
      </c>
      <c r="L11" s="49">
        <f t="shared" si="6"/>
        <v>20780056.589820113</v>
      </c>
      <c r="M11" s="49">
        <f t="shared" si="6"/>
        <v>23163814.172045633</v>
      </c>
      <c r="N11" s="49">
        <f t="shared" si="6"/>
        <v>25294663.124296818</v>
      </c>
      <c r="O11" s="50">
        <f t="shared" ref="O11:O12" si="7">+SUM(C11:N11)</f>
        <v>148797372.81652838</v>
      </c>
      <c r="P11" s="50">
        <f t="shared" ref="P11:P12" si="8">+O11/12</f>
        <v>12399781.068044031</v>
      </c>
    </row>
    <row r="12" spans="1:16" s="1" customFormat="1" ht="12.95" customHeight="1" x14ac:dyDescent="0.25">
      <c r="A12" s="23" t="s">
        <v>4960</v>
      </c>
      <c r="B12" s="49">
        <v>49000</v>
      </c>
      <c r="C12" s="49">
        <f>+$B12*C$10</f>
        <v>294000</v>
      </c>
      <c r="D12" s="49">
        <f t="shared" ref="D12:N12" si="9">+$B12*D$10</f>
        <v>703603.74</v>
      </c>
      <c r="E12" s="49">
        <f t="shared" si="9"/>
        <v>1224094.6593497999</v>
      </c>
      <c r="F12" s="49">
        <f t="shared" si="9"/>
        <v>1790544.1848761067</v>
      </c>
      <c r="G12" s="49">
        <f t="shared" si="9"/>
        <v>2449011.9505913467</v>
      </c>
      <c r="H12" s="49">
        <f t="shared" si="9"/>
        <v>3183281.038290598</v>
      </c>
      <c r="I12" s="49">
        <f t="shared" si="9"/>
        <v>3922726.194549751</v>
      </c>
      <c r="J12" s="49">
        <f t="shared" si="9"/>
        <v>4692743.9660966322</v>
      </c>
      <c r="K12" s="49">
        <f t="shared" si="9"/>
        <v>5462406.6856448995</v>
      </c>
      <c r="L12" s="49">
        <f t="shared" si="9"/>
        <v>6196081.7823601551</v>
      </c>
      <c r="M12" s="49">
        <f t="shared" si="9"/>
        <v>6906857.3697580276</v>
      </c>
      <c r="N12" s="49">
        <f t="shared" si="9"/>
        <v>7542222.0674880976</v>
      </c>
      <c r="O12" s="50">
        <f t="shared" si="7"/>
        <v>44367573.639005408</v>
      </c>
      <c r="P12" s="50">
        <f t="shared" si="8"/>
        <v>3697297.8032504506</v>
      </c>
    </row>
    <row r="13" spans="1:16" ht="12.95" customHeight="1" x14ac:dyDescent="0.25">
      <c r="A13" s="21" t="s">
        <v>16</v>
      </c>
      <c r="B13" s="89"/>
      <c r="C13" s="90"/>
      <c r="D13" s="90">
        <v>16</v>
      </c>
      <c r="E13" s="90">
        <v>16</v>
      </c>
      <c r="F13" s="90">
        <v>16</v>
      </c>
      <c r="G13" s="90">
        <v>16</v>
      </c>
      <c r="H13" s="90">
        <v>16</v>
      </c>
      <c r="I13" s="90">
        <v>16</v>
      </c>
      <c r="J13" s="90">
        <v>16</v>
      </c>
      <c r="K13" s="90">
        <v>16</v>
      </c>
      <c r="L13" s="90">
        <v>16</v>
      </c>
      <c r="M13" s="90">
        <v>16</v>
      </c>
      <c r="N13" s="90">
        <v>16</v>
      </c>
      <c r="O13" s="91">
        <f t="shared" ref="O13" si="10">+SUM(C13:N13)</f>
        <v>176</v>
      </c>
      <c r="P13" s="91">
        <f t="shared" ref="P13" si="11">+O13/12</f>
        <v>14.666666666666666</v>
      </c>
    </row>
    <row r="14" spans="1:16" ht="12.95" customHeight="1" x14ac:dyDescent="0.25">
      <c r="A14" s="22" t="s">
        <v>13</v>
      </c>
      <c r="B14" s="92">
        <v>0</v>
      </c>
      <c r="C14" s="92">
        <v>7.0000000000000007E-2</v>
      </c>
      <c r="D14" s="92">
        <v>7.0000000000000007E-2</v>
      </c>
      <c r="E14" s="92">
        <v>7.0000000000000007E-2</v>
      </c>
      <c r="F14" s="92">
        <v>7.0000000000000007E-2</v>
      </c>
      <c r="G14" s="92">
        <v>7.0000000000000007E-2</v>
      </c>
      <c r="H14" s="92">
        <v>7.0000000000000007E-2</v>
      </c>
      <c r="I14" s="92">
        <v>7.0000000000000007E-2</v>
      </c>
      <c r="J14" s="92">
        <v>7.0000000000000007E-2</v>
      </c>
      <c r="K14" s="92">
        <v>7.0000000000000007E-2</v>
      </c>
      <c r="L14" s="92">
        <v>7.0000000000000007E-2</v>
      </c>
      <c r="M14" s="92">
        <v>7.0000000000000007E-2</v>
      </c>
      <c r="N14" s="92">
        <v>7.0000000000000007E-2</v>
      </c>
      <c r="O14" s="93">
        <f t="shared" ref="O14" si="12">+AVERAGE(C14:N14)</f>
        <v>7.0000000000000021E-2</v>
      </c>
      <c r="P14" s="93">
        <f t="shared" ref="P14:P15" si="13">+O14</f>
        <v>7.0000000000000021E-2</v>
      </c>
    </row>
    <row r="15" spans="1:16" ht="12.95" customHeight="1" x14ac:dyDescent="0.25">
      <c r="A15" s="23" t="s">
        <v>26</v>
      </c>
      <c r="B15" s="92">
        <v>0</v>
      </c>
      <c r="C15" s="92">
        <v>0.1</v>
      </c>
      <c r="D15" s="92">
        <v>0.1</v>
      </c>
      <c r="E15" s="92">
        <v>0.1</v>
      </c>
      <c r="F15" s="92">
        <v>0.08</v>
      </c>
      <c r="G15" s="92">
        <v>0.08</v>
      </c>
      <c r="H15" s="92">
        <v>0.08</v>
      </c>
      <c r="I15" s="92">
        <v>0.05</v>
      </c>
      <c r="J15" s="92">
        <v>0.05</v>
      </c>
      <c r="K15" s="92">
        <v>0.05</v>
      </c>
      <c r="L15" s="92">
        <v>0.02</v>
      </c>
      <c r="M15" s="92">
        <v>0.02</v>
      </c>
      <c r="N15" s="92">
        <v>0.02</v>
      </c>
      <c r="O15" s="93">
        <f t="shared" ref="O15" si="14">+AVERAGE(C15:N15)</f>
        <v>6.2500000000000014E-2</v>
      </c>
      <c r="P15" s="93">
        <f t="shared" si="13"/>
        <v>6.2500000000000014E-2</v>
      </c>
    </row>
    <row r="16" spans="1:16" s="2" customFormat="1" ht="12.95" customHeight="1" thickBot="1" x14ac:dyDescent="0.3">
      <c r="A16" s="25" t="s">
        <v>2505</v>
      </c>
      <c r="B16" s="94">
        <f t="shared" ref="B16" si="15">(B8+((B8*B14)-(B8*B15)))</f>
        <v>0</v>
      </c>
      <c r="C16" s="94">
        <f>(C8+((C8*C14)-(C8*C15)))</f>
        <v>38.799999999999997</v>
      </c>
      <c r="D16" s="94">
        <f>(D8+((D8*D14)-(D8*D15)))</f>
        <v>92.856547999999989</v>
      </c>
      <c r="E16" s="94">
        <f t="shared" ref="E16:N16" si="16">(E8+((E8*E14)-(E8*E15)))</f>
        <v>161.54718633595999</v>
      </c>
      <c r="F16" s="94">
        <f t="shared" si="16"/>
        <v>241.175339187394</v>
      </c>
      <c r="G16" s="94">
        <f t="shared" si="16"/>
        <v>329.86691579393653</v>
      </c>
      <c r="H16" s="94">
        <f t="shared" si="16"/>
        <v>428.76846638199891</v>
      </c>
      <c r="I16" s="94">
        <f t="shared" si="16"/>
        <v>544.37832903955734</v>
      </c>
      <c r="J16" s="94">
        <f t="shared" si="16"/>
        <v>651.23793815218573</v>
      </c>
      <c r="K16" s="94">
        <f t="shared" si="16"/>
        <v>758.04827474255751</v>
      </c>
      <c r="L16" s="94">
        <f t="shared" si="16"/>
        <v>885.15454033716503</v>
      </c>
      <c r="M16" s="94">
        <f t="shared" si="16"/>
        <v>986.69390996543268</v>
      </c>
      <c r="N16" s="94">
        <f t="shared" si="16"/>
        <v>1077.4602953554427</v>
      </c>
      <c r="O16" s="95">
        <f t="shared" ref="O16" si="17">+SUM(C16:N16)</f>
        <v>6195.987743291631</v>
      </c>
      <c r="P16" s="95">
        <f t="shared" ref="P16" si="18">+O16/12</f>
        <v>516.33231194096925</v>
      </c>
    </row>
    <row r="17" spans="1:17" s="14" customFormat="1" ht="12.95" customHeight="1" thickBot="1" x14ac:dyDescent="0.3">
      <c r="A17" s="26" t="s">
        <v>12</v>
      </c>
      <c r="B17" s="58"/>
      <c r="C17" s="58">
        <f t="shared" ref="C17:N17" si="19">+C11+C12</f>
        <v>1280000</v>
      </c>
      <c r="D17" s="58">
        <f t="shared" si="19"/>
        <v>3063308.8</v>
      </c>
      <c r="E17" s="58">
        <f t="shared" si="19"/>
        <v>5329391.7141759992</v>
      </c>
      <c r="F17" s="58">
        <f t="shared" si="19"/>
        <v>7795566.5191884926</v>
      </c>
      <c r="G17" s="58">
        <f t="shared" si="19"/>
        <v>10662364.954955524</v>
      </c>
      <c r="H17" s="58">
        <f t="shared" si="19"/>
        <v>13859182.751741378</v>
      </c>
      <c r="I17" s="58">
        <f t="shared" si="19"/>
        <v>17078535.813005719</v>
      </c>
      <c r="J17" s="58">
        <f t="shared" si="19"/>
        <v>20430994.138107788</v>
      </c>
      <c r="K17" s="58">
        <f t="shared" si="19"/>
        <v>23781906.658590037</v>
      </c>
      <c r="L17" s="58">
        <f t="shared" si="19"/>
        <v>26976138.372180268</v>
      </c>
      <c r="M17" s="58">
        <f t="shared" si="19"/>
        <v>30070671.541803662</v>
      </c>
      <c r="N17" s="58">
        <f t="shared" si="19"/>
        <v>32836885.191784915</v>
      </c>
      <c r="O17" s="58">
        <f>+SUM(B17:N17)</f>
        <v>193164946.4555338</v>
      </c>
      <c r="P17" s="58">
        <f>+O17/12</f>
        <v>16097078.871294484</v>
      </c>
    </row>
    <row r="18" spans="1:17" s="1" customFormat="1" ht="7.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 s="7"/>
      <c r="Q18"/>
    </row>
    <row r="19" spans="1:17" s="1" customFormat="1" ht="12.95" customHeight="1" x14ac:dyDescent="0.25">
      <c r="A19" s="24" t="s">
        <v>28</v>
      </c>
      <c r="B19" s="88">
        <v>0.15</v>
      </c>
      <c r="C19" s="61">
        <f>+$B19*C$17*-1</f>
        <v>-192000</v>
      </c>
      <c r="D19" s="61">
        <f t="shared" ref="D19:N23" si="20">+$B19*D$17*-1</f>
        <v>-459496.31999999995</v>
      </c>
      <c r="E19" s="61">
        <f t="shared" si="20"/>
        <v>-799408.7571263999</v>
      </c>
      <c r="F19" s="61">
        <f t="shared" si="20"/>
        <v>-1169334.9778782739</v>
      </c>
      <c r="G19" s="61">
        <f t="shared" si="20"/>
        <v>-1599354.7432433285</v>
      </c>
      <c r="H19" s="61">
        <f t="shared" si="20"/>
        <v>-2078877.4127612065</v>
      </c>
      <c r="I19" s="61">
        <f t="shared" si="20"/>
        <v>-2561780.3719508578</v>
      </c>
      <c r="J19" s="61">
        <f t="shared" si="20"/>
        <v>-3064649.1207161681</v>
      </c>
      <c r="K19" s="61">
        <f t="shared" si="20"/>
        <v>-3567285.9987885053</v>
      </c>
      <c r="L19" s="61">
        <f t="shared" si="20"/>
        <v>-4046420.7558270399</v>
      </c>
      <c r="M19" s="61">
        <f t="shared" si="20"/>
        <v>-4510600.7312705489</v>
      </c>
      <c r="N19" s="61">
        <f t="shared" si="20"/>
        <v>-4925532.7787677366</v>
      </c>
      <c r="O19" s="62">
        <f>+SUM(B19:N19)</f>
        <v>-28974741.818330064</v>
      </c>
      <c r="P19" s="62">
        <f t="shared" ref="P19:P24" si="21">+O19/12</f>
        <v>-2414561.8181941719</v>
      </c>
    </row>
    <row r="20" spans="1:17" ht="12.95" customHeight="1" x14ac:dyDescent="0.25">
      <c r="A20" s="24" t="s">
        <v>27</v>
      </c>
      <c r="B20" s="88">
        <v>0.3</v>
      </c>
      <c r="C20" s="61">
        <f>+$B20*C$17*-1</f>
        <v>-384000</v>
      </c>
      <c r="D20" s="61">
        <f t="shared" si="20"/>
        <v>-918992.6399999999</v>
      </c>
      <c r="E20" s="61">
        <f t="shared" si="20"/>
        <v>-1598817.5142527998</v>
      </c>
      <c r="F20" s="61">
        <f t="shared" si="20"/>
        <v>-2338669.9557565479</v>
      </c>
      <c r="G20" s="61">
        <f t="shared" si="20"/>
        <v>-3198709.4864866571</v>
      </c>
      <c r="H20" s="61">
        <f t="shared" si="20"/>
        <v>-4157754.825522413</v>
      </c>
      <c r="I20" s="61">
        <f t="shared" si="20"/>
        <v>-5123560.7439017156</v>
      </c>
      <c r="J20" s="61">
        <f t="shared" si="20"/>
        <v>-6129298.2414323362</v>
      </c>
      <c r="K20" s="61">
        <f t="shared" si="20"/>
        <v>-7134571.9975770107</v>
      </c>
      <c r="L20" s="61">
        <f t="shared" si="20"/>
        <v>-8092841.5116540799</v>
      </c>
      <c r="M20" s="61">
        <f t="shared" si="20"/>
        <v>-9021201.4625410978</v>
      </c>
      <c r="N20" s="61">
        <f t="shared" si="20"/>
        <v>-9851065.5575354733</v>
      </c>
      <c r="O20" s="62">
        <f>+SUM(B20:N20)</f>
        <v>-57949483.636660129</v>
      </c>
      <c r="P20" s="62">
        <f t="shared" si="21"/>
        <v>-4829123.6363883438</v>
      </c>
    </row>
    <row r="21" spans="1:17" ht="12.95" customHeight="1" x14ac:dyDescent="0.25">
      <c r="A21" s="24" t="s">
        <v>29</v>
      </c>
      <c r="B21" s="88">
        <v>0.15</v>
      </c>
      <c r="C21" s="61">
        <f>+$B21*C$17*-1</f>
        <v>-192000</v>
      </c>
      <c r="D21" s="61">
        <f t="shared" si="20"/>
        <v>-459496.31999999995</v>
      </c>
      <c r="E21" s="61">
        <f t="shared" si="20"/>
        <v>-799408.7571263999</v>
      </c>
      <c r="F21" s="61">
        <f t="shared" si="20"/>
        <v>-1169334.9778782739</v>
      </c>
      <c r="G21" s="61">
        <f t="shared" si="20"/>
        <v>-1599354.7432433285</v>
      </c>
      <c r="H21" s="61">
        <f t="shared" si="20"/>
        <v>-2078877.4127612065</v>
      </c>
      <c r="I21" s="61">
        <f t="shared" si="20"/>
        <v>-2561780.3719508578</v>
      </c>
      <c r="J21" s="61">
        <f t="shared" si="20"/>
        <v>-3064649.1207161681</v>
      </c>
      <c r="K21" s="61">
        <f t="shared" si="20"/>
        <v>-3567285.9987885053</v>
      </c>
      <c r="L21" s="61">
        <f t="shared" si="20"/>
        <v>-4046420.7558270399</v>
      </c>
      <c r="M21" s="61">
        <f t="shared" si="20"/>
        <v>-4510600.7312705489</v>
      </c>
      <c r="N21" s="61">
        <f t="shared" si="20"/>
        <v>-4925532.7787677366</v>
      </c>
      <c r="O21" s="62">
        <f>+SUM(B21:N21)</f>
        <v>-28974741.818330064</v>
      </c>
      <c r="P21" s="62">
        <f t="shared" si="21"/>
        <v>-2414561.8181941719</v>
      </c>
    </row>
    <row r="22" spans="1:17" ht="12.95" customHeight="1" x14ac:dyDescent="0.25">
      <c r="A22" s="27" t="s">
        <v>4964</v>
      </c>
      <c r="B22" s="105"/>
      <c r="C22" s="61">
        <v>-700000</v>
      </c>
      <c r="D22" s="61">
        <v>-700000</v>
      </c>
      <c r="E22" s="61">
        <v>-700000</v>
      </c>
      <c r="F22" s="61">
        <v>-700000</v>
      </c>
      <c r="G22" s="61">
        <v>-700000</v>
      </c>
      <c r="H22" s="61">
        <v>-700000</v>
      </c>
      <c r="I22" s="61">
        <v>-700000</v>
      </c>
      <c r="J22" s="61">
        <v>-700000</v>
      </c>
      <c r="K22" s="61">
        <v>-700000</v>
      </c>
      <c r="L22" s="61">
        <v>-700000</v>
      </c>
      <c r="M22" s="61">
        <v>-700000</v>
      </c>
      <c r="N22" s="61">
        <v>-700000</v>
      </c>
      <c r="O22" s="62">
        <f>+SUM(B22:N22)</f>
        <v>-8400000</v>
      </c>
      <c r="P22" s="62">
        <f t="shared" ref="P22" si="22">+O22/12</f>
        <v>-700000</v>
      </c>
    </row>
    <row r="23" spans="1:17" ht="12.95" customHeight="1" thickBot="1" x14ac:dyDescent="0.3">
      <c r="A23" s="27" t="s">
        <v>2551</v>
      </c>
      <c r="B23" s="96"/>
      <c r="C23" s="63">
        <f>+$B23*C$17*-1</f>
        <v>0</v>
      </c>
      <c r="D23" s="63">
        <f t="shared" si="20"/>
        <v>0</v>
      </c>
      <c r="E23" s="63">
        <f t="shared" si="20"/>
        <v>0</v>
      </c>
      <c r="F23" s="63">
        <f t="shared" si="20"/>
        <v>0</v>
      </c>
      <c r="G23" s="63">
        <f t="shared" si="20"/>
        <v>0</v>
      </c>
      <c r="H23" s="63">
        <f t="shared" si="20"/>
        <v>0</v>
      </c>
      <c r="I23" s="63">
        <f t="shared" si="20"/>
        <v>0</v>
      </c>
      <c r="J23" s="63">
        <f t="shared" si="20"/>
        <v>0</v>
      </c>
      <c r="K23" s="63">
        <f t="shared" si="20"/>
        <v>0</v>
      </c>
      <c r="L23" s="63">
        <f t="shared" si="20"/>
        <v>0</v>
      </c>
      <c r="M23" s="63">
        <f t="shared" si="20"/>
        <v>0</v>
      </c>
      <c r="N23" s="63">
        <f t="shared" si="20"/>
        <v>0</v>
      </c>
      <c r="O23" s="64">
        <f>+SUM(B23:N23)</f>
        <v>0</v>
      </c>
      <c r="P23" s="64">
        <f t="shared" si="21"/>
        <v>0</v>
      </c>
    </row>
    <row r="24" spans="1:17" ht="12.95" customHeight="1" thickBot="1" x14ac:dyDescent="0.3">
      <c r="A24" s="29" t="s">
        <v>41</v>
      </c>
      <c r="B24" s="65">
        <f t="shared" ref="B24" si="23">B19+B20+B21+B23</f>
        <v>0.6</v>
      </c>
      <c r="C24" s="65">
        <f t="shared" ref="C24:N24" si="24">C19+C20+C21+C23+C22</f>
        <v>-1468000</v>
      </c>
      <c r="D24" s="65">
        <f t="shared" si="24"/>
        <v>-2537985.2799999998</v>
      </c>
      <c r="E24" s="65">
        <f t="shared" si="24"/>
        <v>-3897635.0285055996</v>
      </c>
      <c r="F24" s="65">
        <f t="shared" si="24"/>
        <v>-5377339.9115130957</v>
      </c>
      <c r="G24" s="65">
        <f t="shared" si="24"/>
        <v>-7097418.9729733141</v>
      </c>
      <c r="H24" s="65">
        <f t="shared" si="24"/>
        <v>-9015509.651044827</v>
      </c>
      <c r="I24" s="65">
        <f t="shared" si="24"/>
        <v>-10947121.487803431</v>
      </c>
      <c r="J24" s="65">
        <f t="shared" si="24"/>
        <v>-12958596.482864672</v>
      </c>
      <c r="K24" s="65">
        <f t="shared" si="24"/>
        <v>-14969143.995154021</v>
      </c>
      <c r="L24" s="65">
        <f t="shared" si="24"/>
        <v>-16885683.023308158</v>
      </c>
      <c r="M24" s="65">
        <f t="shared" si="24"/>
        <v>-18742402.925082196</v>
      </c>
      <c r="N24" s="65">
        <f t="shared" si="24"/>
        <v>-20402131.115070947</v>
      </c>
      <c r="O24" s="65">
        <f t="shared" ref="O24" si="25">+SUM(B24:N24)</f>
        <v>-124298967.27332026</v>
      </c>
      <c r="P24" s="65">
        <f t="shared" si="21"/>
        <v>-10358247.272776688</v>
      </c>
    </row>
    <row r="25" spans="1:17" ht="12.95" customHeight="1" x14ac:dyDescent="0.25">
      <c r="A25" s="28" t="s">
        <v>44</v>
      </c>
      <c r="B25" s="66">
        <f>+B24</f>
        <v>0.6</v>
      </c>
      <c r="C25" s="66">
        <f>+B25+C24</f>
        <v>-1467999.4</v>
      </c>
      <c r="D25" s="66">
        <f t="shared" ref="D25" si="26">+C25+D24</f>
        <v>-4005984.6799999997</v>
      </c>
      <c r="E25" s="66">
        <f t="shared" ref="E25" si="27">+D25+E24</f>
        <v>-7903619.7085055988</v>
      </c>
      <c r="F25" s="66">
        <f t="shared" ref="F25" si="28">+E25+F24</f>
        <v>-13280959.620018695</v>
      </c>
      <c r="G25" s="66">
        <f t="shared" ref="G25" si="29">+F25+G24</f>
        <v>-20378378.592992008</v>
      </c>
      <c r="H25" s="66">
        <f t="shared" ref="H25" si="30">+G25+H24</f>
        <v>-29393888.244036835</v>
      </c>
      <c r="I25" s="66">
        <f t="shared" ref="I25" si="31">+H25+I24</f>
        <v>-40341009.731840268</v>
      </c>
      <c r="J25" s="66">
        <f t="shared" ref="J25" si="32">+I25+J24</f>
        <v>-53299606.214704938</v>
      </c>
      <c r="K25" s="66">
        <f t="shared" ref="K25" si="33">+J25+K24</f>
        <v>-68268750.209858954</v>
      </c>
      <c r="L25" s="66">
        <f t="shared" ref="L25" si="34">+K25+L24</f>
        <v>-85154433.233167112</v>
      </c>
      <c r="M25" s="66">
        <f t="shared" ref="M25" si="35">+L25+M24</f>
        <v>-103896836.1582493</v>
      </c>
      <c r="N25" s="66">
        <f t="shared" ref="N25" si="36">+M25+N24</f>
        <v>-124298967.27332026</v>
      </c>
      <c r="O25" s="67"/>
      <c r="P25" s="97"/>
    </row>
    <row r="26" spans="1:17" ht="6.95" customHeight="1" thickBot="1" x14ac:dyDescent="0.3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98"/>
    </row>
    <row r="27" spans="1:17" ht="12.95" customHeight="1" x14ac:dyDescent="0.25">
      <c r="A27" s="75" t="s">
        <v>42</v>
      </c>
      <c r="B27" s="99"/>
      <c r="C27" s="99">
        <f t="shared" ref="C27:O27" si="37">+C17+C24</f>
        <v>-188000</v>
      </c>
      <c r="D27" s="99">
        <f t="shared" si="37"/>
        <v>525323.52000000002</v>
      </c>
      <c r="E27" s="99">
        <f t="shared" si="37"/>
        <v>1431756.6856703996</v>
      </c>
      <c r="F27" s="99">
        <f t="shared" si="37"/>
        <v>2418226.6076753968</v>
      </c>
      <c r="G27" s="99">
        <f t="shared" si="37"/>
        <v>3564945.9819822097</v>
      </c>
      <c r="H27" s="99">
        <f t="shared" si="37"/>
        <v>4843673.1006965507</v>
      </c>
      <c r="I27" s="99">
        <f t="shared" si="37"/>
        <v>6131414.3252022881</v>
      </c>
      <c r="J27" s="99">
        <f t="shared" si="37"/>
        <v>7472397.6552431155</v>
      </c>
      <c r="K27" s="99">
        <f t="shared" si="37"/>
        <v>8812762.6634360161</v>
      </c>
      <c r="L27" s="99">
        <f t="shared" si="37"/>
        <v>10090455.34887211</v>
      </c>
      <c r="M27" s="99">
        <f t="shared" si="37"/>
        <v>11328268.616721466</v>
      </c>
      <c r="N27" s="99">
        <f t="shared" si="37"/>
        <v>12434754.076713968</v>
      </c>
      <c r="O27" s="99">
        <f t="shared" si="37"/>
        <v>68865979.182213545</v>
      </c>
      <c r="P27" s="99">
        <f>+O27/12</f>
        <v>5738831.5985177951</v>
      </c>
    </row>
    <row r="28" spans="1:17" ht="12.95" customHeight="1" x14ac:dyDescent="0.25">
      <c r="A28" s="77" t="s">
        <v>43</v>
      </c>
      <c r="B28" s="100"/>
      <c r="C28" s="101">
        <f t="shared" ref="C28" si="38">+C27/C17</f>
        <v>-0.14687500000000001</v>
      </c>
      <c r="D28" s="101">
        <f t="shared" ref="D28" si="39">+D27/D17</f>
        <v>0.17148892073825533</v>
      </c>
      <c r="E28" s="101">
        <f t="shared" ref="E28" si="40">+E27/E17</f>
        <v>0.26865292747425112</v>
      </c>
      <c r="F28" s="101">
        <f t="shared" ref="F28" si="41">+F27/F17</f>
        <v>0.31020537144068022</v>
      </c>
      <c r="G28" s="101">
        <f t="shared" ref="G28" si="42">+G27/G17</f>
        <v>0.3343485237133379</v>
      </c>
      <c r="H28" s="101">
        <f t="shared" ref="H28" si="43">+H27/H17</f>
        <v>0.34949197131324017</v>
      </c>
      <c r="I28" s="101">
        <f t="shared" ref="I28" si="44">+I27/I17</f>
        <v>0.35901287981215974</v>
      </c>
      <c r="J28" s="101">
        <f t="shared" ref="J28" si="45">+J27/J17</f>
        <v>0.36573832896881103</v>
      </c>
      <c r="K28" s="101">
        <f t="shared" ref="K28" si="46">+K27/K17</f>
        <v>0.37056585874088616</v>
      </c>
      <c r="L28" s="101">
        <f t="shared" ref="L28" si="47">+L27/L17</f>
        <v>0.37405114140718199</v>
      </c>
      <c r="M28" s="101">
        <f t="shared" ref="M28" si="48">+M27/M17</f>
        <v>0.37672150423954209</v>
      </c>
      <c r="N28" s="101">
        <f t="shared" ref="N28" si="49">+N27/N17</f>
        <v>0.37868250913837825</v>
      </c>
      <c r="O28" s="101">
        <f>+O27/O17</f>
        <v>0.35651385225872934</v>
      </c>
      <c r="P28" s="101">
        <f>+P27/P17</f>
        <v>0.35651385225872934</v>
      </c>
    </row>
    <row r="29" spans="1:17" ht="12.95" customHeight="1" x14ac:dyDescent="0.25">
      <c r="A29" s="77" t="s">
        <v>2494</v>
      </c>
      <c r="B29" s="102"/>
      <c r="C29" s="102">
        <f>+SUM($B$17:C17)+C25</f>
        <v>-187999.39999999991</v>
      </c>
      <c r="D29" s="102">
        <f>+SUM($B$17:D17)+D25</f>
        <v>337324.12000000011</v>
      </c>
      <c r="E29" s="102">
        <f>+SUM($B$17:E17)+E25</f>
        <v>1769080.8056704011</v>
      </c>
      <c r="F29" s="102">
        <f>+SUM($B$17:F17)+F25</f>
        <v>4187307.4133457989</v>
      </c>
      <c r="G29" s="102">
        <f>+SUM($B$17:G17)+G25</f>
        <v>7752253.3953280076</v>
      </c>
      <c r="H29" s="102">
        <f>+SUM($B$17:H17)+H25</f>
        <v>12595926.49602456</v>
      </c>
      <c r="I29" s="102">
        <f>+SUM($B$17:I17)+I25</f>
        <v>18727340.82122685</v>
      </c>
      <c r="J29" s="102">
        <f>+SUM($B$17:J17)+J25</f>
        <v>26199738.476469971</v>
      </c>
      <c r="K29" s="102">
        <f>+SUM($B$17:K17)+K25</f>
        <v>35012501.139905989</v>
      </c>
      <c r="L29" s="102">
        <f>+SUM($B$17:L17)+L25</f>
        <v>45102956.488778099</v>
      </c>
      <c r="M29" s="102">
        <f>+SUM($B$17:M17)+M25</f>
        <v>56431225.105499581</v>
      </c>
      <c r="N29" s="102">
        <f>+SUM($B$17:N17)+N25</f>
        <v>68865979.182213545</v>
      </c>
      <c r="O29" s="102"/>
      <c r="P29" s="100"/>
    </row>
    <row r="30" spans="1:17" ht="12.95" customHeight="1" thickBot="1" x14ac:dyDescent="0.3">
      <c r="A30" s="76" t="s">
        <v>2495</v>
      </c>
      <c r="B30" s="103"/>
      <c r="C30" s="104">
        <f>+C29/+SUM($B$17:C17)</f>
        <v>-0.14687453124999994</v>
      </c>
      <c r="D30" s="104">
        <f>+D29/+SUM($B$17:D17)</f>
        <v>7.7665239920311477E-2</v>
      </c>
      <c r="E30" s="104">
        <f>+E29/+SUM($B$17:E17)</f>
        <v>0.18289419827251893</v>
      </c>
      <c r="F30" s="104">
        <f>+F29/+SUM($B$17:F17)</f>
        <v>0.23970937731533512</v>
      </c>
      <c r="G30" s="104">
        <f>+G29/+SUM($B$17:G17)</f>
        <v>0.27558049170551102</v>
      </c>
      <c r="H30" s="104">
        <f>+H29/+SUM($B$17:H17)</f>
        <v>0.29997575778792646</v>
      </c>
      <c r="I30" s="104">
        <f>+I29/+SUM($B$17:I17)</f>
        <v>0.31704526444160941</v>
      </c>
      <c r="J30" s="104">
        <f>+J29/+SUM($B$17:J17)</f>
        <v>0.32955917533969764</v>
      </c>
      <c r="K30" s="104">
        <f>+K29/+SUM($B$17:K17)</f>
        <v>0.3390015194658626</v>
      </c>
      <c r="L30" s="104">
        <f>+L29/+SUM($B$17:L17)</f>
        <v>0.34626025122303938</v>
      </c>
      <c r="M30" s="104">
        <f>+M29/+SUM($B$17:M17)</f>
        <v>0.35197347651243016</v>
      </c>
      <c r="N30" s="104">
        <f>+N29/+SUM($B$17:N17)</f>
        <v>0.35651385225872934</v>
      </c>
      <c r="O30" s="103"/>
      <c r="P30" s="103"/>
    </row>
  </sheetData>
  <mergeCells count="1">
    <mergeCell ref="A3:P3"/>
  </mergeCells>
  <phoneticPr fontId="5" type="noConversion"/>
  <pageMargins left="0.7" right="0.7" top="0.75" bottom="0.75" header="0.3" footer="0.3"/>
  <pageSetup orientation="portrait" r:id="rId1"/>
  <ignoredErrors>
    <ignoredError sqref="O14:O15 O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079F-BA2C-4A46-B411-0F969E2A52C4}">
  <dimension ref="A1:O35"/>
  <sheetViews>
    <sheetView topLeftCell="I1" workbookViewId="0">
      <selection activeCell="W1" sqref="W1"/>
    </sheetView>
  </sheetViews>
  <sheetFormatPr baseColWidth="10" defaultRowHeight="15" x14ac:dyDescent="0.25"/>
  <cols>
    <col min="1" max="1" width="29.5703125" bestFit="1" customWidth="1"/>
    <col min="2" max="2" width="27.42578125" bestFit="1" customWidth="1"/>
    <col min="3" max="3" width="14.140625" bestFit="1" customWidth="1"/>
    <col min="4" max="4" width="9" bestFit="1" customWidth="1"/>
    <col min="5" max="6" width="15.140625" bestFit="1" customWidth="1"/>
    <col min="7" max="7" width="13.85546875" bestFit="1" customWidth="1"/>
    <col min="8" max="8" width="15.28515625" bestFit="1" customWidth="1"/>
    <col min="9" max="9" width="14.140625" bestFit="1" customWidth="1"/>
    <col min="10" max="10" width="9.42578125" bestFit="1" customWidth="1"/>
    <col min="11" max="11" width="15.140625" bestFit="1" customWidth="1"/>
  </cols>
  <sheetData>
    <row r="1" spans="1:15" x14ac:dyDescent="0.25">
      <c r="C1" s="111" t="s">
        <v>2586</v>
      </c>
      <c r="D1" s="112"/>
      <c r="E1" s="113"/>
      <c r="F1" s="111" t="s">
        <v>2589</v>
      </c>
      <c r="G1" s="112"/>
      <c r="H1" s="113"/>
      <c r="I1" s="111" t="s">
        <v>2591</v>
      </c>
      <c r="J1" s="112"/>
      <c r="K1" s="113"/>
      <c r="N1" t="s">
        <v>2590</v>
      </c>
      <c r="O1">
        <v>39200</v>
      </c>
    </row>
    <row r="2" spans="1:15" ht="15.75" x14ac:dyDescent="0.25">
      <c r="A2" s="78" t="s">
        <v>2552</v>
      </c>
      <c r="B2" s="78" t="s">
        <v>2553</v>
      </c>
      <c r="C2" s="78" t="s">
        <v>2585</v>
      </c>
      <c r="D2" s="78" t="s">
        <v>2587</v>
      </c>
      <c r="E2" s="78" t="s">
        <v>2588</v>
      </c>
      <c r="F2" s="78" t="s">
        <v>2585</v>
      </c>
      <c r="G2" s="78" t="s">
        <v>2587</v>
      </c>
      <c r="H2" s="78" t="s">
        <v>2588</v>
      </c>
      <c r="I2" s="78" t="s">
        <v>2585</v>
      </c>
      <c r="J2" s="78" t="s">
        <v>2587</v>
      </c>
      <c r="K2" s="78" t="s">
        <v>2588</v>
      </c>
    </row>
    <row r="3" spans="1:15" x14ac:dyDescent="0.25">
      <c r="A3" s="79" t="s">
        <v>2554</v>
      </c>
      <c r="B3" s="80">
        <v>5</v>
      </c>
      <c r="C3" s="81">
        <v>1</v>
      </c>
      <c r="D3" s="79">
        <f t="shared" ref="D3:D33" si="0">+C3*19%</f>
        <v>0.19</v>
      </c>
      <c r="E3" s="81">
        <f t="shared" ref="E3:E33" si="1">+C3+D3</f>
        <v>1.19</v>
      </c>
      <c r="F3" s="82">
        <f t="shared" ref="F3:F33" si="2">+C3*$O$1</f>
        <v>39200</v>
      </c>
      <c r="G3" s="82">
        <f t="shared" ref="G3:G33" si="3">+F3*19%</f>
        <v>7448</v>
      </c>
      <c r="H3" s="82">
        <f t="shared" ref="H3:H33" si="4">+F3+G3</f>
        <v>46648</v>
      </c>
      <c r="I3" s="82">
        <f t="shared" ref="I3:I33" si="5">+F3/B3</f>
        <v>7840</v>
      </c>
      <c r="J3" s="82">
        <f t="shared" ref="J3:J33" si="6">+I3*19%</f>
        <v>1489.6</v>
      </c>
      <c r="K3" s="82">
        <f t="shared" ref="K3:K33" si="7">+I3+J3</f>
        <v>9329.6</v>
      </c>
    </row>
    <row r="4" spans="1:15" x14ac:dyDescent="0.25">
      <c r="A4" s="79" t="s">
        <v>2555</v>
      </c>
      <c r="B4" s="80">
        <v>10</v>
      </c>
      <c r="C4" s="81">
        <v>1.2</v>
      </c>
      <c r="D4" s="79">
        <f>+C4*19%</f>
        <v>0.22799999999999998</v>
      </c>
      <c r="E4" s="81">
        <f t="shared" si="1"/>
        <v>1.4279999999999999</v>
      </c>
      <c r="F4" s="82">
        <f t="shared" si="2"/>
        <v>47040</v>
      </c>
      <c r="G4" s="82">
        <f>+F4*19%</f>
        <v>8937.6</v>
      </c>
      <c r="H4" s="82">
        <f t="shared" si="4"/>
        <v>55977.599999999999</v>
      </c>
      <c r="I4" s="82">
        <f t="shared" si="5"/>
        <v>4704</v>
      </c>
      <c r="J4" s="82">
        <f>+I4*19%</f>
        <v>893.76</v>
      </c>
      <c r="K4" s="82">
        <f t="shared" si="7"/>
        <v>5597.76</v>
      </c>
    </row>
    <row r="5" spans="1:15" x14ac:dyDescent="0.25">
      <c r="A5" s="79" t="s">
        <v>2556</v>
      </c>
      <c r="B5" s="80">
        <v>20</v>
      </c>
      <c r="C5" s="81">
        <v>1.9</v>
      </c>
      <c r="D5" s="79">
        <f t="shared" si="0"/>
        <v>0.36099999999999999</v>
      </c>
      <c r="E5" s="81">
        <f t="shared" si="1"/>
        <v>2.2610000000000001</v>
      </c>
      <c r="F5" s="82">
        <f t="shared" si="2"/>
        <v>74480</v>
      </c>
      <c r="G5" s="82">
        <f t="shared" si="3"/>
        <v>14151.2</v>
      </c>
      <c r="H5" s="82">
        <f t="shared" si="4"/>
        <v>88631.2</v>
      </c>
      <c r="I5" s="82">
        <f t="shared" si="5"/>
        <v>3724</v>
      </c>
      <c r="J5" s="82">
        <f t="shared" si="6"/>
        <v>707.56000000000006</v>
      </c>
      <c r="K5" s="82">
        <f t="shared" si="7"/>
        <v>4431.5600000000004</v>
      </c>
    </row>
    <row r="6" spans="1:15" x14ac:dyDescent="0.25">
      <c r="A6" s="79" t="s">
        <v>2557</v>
      </c>
      <c r="B6" s="80">
        <v>30</v>
      </c>
      <c r="C6" s="81">
        <v>2</v>
      </c>
      <c r="D6" s="79">
        <f t="shared" si="0"/>
        <v>0.38</v>
      </c>
      <c r="E6" s="81">
        <f t="shared" si="1"/>
        <v>2.38</v>
      </c>
      <c r="F6" s="82">
        <f t="shared" si="2"/>
        <v>78400</v>
      </c>
      <c r="G6" s="82">
        <f t="shared" si="3"/>
        <v>14896</v>
      </c>
      <c r="H6" s="82">
        <f t="shared" si="4"/>
        <v>93296</v>
      </c>
      <c r="I6" s="82">
        <f t="shared" si="5"/>
        <v>2613.3333333333335</v>
      </c>
      <c r="J6" s="82">
        <f t="shared" si="6"/>
        <v>496.53333333333336</v>
      </c>
      <c r="K6" s="82">
        <f t="shared" si="7"/>
        <v>3109.8666666666668</v>
      </c>
    </row>
    <row r="7" spans="1:15" x14ac:dyDescent="0.25">
      <c r="A7" s="79" t="s">
        <v>2558</v>
      </c>
      <c r="B7" s="80">
        <v>50</v>
      </c>
      <c r="C7" s="81">
        <v>2.8</v>
      </c>
      <c r="D7" s="79">
        <f t="shared" si="0"/>
        <v>0.53199999999999992</v>
      </c>
      <c r="E7" s="81">
        <f t="shared" si="1"/>
        <v>3.3319999999999999</v>
      </c>
      <c r="F7" s="82">
        <f t="shared" si="2"/>
        <v>109760</v>
      </c>
      <c r="G7" s="82">
        <f t="shared" si="3"/>
        <v>20854.400000000001</v>
      </c>
      <c r="H7" s="82">
        <f t="shared" si="4"/>
        <v>130614.39999999999</v>
      </c>
      <c r="I7" s="82">
        <f t="shared" si="5"/>
        <v>2195.1999999999998</v>
      </c>
      <c r="J7" s="82">
        <f t="shared" si="6"/>
        <v>417.08799999999997</v>
      </c>
      <c r="K7" s="82">
        <f t="shared" si="7"/>
        <v>2612.2879999999996</v>
      </c>
    </row>
    <row r="8" spans="1:15" x14ac:dyDescent="0.25">
      <c r="A8" s="79" t="s">
        <v>2559</v>
      </c>
      <c r="B8" s="80">
        <v>75</v>
      </c>
      <c r="C8" s="81">
        <v>2.9</v>
      </c>
      <c r="D8" s="79">
        <f t="shared" si="0"/>
        <v>0.55099999999999993</v>
      </c>
      <c r="E8" s="81">
        <f t="shared" si="1"/>
        <v>3.4509999999999996</v>
      </c>
      <c r="F8" s="82">
        <f t="shared" si="2"/>
        <v>113680</v>
      </c>
      <c r="G8" s="82">
        <f t="shared" si="3"/>
        <v>21599.200000000001</v>
      </c>
      <c r="H8" s="82">
        <f t="shared" si="4"/>
        <v>135279.20000000001</v>
      </c>
      <c r="I8" s="82">
        <f t="shared" si="5"/>
        <v>1515.7333333333333</v>
      </c>
      <c r="J8" s="82">
        <f t="shared" si="6"/>
        <v>287.98933333333332</v>
      </c>
      <c r="K8" s="82">
        <f t="shared" si="7"/>
        <v>1803.7226666666666</v>
      </c>
    </row>
    <row r="9" spans="1:15" x14ac:dyDescent="0.25">
      <c r="A9" s="79" t="s">
        <v>2560</v>
      </c>
      <c r="B9" s="80">
        <v>100</v>
      </c>
      <c r="C9" s="81">
        <v>3</v>
      </c>
      <c r="D9" s="79">
        <f t="shared" si="0"/>
        <v>0.57000000000000006</v>
      </c>
      <c r="E9" s="81">
        <f t="shared" si="1"/>
        <v>3.5700000000000003</v>
      </c>
      <c r="F9" s="82">
        <f t="shared" si="2"/>
        <v>117600</v>
      </c>
      <c r="G9" s="82">
        <f t="shared" si="3"/>
        <v>22344</v>
      </c>
      <c r="H9" s="82">
        <f t="shared" si="4"/>
        <v>139944</v>
      </c>
      <c r="I9" s="82">
        <f t="shared" si="5"/>
        <v>1176</v>
      </c>
      <c r="J9" s="82">
        <f t="shared" si="6"/>
        <v>223.44</v>
      </c>
      <c r="K9" s="82">
        <f t="shared" si="7"/>
        <v>1399.44</v>
      </c>
    </row>
    <row r="10" spans="1:15" x14ac:dyDescent="0.25">
      <c r="A10" s="79" t="s">
        <v>2561</v>
      </c>
      <c r="B10" s="80">
        <v>150</v>
      </c>
      <c r="C10" s="81">
        <v>4</v>
      </c>
      <c r="D10" s="79">
        <f t="shared" si="0"/>
        <v>0.76</v>
      </c>
      <c r="E10" s="81">
        <f t="shared" si="1"/>
        <v>4.76</v>
      </c>
      <c r="F10" s="82">
        <f t="shared" si="2"/>
        <v>156800</v>
      </c>
      <c r="G10" s="82">
        <f t="shared" si="3"/>
        <v>29792</v>
      </c>
      <c r="H10" s="82">
        <f t="shared" si="4"/>
        <v>186592</v>
      </c>
      <c r="I10" s="82">
        <f t="shared" si="5"/>
        <v>1045.3333333333333</v>
      </c>
      <c r="J10" s="82">
        <f t="shared" si="6"/>
        <v>198.61333333333332</v>
      </c>
      <c r="K10" s="82">
        <f t="shared" si="7"/>
        <v>1243.9466666666665</v>
      </c>
    </row>
    <row r="11" spans="1:15" x14ac:dyDescent="0.25">
      <c r="A11" s="79" t="s">
        <v>2562</v>
      </c>
      <c r="B11" s="80">
        <v>200</v>
      </c>
      <c r="C11" s="81">
        <v>5</v>
      </c>
      <c r="D11" s="79">
        <f t="shared" si="0"/>
        <v>0.95</v>
      </c>
      <c r="E11" s="81">
        <f t="shared" si="1"/>
        <v>5.95</v>
      </c>
      <c r="F11" s="82">
        <f t="shared" si="2"/>
        <v>196000</v>
      </c>
      <c r="G11" s="82">
        <f t="shared" si="3"/>
        <v>37240</v>
      </c>
      <c r="H11" s="82">
        <f t="shared" si="4"/>
        <v>233240</v>
      </c>
      <c r="I11" s="82">
        <f t="shared" si="5"/>
        <v>980</v>
      </c>
      <c r="J11" s="82">
        <f t="shared" si="6"/>
        <v>186.2</v>
      </c>
      <c r="K11" s="82">
        <f t="shared" si="7"/>
        <v>1166.2</v>
      </c>
    </row>
    <row r="12" spans="1:15" x14ac:dyDescent="0.25">
      <c r="A12" s="79" t="s">
        <v>2563</v>
      </c>
      <c r="B12" s="80">
        <v>350</v>
      </c>
      <c r="C12" s="81">
        <v>8.8000000000000007</v>
      </c>
      <c r="D12" s="79">
        <f t="shared" si="0"/>
        <v>1.6720000000000002</v>
      </c>
      <c r="E12" s="81">
        <f t="shared" si="1"/>
        <v>10.472000000000001</v>
      </c>
      <c r="F12" s="82">
        <f t="shared" si="2"/>
        <v>344960</v>
      </c>
      <c r="G12" s="82">
        <f t="shared" si="3"/>
        <v>65542.399999999994</v>
      </c>
      <c r="H12" s="82">
        <f t="shared" si="4"/>
        <v>410502.40000000002</v>
      </c>
      <c r="I12" s="82">
        <f t="shared" si="5"/>
        <v>985.6</v>
      </c>
      <c r="J12" s="82">
        <f t="shared" si="6"/>
        <v>187.26400000000001</v>
      </c>
      <c r="K12" s="82">
        <f t="shared" si="7"/>
        <v>1172.864</v>
      </c>
    </row>
    <row r="13" spans="1:15" x14ac:dyDescent="0.25">
      <c r="A13" s="79" t="s">
        <v>2564</v>
      </c>
      <c r="B13" s="80">
        <v>500</v>
      </c>
      <c r="C13" s="81">
        <v>12.5</v>
      </c>
      <c r="D13" s="79">
        <f t="shared" si="0"/>
        <v>2.375</v>
      </c>
      <c r="E13" s="81">
        <f t="shared" si="1"/>
        <v>14.875</v>
      </c>
      <c r="F13" s="82">
        <f t="shared" si="2"/>
        <v>490000</v>
      </c>
      <c r="G13" s="82">
        <f t="shared" si="3"/>
        <v>93100</v>
      </c>
      <c r="H13" s="82">
        <f t="shared" si="4"/>
        <v>583100</v>
      </c>
      <c r="I13" s="82">
        <f t="shared" si="5"/>
        <v>980</v>
      </c>
      <c r="J13" s="82">
        <f t="shared" si="6"/>
        <v>186.2</v>
      </c>
      <c r="K13" s="82">
        <f t="shared" si="7"/>
        <v>1166.2</v>
      </c>
    </row>
    <row r="14" spans="1:15" x14ac:dyDescent="0.25">
      <c r="A14" s="79" t="s">
        <v>2565</v>
      </c>
      <c r="B14" s="80">
        <v>750</v>
      </c>
      <c r="C14" s="81">
        <v>18.8</v>
      </c>
      <c r="D14" s="79">
        <f t="shared" si="0"/>
        <v>3.5720000000000001</v>
      </c>
      <c r="E14" s="81">
        <f t="shared" si="1"/>
        <v>22.372</v>
      </c>
      <c r="F14" s="82">
        <f t="shared" si="2"/>
        <v>736960</v>
      </c>
      <c r="G14" s="82">
        <f t="shared" si="3"/>
        <v>140022.39999999999</v>
      </c>
      <c r="H14" s="82">
        <f t="shared" si="4"/>
        <v>876982.4</v>
      </c>
      <c r="I14" s="82">
        <f t="shared" si="5"/>
        <v>982.61333333333334</v>
      </c>
      <c r="J14" s="82">
        <f t="shared" si="6"/>
        <v>186.69653333333335</v>
      </c>
      <c r="K14" s="82">
        <f t="shared" si="7"/>
        <v>1169.3098666666667</v>
      </c>
    </row>
    <row r="15" spans="1:15" x14ac:dyDescent="0.25">
      <c r="A15" s="79" t="s">
        <v>2566</v>
      </c>
      <c r="B15" s="80">
        <v>1000</v>
      </c>
      <c r="C15" s="81">
        <v>25</v>
      </c>
      <c r="D15" s="79">
        <f t="shared" si="0"/>
        <v>4.75</v>
      </c>
      <c r="E15" s="81">
        <f t="shared" si="1"/>
        <v>29.75</v>
      </c>
      <c r="F15" s="82">
        <f t="shared" si="2"/>
        <v>980000</v>
      </c>
      <c r="G15" s="82">
        <f t="shared" si="3"/>
        <v>186200</v>
      </c>
      <c r="H15" s="82">
        <f t="shared" si="4"/>
        <v>1166200</v>
      </c>
      <c r="I15" s="82">
        <f t="shared" si="5"/>
        <v>980</v>
      </c>
      <c r="J15" s="82">
        <f t="shared" si="6"/>
        <v>186.2</v>
      </c>
      <c r="K15" s="82">
        <f t="shared" si="7"/>
        <v>1166.2</v>
      </c>
    </row>
    <row r="16" spans="1:15" x14ac:dyDescent="0.25">
      <c r="A16" s="79" t="s">
        <v>2567</v>
      </c>
      <c r="B16" s="80">
        <v>1500</v>
      </c>
      <c r="C16" s="81">
        <v>43.5</v>
      </c>
      <c r="D16" s="79">
        <f t="shared" si="0"/>
        <v>8.2650000000000006</v>
      </c>
      <c r="E16" s="81">
        <f t="shared" si="1"/>
        <v>51.765000000000001</v>
      </c>
      <c r="F16" s="82">
        <f t="shared" si="2"/>
        <v>1705200</v>
      </c>
      <c r="G16" s="82">
        <f t="shared" si="3"/>
        <v>323988</v>
      </c>
      <c r="H16" s="82">
        <f t="shared" si="4"/>
        <v>2029188</v>
      </c>
      <c r="I16" s="82">
        <f t="shared" si="5"/>
        <v>1136.8</v>
      </c>
      <c r="J16" s="82">
        <f t="shared" si="6"/>
        <v>215.99199999999999</v>
      </c>
      <c r="K16" s="82">
        <f t="shared" si="7"/>
        <v>1352.7919999999999</v>
      </c>
      <c r="L16">
        <f t="shared" ref="L16:L33" si="8">+$K$15*B16</f>
        <v>1749300</v>
      </c>
      <c r="M16" s="83">
        <f t="shared" ref="M16:M33" si="9">+H16-L16</f>
        <v>279888</v>
      </c>
    </row>
    <row r="17" spans="1:13" x14ac:dyDescent="0.25">
      <c r="A17" s="79" t="s">
        <v>2568</v>
      </c>
      <c r="B17" s="80">
        <v>2000</v>
      </c>
      <c r="C17" s="81">
        <v>58</v>
      </c>
      <c r="D17" s="79">
        <f t="shared" si="0"/>
        <v>11.02</v>
      </c>
      <c r="E17" s="81">
        <f t="shared" si="1"/>
        <v>69.02</v>
      </c>
      <c r="F17" s="82">
        <f t="shared" si="2"/>
        <v>2273600</v>
      </c>
      <c r="G17" s="82">
        <f t="shared" si="3"/>
        <v>431984</v>
      </c>
      <c r="H17" s="82">
        <f t="shared" si="4"/>
        <v>2705584</v>
      </c>
      <c r="I17" s="82">
        <f t="shared" si="5"/>
        <v>1136.8</v>
      </c>
      <c r="J17" s="82">
        <f t="shared" si="6"/>
        <v>215.99199999999999</v>
      </c>
      <c r="K17" s="82">
        <f t="shared" si="7"/>
        <v>1352.7919999999999</v>
      </c>
      <c r="L17">
        <f t="shared" si="8"/>
        <v>2332400</v>
      </c>
      <c r="M17" s="83">
        <f t="shared" si="9"/>
        <v>373184</v>
      </c>
    </row>
    <row r="18" spans="1:13" x14ac:dyDescent="0.25">
      <c r="A18" s="79" t="s">
        <v>2569</v>
      </c>
      <c r="B18" s="80">
        <v>2500</v>
      </c>
      <c r="C18" s="81">
        <v>72.5</v>
      </c>
      <c r="D18" s="79">
        <f t="shared" si="0"/>
        <v>13.775</v>
      </c>
      <c r="E18" s="81">
        <f t="shared" si="1"/>
        <v>86.275000000000006</v>
      </c>
      <c r="F18" s="82">
        <f t="shared" si="2"/>
        <v>2842000</v>
      </c>
      <c r="G18" s="82">
        <f t="shared" si="3"/>
        <v>539980</v>
      </c>
      <c r="H18" s="82">
        <f t="shared" si="4"/>
        <v>3381980</v>
      </c>
      <c r="I18" s="82">
        <f t="shared" si="5"/>
        <v>1136.8</v>
      </c>
      <c r="J18" s="82">
        <f t="shared" si="6"/>
        <v>215.99199999999999</v>
      </c>
      <c r="K18" s="82">
        <f t="shared" si="7"/>
        <v>1352.7919999999999</v>
      </c>
      <c r="L18">
        <f t="shared" si="8"/>
        <v>2915500</v>
      </c>
      <c r="M18" s="83">
        <f t="shared" si="9"/>
        <v>466480</v>
      </c>
    </row>
    <row r="19" spans="1:13" x14ac:dyDescent="0.25">
      <c r="A19" s="79" t="s">
        <v>2570</v>
      </c>
      <c r="B19" s="80">
        <v>3000</v>
      </c>
      <c r="C19" s="81">
        <v>87</v>
      </c>
      <c r="D19" s="79">
        <f t="shared" si="0"/>
        <v>16.53</v>
      </c>
      <c r="E19" s="81">
        <f t="shared" si="1"/>
        <v>103.53</v>
      </c>
      <c r="F19" s="82">
        <f t="shared" si="2"/>
        <v>3410400</v>
      </c>
      <c r="G19" s="82">
        <f t="shared" si="3"/>
        <v>647976</v>
      </c>
      <c r="H19" s="82">
        <f t="shared" si="4"/>
        <v>4058376</v>
      </c>
      <c r="I19" s="82">
        <f t="shared" si="5"/>
        <v>1136.8</v>
      </c>
      <c r="J19" s="82">
        <f t="shared" si="6"/>
        <v>215.99199999999999</v>
      </c>
      <c r="K19" s="82">
        <f t="shared" si="7"/>
        <v>1352.7919999999999</v>
      </c>
      <c r="L19">
        <f t="shared" si="8"/>
        <v>3498600</v>
      </c>
      <c r="M19" s="83">
        <f t="shared" si="9"/>
        <v>559776</v>
      </c>
    </row>
    <row r="20" spans="1:13" x14ac:dyDescent="0.25">
      <c r="A20" s="79" t="s">
        <v>2571</v>
      </c>
      <c r="B20" s="80">
        <v>4000</v>
      </c>
      <c r="C20" s="81">
        <v>116</v>
      </c>
      <c r="D20" s="79">
        <f t="shared" si="0"/>
        <v>22.04</v>
      </c>
      <c r="E20" s="81">
        <f t="shared" si="1"/>
        <v>138.04</v>
      </c>
      <c r="F20" s="82">
        <f t="shared" si="2"/>
        <v>4547200</v>
      </c>
      <c r="G20" s="82">
        <f t="shared" si="3"/>
        <v>863968</v>
      </c>
      <c r="H20" s="82">
        <f t="shared" si="4"/>
        <v>5411168</v>
      </c>
      <c r="I20" s="82">
        <f t="shared" si="5"/>
        <v>1136.8</v>
      </c>
      <c r="J20" s="82">
        <f t="shared" si="6"/>
        <v>215.99199999999999</v>
      </c>
      <c r="K20" s="82">
        <f t="shared" si="7"/>
        <v>1352.7919999999999</v>
      </c>
      <c r="L20">
        <f t="shared" si="8"/>
        <v>4664800</v>
      </c>
      <c r="M20" s="83">
        <f t="shared" si="9"/>
        <v>746368</v>
      </c>
    </row>
    <row r="21" spans="1:13" x14ac:dyDescent="0.25">
      <c r="A21" s="79" t="s">
        <v>2572</v>
      </c>
      <c r="B21" s="80">
        <v>5000</v>
      </c>
      <c r="C21" s="81">
        <v>145</v>
      </c>
      <c r="D21" s="79">
        <f t="shared" si="0"/>
        <v>27.55</v>
      </c>
      <c r="E21" s="81">
        <f t="shared" si="1"/>
        <v>172.55</v>
      </c>
      <c r="F21" s="82">
        <f t="shared" si="2"/>
        <v>5684000</v>
      </c>
      <c r="G21" s="82">
        <f t="shared" si="3"/>
        <v>1079960</v>
      </c>
      <c r="H21" s="82">
        <f t="shared" si="4"/>
        <v>6763960</v>
      </c>
      <c r="I21" s="82">
        <f t="shared" si="5"/>
        <v>1136.8</v>
      </c>
      <c r="J21" s="82">
        <f t="shared" si="6"/>
        <v>215.99199999999999</v>
      </c>
      <c r="K21" s="82">
        <f t="shared" si="7"/>
        <v>1352.7919999999999</v>
      </c>
      <c r="L21">
        <f t="shared" si="8"/>
        <v>5831000</v>
      </c>
      <c r="M21" s="83">
        <f t="shared" si="9"/>
        <v>932960</v>
      </c>
    </row>
    <row r="22" spans="1:13" x14ac:dyDescent="0.25">
      <c r="A22" s="79" t="s">
        <v>2573</v>
      </c>
      <c r="B22" s="80">
        <v>6000</v>
      </c>
      <c r="C22" s="81">
        <v>174</v>
      </c>
      <c r="D22" s="79">
        <f t="shared" si="0"/>
        <v>33.06</v>
      </c>
      <c r="E22" s="81">
        <f t="shared" si="1"/>
        <v>207.06</v>
      </c>
      <c r="F22" s="82">
        <f t="shared" si="2"/>
        <v>6820800</v>
      </c>
      <c r="G22" s="82">
        <f t="shared" si="3"/>
        <v>1295952</v>
      </c>
      <c r="H22" s="82">
        <f t="shared" si="4"/>
        <v>8116752</v>
      </c>
      <c r="I22" s="82">
        <f t="shared" si="5"/>
        <v>1136.8</v>
      </c>
      <c r="J22" s="82">
        <f t="shared" si="6"/>
        <v>215.99199999999999</v>
      </c>
      <c r="K22" s="82">
        <f t="shared" si="7"/>
        <v>1352.7919999999999</v>
      </c>
      <c r="L22">
        <f t="shared" si="8"/>
        <v>6997200</v>
      </c>
      <c r="M22" s="83">
        <f t="shared" si="9"/>
        <v>1119552</v>
      </c>
    </row>
    <row r="23" spans="1:13" x14ac:dyDescent="0.25">
      <c r="A23" s="79" t="s">
        <v>2574</v>
      </c>
      <c r="B23" s="80">
        <v>7000</v>
      </c>
      <c r="C23" s="81">
        <v>203</v>
      </c>
      <c r="D23" s="79">
        <f t="shared" si="0"/>
        <v>38.57</v>
      </c>
      <c r="E23" s="81">
        <f t="shared" si="1"/>
        <v>241.57</v>
      </c>
      <c r="F23" s="82">
        <f t="shared" si="2"/>
        <v>7957600</v>
      </c>
      <c r="G23" s="82">
        <f t="shared" si="3"/>
        <v>1511944</v>
      </c>
      <c r="H23" s="82">
        <f t="shared" si="4"/>
        <v>9469544</v>
      </c>
      <c r="I23" s="82">
        <f t="shared" si="5"/>
        <v>1136.8</v>
      </c>
      <c r="J23" s="82">
        <f t="shared" si="6"/>
        <v>215.99199999999999</v>
      </c>
      <c r="K23" s="82">
        <f t="shared" si="7"/>
        <v>1352.7919999999999</v>
      </c>
      <c r="L23">
        <f t="shared" si="8"/>
        <v>8163400</v>
      </c>
      <c r="M23" s="83">
        <f t="shared" si="9"/>
        <v>1306144</v>
      </c>
    </row>
    <row r="24" spans="1:13" x14ac:dyDescent="0.25">
      <c r="A24" s="79" t="s">
        <v>2575</v>
      </c>
      <c r="B24" s="80">
        <v>8000</v>
      </c>
      <c r="C24" s="81">
        <v>232</v>
      </c>
      <c r="D24" s="79">
        <f t="shared" si="0"/>
        <v>44.08</v>
      </c>
      <c r="E24" s="81">
        <f t="shared" si="1"/>
        <v>276.08</v>
      </c>
      <c r="F24" s="82">
        <f t="shared" si="2"/>
        <v>9094400</v>
      </c>
      <c r="G24" s="82">
        <f t="shared" si="3"/>
        <v>1727936</v>
      </c>
      <c r="H24" s="82">
        <f t="shared" si="4"/>
        <v>10822336</v>
      </c>
      <c r="I24" s="82">
        <f t="shared" si="5"/>
        <v>1136.8</v>
      </c>
      <c r="J24" s="82">
        <f t="shared" si="6"/>
        <v>215.99199999999999</v>
      </c>
      <c r="K24" s="82">
        <f t="shared" si="7"/>
        <v>1352.7919999999999</v>
      </c>
      <c r="L24">
        <f t="shared" si="8"/>
        <v>9329600</v>
      </c>
      <c r="M24" s="83">
        <f t="shared" si="9"/>
        <v>1492736</v>
      </c>
    </row>
    <row r="25" spans="1:13" x14ac:dyDescent="0.25">
      <c r="A25" s="79" t="s">
        <v>2576</v>
      </c>
      <c r="B25" s="80">
        <v>9000</v>
      </c>
      <c r="C25" s="81">
        <v>261</v>
      </c>
      <c r="D25" s="79">
        <f t="shared" si="0"/>
        <v>49.59</v>
      </c>
      <c r="E25" s="81">
        <f t="shared" si="1"/>
        <v>310.59000000000003</v>
      </c>
      <c r="F25" s="82">
        <f t="shared" si="2"/>
        <v>10231200</v>
      </c>
      <c r="G25" s="82">
        <f t="shared" si="3"/>
        <v>1943928</v>
      </c>
      <c r="H25" s="82">
        <f t="shared" si="4"/>
        <v>12175128</v>
      </c>
      <c r="I25" s="82">
        <f t="shared" si="5"/>
        <v>1136.8</v>
      </c>
      <c r="J25" s="82">
        <f t="shared" si="6"/>
        <v>215.99199999999999</v>
      </c>
      <c r="K25" s="82">
        <f t="shared" si="7"/>
        <v>1352.7919999999999</v>
      </c>
      <c r="L25">
        <f t="shared" si="8"/>
        <v>10495800</v>
      </c>
      <c r="M25" s="83">
        <f t="shared" si="9"/>
        <v>1679328</v>
      </c>
    </row>
    <row r="26" spans="1:13" x14ac:dyDescent="0.25">
      <c r="A26" s="79" t="s">
        <v>2577</v>
      </c>
      <c r="B26" s="80">
        <v>10000</v>
      </c>
      <c r="C26" s="81">
        <v>290</v>
      </c>
      <c r="D26" s="79">
        <f t="shared" si="0"/>
        <v>55.1</v>
      </c>
      <c r="E26" s="81">
        <f t="shared" si="1"/>
        <v>345.1</v>
      </c>
      <c r="F26" s="82">
        <f t="shared" si="2"/>
        <v>11368000</v>
      </c>
      <c r="G26" s="82">
        <f t="shared" si="3"/>
        <v>2159920</v>
      </c>
      <c r="H26" s="82">
        <f t="shared" si="4"/>
        <v>13527920</v>
      </c>
      <c r="I26" s="82">
        <f t="shared" si="5"/>
        <v>1136.8</v>
      </c>
      <c r="J26" s="82">
        <f t="shared" si="6"/>
        <v>215.99199999999999</v>
      </c>
      <c r="K26" s="82">
        <f t="shared" si="7"/>
        <v>1352.7919999999999</v>
      </c>
      <c r="L26">
        <f t="shared" si="8"/>
        <v>11662000</v>
      </c>
      <c r="M26" s="83">
        <f t="shared" si="9"/>
        <v>1865920</v>
      </c>
    </row>
    <row r="27" spans="1:13" x14ac:dyDescent="0.25">
      <c r="A27" s="79" t="s">
        <v>2578</v>
      </c>
      <c r="B27" s="80">
        <v>12000</v>
      </c>
      <c r="C27" s="81">
        <v>348</v>
      </c>
      <c r="D27" s="79">
        <f t="shared" si="0"/>
        <v>66.12</v>
      </c>
      <c r="E27" s="81">
        <f t="shared" si="1"/>
        <v>414.12</v>
      </c>
      <c r="F27" s="82">
        <f t="shared" si="2"/>
        <v>13641600</v>
      </c>
      <c r="G27" s="82">
        <f t="shared" si="3"/>
        <v>2591904</v>
      </c>
      <c r="H27" s="82">
        <f t="shared" si="4"/>
        <v>16233504</v>
      </c>
      <c r="I27" s="82">
        <f t="shared" si="5"/>
        <v>1136.8</v>
      </c>
      <c r="J27" s="82">
        <f t="shared" si="6"/>
        <v>215.99199999999999</v>
      </c>
      <c r="K27" s="82">
        <f t="shared" si="7"/>
        <v>1352.7919999999999</v>
      </c>
      <c r="L27">
        <f t="shared" si="8"/>
        <v>13994400</v>
      </c>
      <c r="M27" s="83">
        <f t="shared" si="9"/>
        <v>2239104</v>
      </c>
    </row>
    <row r="28" spans="1:13" x14ac:dyDescent="0.25">
      <c r="A28" s="79" t="s">
        <v>2579</v>
      </c>
      <c r="B28" s="80">
        <v>14000</v>
      </c>
      <c r="C28" s="81">
        <v>406</v>
      </c>
      <c r="D28" s="79">
        <f t="shared" si="0"/>
        <v>77.14</v>
      </c>
      <c r="E28" s="81">
        <f t="shared" si="1"/>
        <v>483.14</v>
      </c>
      <c r="F28" s="82">
        <f t="shared" si="2"/>
        <v>15915200</v>
      </c>
      <c r="G28" s="82">
        <f t="shared" si="3"/>
        <v>3023888</v>
      </c>
      <c r="H28" s="82">
        <f t="shared" si="4"/>
        <v>18939088</v>
      </c>
      <c r="I28" s="82">
        <f t="shared" si="5"/>
        <v>1136.8</v>
      </c>
      <c r="J28" s="82">
        <f t="shared" si="6"/>
        <v>215.99199999999999</v>
      </c>
      <c r="K28" s="82">
        <f t="shared" si="7"/>
        <v>1352.7919999999999</v>
      </c>
      <c r="L28">
        <f t="shared" si="8"/>
        <v>16326800</v>
      </c>
      <c r="M28" s="83">
        <f t="shared" si="9"/>
        <v>2612288</v>
      </c>
    </row>
    <row r="29" spans="1:13" x14ac:dyDescent="0.25">
      <c r="A29" s="79" t="s">
        <v>2580</v>
      </c>
      <c r="B29" s="80">
        <v>16000</v>
      </c>
      <c r="C29" s="81">
        <v>464</v>
      </c>
      <c r="D29" s="79">
        <f t="shared" si="0"/>
        <v>88.16</v>
      </c>
      <c r="E29" s="81">
        <f t="shared" si="1"/>
        <v>552.16</v>
      </c>
      <c r="F29" s="82">
        <f t="shared" si="2"/>
        <v>18188800</v>
      </c>
      <c r="G29" s="82">
        <f t="shared" si="3"/>
        <v>3455872</v>
      </c>
      <c r="H29" s="82">
        <f t="shared" si="4"/>
        <v>21644672</v>
      </c>
      <c r="I29" s="82">
        <f t="shared" si="5"/>
        <v>1136.8</v>
      </c>
      <c r="J29" s="82">
        <f t="shared" si="6"/>
        <v>215.99199999999999</v>
      </c>
      <c r="K29" s="82">
        <f t="shared" si="7"/>
        <v>1352.7919999999999</v>
      </c>
      <c r="L29">
        <f t="shared" si="8"/>
        <v>18659200</v>
      </c>
      <c r="M29" s="83">
        <f t="shared" si="9"/>
        <v>2985472</v>
      </c>
    </row>
    <row r="30" spans="1:13" x14ac:dyDescent="0.25">
      <c r="A30" s="79" t="s">
        <v>2581</v>
      </c>
      <c r="B30" s="80">
        <v>18000</v>
      </c>
      <c r="C30" s="81">
        <v>522</v>
      </c>
      <c r="D30" s="79">
        <f t="shared" si="0"/>
        <v>99.18</v>
      </c>
      <c r="E30" s="81">
        <f t="shared" si="1"/>
        <v>621.18000000000006</v>
      </c>
      <c r="F30" s="82">
        <f t="shared" si="2"/>
        <v>20462400</v>
      </c>
      <c r="G30" s="82">
        <f t="shared" si="3"/>
        <v>3887856</v>
      </c>
      <c r="H30" s="82">
        <f t="shared" si="4"/>
        <v>24350256</v>
      </c>
      <c r="I30" s="82">
        <f t="shared" si="5"/>
        <v>1136.8</v>
      </c>
      <c r="J30" s="82">
        <f t="shared" si="6"/>
        <v>215.99199999999999</v>
      </c>
      <c r="K30" s="82">
        <f t="shared" si="7"/>
        <v>1352.7919999999999</v>
      </c>
      <c r="L30">
        <f t="shared" si="8"/>
        <v>20991600</v>
      </c>
      <c r="M30" s="83">
        <f t="shared" si="9"/>
        <v>3358656</v>
      </c>
    </row>
    <row r="31" spans="1:13" x14ac:dyDescent="0.25">
      <c r="A31" s="79" t="s">
        <v>2582</v>
      </c>
      <c r="B31" s="80">
        <v>20000</v>
      </c>
      <c r="C31" s="81">
        <v>580</v>
      </c>
      <c r="D31" s="79">
        <f t="shared" si="0"/>
        <v>110.2</v>
      </c>
      <c r="E31" s="81">
        <f t="shared" si="1"/>
        <v>690.2</v>
      </c>
      <c r="F31" s="82">
        <f t="shared" si="2"/>
        <v>22736000</v>
      </c>
      <c r="G31" s="82">
        <f t="shared" si="3"/>
        <v>4319840</v>
      </c>
      <c r="H31" s="82">
        <f t="shared" si="4"/>
        <v>27055840</v>
      </c>
      <c r="I31" s="82">
        <f t="shared" si="5"/>
        <v>1136.8</v>
      </c>
      <c r="J31" s="82">
        <f t="shared" si="6"/>
        <v>215.99199999999999</v>
      </c>
      <c r="K31" s="82">
        <f t="shared" si="7"/>
        <v>1352.7919999999999</v>
      </c>
      <c r="L31">
        <f t="shared" si="8"/>
        <v>23324000</v>
      </c>
      <c r="M31" s="83">
        <f t="shared" si="9"/>
        <v>3731840</v>
      </c>
    </row>
    <row r="32" spans="1:13" x14ac:dyDescent="0.25">
      <c r="A32" s="79" t="s">
        <v>2583</v>
      </c>
      <c r="B32" s="80">
        <v>22000</v>
      </c>
      <c r="C32" s="81">
        <v>638</v>
      </c>
      <c r="D32" s="79">
        <f t="shared" si="0"/>
        <v>121.22</v>
      </c>
      <c r="E32" s="81">
        <f t="shared" si="1"/>
        <v>759.22</v>
      </c>
      <c r="F32" s="82">
        <f t="shared" si="2"/>
        <v>25009600</v>
      </c>
      <c r="G32" s="82">
        <f t="shared" si="3"/>
        <v>4751824</v>
      </c>
      <c r="H32" s="82">
        <f t="shared" si="4"/>
        <v>29761424</v>
      </c>
      <c r="I32" s="82">
        <f t="shared" si="5"/>
        <v>1136.8</v>
      </c>
      <c r="J32" s="82">
        <f t="shared" si="6"/>
        <v>215.99199999999999</v>
      </c>
      <c r="K32" s="82">
        <f t="shared" si="7"/>
        <v>1352.7919999999999</v>
      </c>
      <c r="L32">
        <f t="shared" si="8"/>
        <v>25656400</v>
      </c>
      <c r="M32" s="83">
        <f t="shared" si="9"/>
        <v>4105024</v>
      </c>
    </row>
    <row r="33" spans="1:13" x14ac:dyDescent="0.25">
      <c r="A33" s="79" t="s">
        <v>2584</v>
      </c>
      <c r="B33" s="80">
        <v>24000</v>
      </c>
      <c r="C33" s="81">
        <v>696</v>
      </c>
      <c r="D33" s="79">
        <f t="shared" si="0"/>
        <v>132.24</v>
      </c>
      <c r="E33" s="81">
        <f t="shared" si="1"/>
        <v>828.24</v>
      </c>
      <c r="F33" s="82">
        <f t="shared" si="2"/>
        <v>27283200</v>
      </c>
      <c r="G33" s="82">
        <f t="shared" si="3"/>
        <v>5183808</v>
      </c>
      <c r="H33" s="82">
        <f t="shared" si="4"/>
        <v>32467008</v>
      </c>
      <c r="I33" s="82">
        <f t="shared" si="5"/>
        <v>1136.8</v>
      </c>
      <c r="J33" s="82">
        <f t="shared" si="6"/>
        <v>215.99199999999999</v>
      </c>
      <c r="K33" s="82">
        <f t="shared" si="7"/>
        <v>1352.7919999999999</v>
      </c>
      <c r="L33">
        <f t="shared" si="8"/>
        <v>27988800</v>
      </c>
      <c r="M33" s="83">
        <f t="shared" si="9"/>
        <v>4478208</v>
      </c>
    </row>
    <row r="35" spans="1:13" x14ac:dyDescent="0.25">
      <c r="K35" s="84"/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1CC1-785F-4C9E-9D90-99C2205DF85F}">
  <dimension ref="A1:L845"/>
  <sheetViews>
    <sheetView topLeftCell="F1" workbookViewId="0">
      <selection activeCell="H17" sqref="H17"/>
    </sheetView>
  </sheetViews>
  <sheetFormatPr baseColWidth="10" defaultRowHeight="15" x14ac:dyDescent="0.25"/>
  <cols>
    <col min="1" max="1" width="57.42578125" bestFit="1" customWidth="1"/>
    <col min="2" max="2" width="19.7109375" bestFit="1" customWidth="1"/>
    <col min="3" max="3" width="101" bestFit="1" customWidth="1"/>
    <col min="4" max="4" width="97.7109375" bestFit="1" customWidth="1"/>
    <col min="5" max="5" width="92.42578125" bestFit="1" customWidth="1"/>
    <col min="6" max="6" width="13.140625" customWidth="1"/>
    <col min="7" max="7" width="28.85546875" bestFit="1" customWidth="1"/>
    <col min="8" max="8" width="25.5703125" bestFit="1" customWidth="1"/>
    <col min="11" max="11" width="17.85546875" bestFit="1" customWidth="1"/>
    <col min="12" max="12" width="35.5703125" bestFit="1" customWidth="1"/>
  </cols>
  <sheetData>
    <row r="1" spans="1:12" x14ac:dyDescent="0.25">
      <c r="A1" t="s">
        <v>2592</v>
      </c>
      <c r="B1" t="s">
        <v>2593</v>
      </c>
      <c r="C1" t="s">
        <v>2594</v>
      </c>
      <c r="D1" t="s">
        <v>2595</v>
      </c>
      <c r="E1" t="s">
        <v>2596</v>
      </c>
      <c r="F1" t="s">
        <v>2597</v>
      </c>
      <c r="G1" t="s">
        <v>2598</v>
      </c>
      <c r="H1" t="s">
        <v>4949</v>
      </c>
    </row>
    <row r="2" spans="1:12" x14ac:dyDescent="0.25">
      <c r="A2" t="s">
        <v>2599</v>
      </c>
      <c r="B2">
        <v>2024</v>
      </c>
      <c r="C2" t="s">
        <v>2600</v>
      </c>
      <c r="D2" t="s">
        <v>2601</v>
      </c>
      <c r="E2" t="s">
        <v>2602</v>
      </c>
      <c r="F2" s="3">
        <v>1</v>
      </c>
      <c r="G2">
        <v>6</v>
      </c>
      <c r="H2" t="str">
        <f>+IF(G2&gt;=100,"7.Mayor a 100 P",+IF(G2&gt;=70,"6.Mayor a 70 P",+IF(G2&gt;=40,"5.Mayor a 40 P",+IF(G2&gt;=20,"4.Mayor a 20 P",+IF(G2&gt;=10,"3.Mayor a 10 P",+IF(G2&lt;10,"2.Menor a 10 P",+IF(G2=0,"1.Sin Propiedades","Revsar")))))))</f>
        <v>2.Menor a 10 P</v>
      </c>
    </row>
    <row r="3" spans="1:12" x14ac:dyDescent="0.25">
      <c r="A3" t="s">
        <v>2603</v>
      </c>
      <c r="B3">
        <v>2022</v>
      </c>
      <c r="C3" t="s">
        <v>2604</v>
      </c>
      <c r="D3" t="s">
        <v>2605</v>
      </c>
      <c r="E3" t="s">
        <v>2602</v>
      </c>
      <c r="F3" s="3">
        <v>1</v>
      </c>
      <c r="G3">
        <v>6</v>
      </c>
      <c r="H3" t="str">
        <f t="shared" ref="H3:H66" si="0">+IF(G3&gt;=100,"7.Mayor a 100 P",+IF(G3&gt;=70,"6.Mayor a 70 P",+IF(G3&gt;=40,"5.Mayor a 40 P",+IF(G3&gt;=20,"4.Mayor a 20 P",+IF(G3&gt;=10,"3.Mayor a 10 P",+IF(G3&lt;10,"2.Menor a 10 P",+IF(G3=0,"1.Sin Propiedades","Revsar")))))))</f>
        <v>2.Menor a 10 P</v>
      </c>
    </row>
    <row r="4" spans="1:12" x14ac:dyDescent="0.25">
      <c r="A4" t="s">
        <v>2606</v>
      </c>
      <c r="B4">
        <v>2018</v>
      </c>
      <c r="C4" t="s">
        <v>2607</v>
      </c>
      <c r="D4" t="s">
        <v>2608</v>
      </c>
      <c r="E4" t="s">
        <v>2602</v>
      </c>
      <c r="F4" s="3">
        <v>1</v>
      </c>
      <c r="G4">
        <v>10</v>
      </c>
      <c r="H4" t="str">
        <f t="shared" si="0"/>
        <v>3.Mayor a 10 P</v>
      </c>
      <c r="K4" s="13" t="s">
        <v>2485</v>
      </c>
      <c r="L4" t="s">
        <v>4958</v>
      </c>
    </row>
    <row r="5" spans="1:12" x14ac:dyDescent="0.25">
      <c r="A5" t="s">
        <v>2609</v>
      </c>
      <c r="B5">
        <v>2025</v>
      </c>
      <c r="C5" t="s">
        <v>2604</v>
      </c>
      <c r="D5" t="s">
        <v>2610</v>
      </c>
      <c r="E5" t="s">
        <v>2602</v>
      </c>
      <c r="F5" s="3">
        <v>1</v>
      </c>
      <c r="G5">
        <v>3</v>
      </c>
      <c r="H5" t="str">
        <f t="shared" si="0"/>
        <v>2.Menor a 10 P</v>
      </c>
      <c r="K5" s="12" t="s">
        <v>4952</v>
      </c>
      <c r="L5">
        <v>315</v>
      </c>
    </row>
    <row r="6" spans="1:12" x14ac:dyDescent="0.25">
      <c r="A6" t="s">
        <v>2611</v>
      </c>
      <c r="B6">
        <v>2018</v>
      </c>
      <c r="C6" t="s">
        <v>2612</v>
      </c>
      <c r="D6" t="s">
        <v>2613</v>
      </c>
      <c r="E6" t="s">
        <v>2602</v>
      </c>
      <c r="F6" s="3">
        <v>1</v>
      </c>
      <c r="G6">
        <v>4</v>
      </c>
      <c r="H6" t="str">
        <f t="shared" si="0"/>
        <v>2.Menor a 10 P</v>
      </c>
      <c r="K6" s="12" t="s">
        <v>4953</v>
      </c>
      <c r="L6">
        <v>183</v>
      </c>
    </row>
    <row r="7" spans="1:12" x14ac:dyDescent="0.25">
      <c r="A7" t="s">
        <v>2614</v>
      </c>
      <c r="B7">
        <v>2019</v>
      </c>
      <c r="C7" t="s">
        <v>2615</v>
      </c>
      <c r="D7" t="s">
        <v>2616</v>
      </c>
      <c r="E7" t="s">
        <v>2602</v>
      </c>
      <c r="F7" s="3">
        <v>1</v>
      </c>
      <c r="G7">
        <v>7</v>
      </c>
      <c r="H7" t="str">
        <f t="shared" si="0"/>
        <v>2.Menor a 10 P</v>
      </c>
      <c r="K7" s="12" t="s">
        <v>4954</v>
      </c>
      <c r="L7">
        <v>139</v>
      </c>
    </row>
    <row r="8" spans="1:12" x14ac:dyDescent="0.25">
      <c r="A8" t="s">
        <v>2617</v>
      </c>
      <c r="B8">
        <v>2018</v>
      </c>
      <c r="C8" t="s">
        <v>2618</v>
      </c>
      <c r="D8" t="s">
        <v>2619</v>
      </c>
      <c r="E8" t="s">
        <v>2602</v>
      </c>
      <c r="F8" s="3">
        <v>1</v>
      </c>
      <c r="G8">
        <v>25</v>
      </c>
      <c r="H8" t="str">
        <f t="shared" si="0"/>
        <v>4.Mayor a 20 P</v>
      </c>
      <c r="K8" s="12" t="s">
        <v>4955</v>
      </c>
      <c r="L8">
        <v>84</v>
      </c>
    </row>
    <row r="9" spans="1:12" x14ac:dyDescent="0.25">
      <c r="A9" t="s">
        <v>2620</v>
      </c>
      <c r="B9">
        <v>2025</v>
      </c>
      <c r="C9" t="s">
        <v>2621</v>
      </c>
      <c r="D9" t="s">
        <v>2622</v>
      </c>
      <c r="E9" t="s">
        <v>2602</v>
      </c>
      <c r="F9" s="3">
        <v>1</v>
      </c>
      <c r="G9">
        <v>8</v>
      </c>
      <c r="H9" t="str">
        <f t="shared" si="0"/>
        <v>2.Menor a 10 P</v>
      </c>
      <c r="K9" s="12" t="s">
        <v>4956</v>
      </c>
      <c r="L9">
        <v>38</v>
      </c>
    </row>
    <row r="10" spans="1:12" x14ac:dyDescent="0.25">
      <c r="A10" t="s">
        <v>2623</v>
      </c>
      <c r="B10">
        <v>2017</v>
      </c>
      <c r="C10" t="s">
        <v>2624</v>
      </c>
      <c r="D10" t="s">
        <v>2625</v>
      </c>
      <c r="E10" t="s">
        <v>2602</v>
      </c>
      <c r="F10" s="3">
        <v>1</v>
      </c>
      <c r="G10">
        <v>5</v>
      </c>
      <c r="H10" t="str">
        <f t="shared" si="0"/>
        <v>2.Menor a 10 P</v>
      </c>
      <c r="K10" s="12" t="s">
        <v>4957</v>
      </c>
      <c r="L10">
        <v>85</v>
      </c>
    </row>
    <row r="11" spans="1:12" x14ac:dyDescent="0.25">
      <c r="A11" t="s">
        <v>2626</v>
      </c>
      <c r="B11">
        <v>2019</v>
      </c>
      <c r="C11" t="s">
        <v>2627</v>
      </c>
      <c r="D11" t="s">
        <v>2628</v>
      </c>
      <c r="E11" t="s">
        <v>2602</v>
      </c>
      <c r="F11" s="3">
        <v>1</v>
      </c>
      <c r="G11">
        <v>5</v>
      </c>
      <c r="H11" t="str">
        <f t="shared" si="0"/>
        <v>2.Menor a 10 P</v>
      </c>
      <c r="K11" s="12" t="s">
        <v>2483</v>
      </c>
      <c r="L11">
        <v>844</v>
      </c>
    </row>
    <row r="12" spans="1:12" x14ac:dyDescent="0.25">
      <c r="A12" t="s">
        <v>2629</v>
      </c>
      <c r="B12">
        <v>2020</v>
      </c>
      <c r="C12" t="s">
        <v>2604</v>
      </c>
      <c r="D12" t="s">
        <v>2630</v>
      </c>
      <c r="E12" t="s">
        <v>2602</v>
      </c>
      <c r="F12" s="3">
        <v>1</v>
      </c>
      <c r="G12">
        <v>10</v>
      </c>
      <c r="H12" t="str">
        <f t="shared" si="0"/>
        <v>3.Mayor a 10 P</v>
      </c>
    </row>
    <row r="13" spans="1:12" x14ac:dyDescent="0.25">
      <c r="A13" t="s">
        <v>2631</v>
      </c>
      <c r="B13">
        <v>2020</v>
      </c>
      <c r="C13" t="s">
        <v>2632</v>
      </c>
      <c r="D13" t="s">
        <v>2633</v>
      </c>
      <c r="E13" t="s">
        <v>2602</v>
      </c>
      <c r="F13" s="3">
        <v>1</v>
      </c>
      <c r="G13">
        <v>7</v>
      </c>
      <c r="H13" t="str">
        <f t="shared" si="0"/>
        <v>2.Menor a 10 P</v>
      </c>
    </row>
    <row r="14" spans="1:12" x14ac:dyDescent="0.25">
      <c r="A14" t="s">
        <v>2634</v>
      </c>
      <c r="B14">
        <v>2021</v>
      </c>
      <c r="C14" t="s">
        <v>2635</v>
      </c>
      <c r="D14" t="s">
        <v>2636</v>
      </c>
      <c r="E14" t="s">
        <v>2602</v>
      </c>
      <c r="F14" s="3">
        <v>0.97802197802197799</v>
      </c>
      <c r="G14">
        <v>37</v>
      </c>
      <c r="H14" t="str">
        <f t="shared" si="0"/>
        <v>4.Mayor a 20 P</v>
      </c>
    </row>
    <row r="15" spans="1:12" x14ac:dyDescent="0.25">
      <c r="A15" t="s">
        <v>2637</v>
      </c>
      <c r="B15">
        <v>2020</v>
      </c>
      <c r="C15" t="s">
        <v>2638</v>
      </c>
      <c r="D15" t="s">
        <v>2639</v>
      </c>
      <c r="E15" t="s">
        <v>2602</v>
      </c>
      <c r="F15" s="3">
        <v>0.97802197802197799</v>
      </c>
      <c r="G15">
        <v>42</v>
      </c>
      <c r="H15" t="str">
        <f t="shared" si="0"/>
        <v>5.Mayor a 40 P</v>
      </c>
    </row>
    <row r="16" spans="1:12" x14ac:dyDescent="0.25">
      <c r="A16" t="s">
        <v>2640</v>
      </c>
      <c r="B16">
        <v>2022</v>
      </c>
      <c r="C16" t="s">
        <v>2604</v>
      </c>
      <c r="D16" t="s">
        <v>2641</v>
      </c>
      <c r="E16" t="s">
        <v>2602</v>
      </c>
      <c r="F16" s="3">
        <v>0.96703296703296704</v>
      </c>
      <c r="G16">
        <v>96</v>
      </c>
      <c r="H16" t="str">
        <f t="shared" si="0"/>
        <v>6.Mayor a 70 P</v>
      </c>
    </row>
    <row r="17" spans="1:8" x14ac:dyDescent="0.25">
      <c r="A17" t="s">
        <v>2642</v>
      </c>
      <c r="B17">
        <v>2018</v>
      </c>
      <c r="C17" t="s">
        <v>2643</v>
      </c>
      <c r="D17" t="s">
        <v>2644</v>
      </c>
      <c r="E17" t="s">
        <v>2602</v>
      </c>
      <c r="F17" s="3">
        <v>0.95604395604395598</v>
      </c>
      <c r="G17">
        <v>28</v>
      </c>
      <c r="H17" t="str">
        <f t="shared" si="0"/>
        <v>4.Mayor a 20 P</v>
      </c>
    </row>
    <row r="18" spans="1:8" x14ac:dyDescent="0.25">
      <c r="A18" t="s">
        <v>2645</v>
      </c>
      <c r="B18">
        <v>2019</v>
      </c>
      <c r="C18" t="s">
        <v>2646</v>
      </c>
      <c r="D18" t="s">
        <v>2647</v>
      </c>
      <c r="E18" t="s">
        <v>2602</v>
      </c>
      <c r="F18" s="3">
        <v>0.95604395604395598</v>
      </c>
      <c r="G18">
        <v>4</v>
      </c>
      <c r="H18" t="str">
        <f t="shared" si="0"/>
        <v>2.Menor a 10 P</v>
      </c>
    </row>
    <row r="19" spans="1:8" x14ac:dyDescent="0.25">
      <c r="A19" t="s">
        <v>2648</v>
      </c>
      <c r="B19">
        <v>2018</v>
      </c>
      <c r="C19" t="s">
        <v>2649</v>
      </c>
      <c r="D19" t="s">
        <v>2650</v>
      </c>
      <c r="E19" t="s">
        <v>2602</v>
      </c>
      <c r="F19" s="3">
        <v>0.94505494505494503</v>
      </c>
      <c r="G19">
        <v>279</v>
      </c>
      <c r="H19" t="str">
        <f t="shared" si="0"/>
        <v>7.Mayor a 100 P</v>
      </c>
    </row>
    <row r="20" spans="1:8" x14ac:dyDescent="0.25">
      <c r="A20" t="s">
        <v>2651</v>
      </c>
      <c r="B20">
        <v>2021</v>
      </c>
      <c r="C20" t="s">
        <v>2652</v>
      </c>
      <c r="D20" t="s">
        <v>2653</v>
      </c>
      <c r="E20" t="s">
        <v>2602</v>
      </c>
      <c r="F20" s="3">
        <v>0.94505494505494503</v>
      </c>
      <c r="G20">
        <v>15</v>
      </c>
      <c r="H20" t="str">
        <f t="shared" si="0"/>
        <v>3.Mayor a 10 P</v>
      </c>
    </row>
    <row r="21" spans="1:8" x14ac:dyDescent="0.25">
      <c r="A21" t="s">
        <v>2654</v>
      </c>
      <c r="B21">
        <v>2022</v>
      </c>
      <c r="C21" t="s">
        <v>2655</v>
      </c>
      <c r="D21" t="s">
        <v>2656</v>
      </c>
      <c r="E21" t="s">
        <v>2602</v>
      </c>
      <c r="F21" s="3">
        <v>0.94505494505494503</v>
      </c>
      <c r="G21">
        <v>12</v>
      </c>
      <c r="H21" t="str">
        <f t="shared" si="0"/>
        <v>3.Mayor a 10 P</v>
      </c>
    </row>
    <row r="22" spans="1:8" x14ac:dyDescent="0.25">
      <c r="A22" t="s">
        <v>2657</v>
      </c>
      <c r="B22">
        <v>2018</v>
      </c>
      <c r="C22" t="s">
        <v>2658</v>
      </c>
      <c r="D22" t="s">
        <v>2659</v>
      </c>
      <c r="E22" t="s">
        <v>2602</v>
      </c>
      <c r="F22" s="3">
        <v>0.91208791208791196</v>
      </c>
      <c r="G22">
        <v>7</v>
      </c>
      <c r="H22" t="str">
        <f t="shared" si="0"/>
        <v>2.Menor a 10 P</v>
      </c>
    </row>
    <row r="23" spans="1:8" x14ac:dyDescent="0.25">
      <c r="A23" t="s">
        <v>2660</v>
      </c>
      <c r="B23">
        <v>2019</v>
      </c>
      <c r="C23" t="s">
        <v>2604</v>
      </c>
      <c r="D23" t="s">
        <v>2661</v>
      </c>
      <c r="E23" t="s">
        <v>2602</v>
      </c>
      <c r="F23" s="3">
        <v>0.91208791208791196</v>
      </c>
      <c r="G23">
        <v>5</v>
      </c>
      <c r="H23" t="str">
        <f t="shared" si="0"/>
        <v>2.Menor a 10 P</v>
      </c>
    </row>
    <row r="24" spans="1:8" x14ac:dyDescent="0.25">
      <c r="A24" t="s">
        <v>2662</v>
      </c>
      <c r="B24">
        <v>2019</v>
      </c>
      <c r="C24" t="s">
        <v>2663</v>
      </c>
      <c r="D24" t="s">
        <v>2664</v>
      </c>
      <c r="E24" t="s">
        <v>2602</v>
      </c>
      <c r="F24" s="3">
        <v>0.91208791208791196</v>
      </c>
      <c r="G24">
        <v>10</v>
      </c>
      <c r="H24" t="str">
        <f t="shared" si="0"/>
        <v>3.Mayor a 10 P</v>
      </c>
    </row>
    <row r="25" spans="1:8" x14ac:dyDescent="0.25">
      <c r="A25" t="s">
        <v>2665</v>
      </c>
      <c r="B25">
        <v>2018</v>
      </c>
      <c r="C25" t="s">
        <v>2666</v>
      </c>
      <c r="D25" t="s">
        <v>2667</v>
      </c>
      <c r="E25" t="s">
        <v>2602</v>
      </c>
      <c r="F25" s="3">
        <v>0.90109890109890101</v>
      </c>
      <c r="G25">
        <v>152</v>
      </c>
      <c r="H25" t="str">
        <f t="shared" si="0"/>
        <v>7.Mayor a 100 P</v>
      </c>
    </row>
    <row r="26" spans="1:8" x14ac:dyDescent="0.25">
      <c r="A26" t="s">
        <v>2668</v>
      </c>
      <c r="B26">
        <v>2023</v>
      </c>
      <c r="C26" t="s">
        <v>2604</v>
      </c>
      <c r="D26" t="s">
        <v>2669</v>
      </c>
      <c r="E26" t="s">
        <v>2602</v>
      </c>
      <c r="F26" s="3">
        <v>0.879120879120879</v>
      </c>
      <c r="G26">
        <v>11</v>
      </c>
      <c r="H26" t="str">
        <f t="shared" si="0"/>
        <v>3.Mayor a 10 P</v>
      </c>
    </row>
    <row r="27" spans="1:8" x14ac:dyDescent="0.25">
      <c r="A27" t="s">
        <v>2670</v>
      </c>
      <c r="B27">
        <v>2023</v>
      </c>
      <c r="C27" t="s">
        <v>2671</v>
      </c>
      <c r="D27" t="s">
        <v>2672</v>
      </c>
      <c r="E27" t="s">
        <v>2602</v>
      </c>
      <c r="F27" s="3">
        <v>0.879120879120879</v>
      </c>
      <c r="G27">
        <v>29</v>
      </c>
      <c r="H27" t="str">
        <f t="shared" si="0"/>
        <v>4.Mayor a 20 P</v>
      </c>
    </row>
    <row r="28" spans="1:8" x14ac:dyDescent="0.25">
      <c r="A28" t="s">
        <v>2673</v>
      </c>
      <c r="B28">
        <v>2019</v>
      </c>
      <c r="C28" t="s">
        <v>2674</v>
      </c>
      <c r="D28" t="s">
        <v>2675</v>
      </c>
      <c r="E28" t="s">
        <v>2602</v>
      </c>
      <c r="F28" s="3">
        <v>0.879120879120879</v>
      </c>
      <c r="G28">
        <v>34</v>
      </c>
      <c r="H28" t="str">
        <f t="shared" si="0"/>
        <v>4.Mayor a 20 P</v>
      </c>
    </row>
    <row r="29" spans="1:8" x14ac:dyDescent="0.25">
      <c r="A29" t="s">
        <v>2676</v>
      </c>
      <c r="B29">
        <v>2018</v>
      </c>
      <c r="C29" t="s">
        <v>2677</v>
      </c>
      <c r="D29" t="s">
        <v>2678</v>
      </c>
      <c r="E29" t="s">
        <v>2602</v>
      </c>
      <c r="F29" s="3">
        <v>0.879120879120879</v>
      </c>
      <c r="G29">
        <v>8</v>
      </c>
      <c r="H29" t="str">
        <f t="shared" si="0"/>
        <v>2.Menor a 10 P</v>
      </c>
    </row>
    <row r="30" spans="1:8" x14ac:dyDescent="0.25">
      <c r="A30" t="s">
        <v>2679</v>
      </c>
      <c r="B30">
        <v>2019</v>
      </c>
      <c r="C30" t="s">
        <v>2680</v>
      </c>
      <c r="D30" t="s">
        <v>2681</v>
      </c>
      <c r="E30" t="s">
        <v>2602</v>
      </c>
      <c r="F30" s="3">
        <v>0.879120879120879</v>
      </c>
      <c r="G30">
        <v>178</v>
      </c>
      <c r="H30" t="str">
        <f t="shared" si="0"/>
        <v>7.Mayor a 100 P</v>
      </c>
    </row>
    <row r="31" spans="1:8" x14ac:dyDescent="0.25">
      <c r="A31" t="s">
        <v>2682</v>
      </c>
      <c r="B31">
        <v>2018</v>
      </c>
      <c r="C31" t="s">
        <v>2683</v>
      </c>
      <c r="D31" t="s">
        <v>2684</v>
      </c>
      <c r="E31" t="s">
        <v>2602</v>
      </c>
      <c r="F31" s="3">
        <v>0.86813186813186805</v>
      </c>
      <c r="G31">
        <v>134</v>
      </c>
      <c r="H31" t="str">
        <f t="shared" si="0"/>
        <v>7.Mayor a 100 P</v>
      </c>
    </row>
    <row r="32" spans="1:8" x14ac:dyDescent="0.25">
      <c r="A32" t="s">
        <v>2685</v>
      </c>
      <c r="B32">
        <v>2020</v>
      </c>
      <c r="C32" t="s">
        <v>2686</v>
      </c>
      <c r="D32" t="s">
        <v>2687</v>
      </c>
      <c r="E32" t="s">
        <v>2602</v>
      </c>
      <c r="F32" s="3">
        <v>0.86813186813186805</v>
      </c>
      <c r="G32">
        <v>70</v>
      </c>
      <c r="H32" t="str">
        <f t="shared" si="0"/>
        <v>6.Mayor a 70 P</v>
      </c>
    </row>
    <row r="33" spans="1:8" x14ac:dyDescent="0.25">
      <c r="A33" t="s">
        <v>2688</v>
      </c>
      <c r="B33">
        <v>2018</v>
      </c>
      <c r="C33" t="s">
        <v>2689</v>
      </c>
      <c r="D33" t="s">
        <v>2690</v>
      </c>
      <c r="E33" t="s">
        <v>2602</v>
      </c>
      <c r="F33" s="3">
        <v>0.86813186813186805</v>
      </c>
      <c r="G33">
        <v>5</v>
      </c>
      <c r="H33" t="str">
        <f t="shared" si="0"/>
        <v>2.Menor a 10 P</v>
      </c>
    </row>
    <row r="34" spans="1:8" x14ac:dyDescent="0.25">
      <c r="A34" t="s">
        <v>2691</v>
      </c>
      <c r="B34">
        <v>2018</v>
      </c>
      <c r="C34" t="s">
        <v>2692</v>
      </c>
      <c r="D34" t="s">
        <v>2693</v>
      </c>
      <c r="E34" t="s">
        <v>2602</v>
      </c>
      <c r="F34" s="3">
        <v>0.85714285714285698</v>
      </c>
      <c r="G34">
        <v>54</v>
      </c>
      <c r="H34" t="str">
        <f t="shared" si="0"/>
        <v>5.Mayor a 40 P</v>
      </c>
    </row>
    <row r="35" spans="1:8" x14ac:dyDescent="0.25">
      <c r="A35" t="s">
        <v>2694</v>
      </c>
      <c r="B35">
        <v>2018</v>
      </c>
      <c r="C35" t="s">
        <v>2695</v>
      </c>
      <c r="D35" t="s">
        <v>2696</v>
      </c>
      <c r="E35" t="s">
        <v>2602</v>
      </c>
      <c r="F35" s="3">
        <v>0.85714285714285698</v>
      </c>
      <c r="G35">
        <v>11</v>
      </c>
      <c r="H35" t="str">
        <f t="shared" si="0"/>
        <v>3.Mayor a 10 P</v>
      </c>
    </row>
    <row r="36" spans="1:8" x14ac:dyDescent="0.25">
      <c r="A36" t="s">
        <v>2697</v>
      </c>
      <c r="B36">
        <v>2018</v>
      </c>
      <c r="C36" t="s">
        <v>2698</v>
      </c>
      <c r="D36" t="s">
        <v>2699</v>
      </c>
      <c r="E36" t="s">
        <v>2602</v>
      </c>
      <c r="F36" s="3">
        <v>0.84615384615384603</v>
      </c>
      <c r="G36">
        <v>98</v>
      </c>
      <c r="H36" t="str">
        <f t="shared" si="0"/>
        <v>6.Mayor a 70 P</v>
      </c>
    </row>
    <row r="37" spans="1:8" x14ac:dyDescent="0.25">
      <c r="A37" t="s">
        <v>2700</v>
      </c>
      <c r="B37">
        <v>2024</v>
      </c>
      <c r="C37" t="s">
        <v>2701</v>
      </c>
      <c r="D37" t="s">
        <v>2702</v>
      </c>
      <c r="E37" t="s">
        <v>2602</v>
      </c>
      <c r="F37" s="3">
        <v>0.84615384615384603</v>
      </c>
      <c r="G37">
        <v>56</v>
      </c>
      <c r="H37" t="str">
        <f t="shared" si="0"/>
        <v>5.Mayor a 40 P</v>
      </c>
    </row>
    <row r="38" spans="1:8" x14ac:dyDescent="0.25">
      <c r="A38" t="s">
        <v>2703</v>
      </c>
      <c r="B38">
        <v>2019</v>
      </c>
      <c r="C38" t="s">
        <v>2704</v>
      </c>
      <c r="D38" t="s">
        <v>2705</v>
      </c>
      <c r="E38" t="s">
        <v>2602</v>
      </c>
      <c r="F38" s="3">
        <v>0.84615384615384603</v>
      </c>
      <c r="G38">
        <v>51</v>
      </c>
      <c r="H38" t="str">
        <f t="shared" si="0"/>
        <v>5.Mayor a 40 P</v>
      </c>
    </row>
    <row r="39" spans="1:8" x14ac:dyDescent="0.25">
      <c r="A39" t="s">
        <v>2706</v>
      </c>
      <c r="B39">
        <v>2021</v>
      </c>
      <c r="C39" t="s">
        <v>2707</v>
      </c>
      <c r="D39" t="s">
        <v>2708</v>
      </c>
      <c r="E39" t="s">
        <v>2602</v>
      </c>
      <c r="F39" s="3">
        <v>0.83516483516483497</v>
      </c>
      <c r="G39">
        <v>52</v>
      </c>
      <c r="H39" t="str">
        <f t="shared" si="0"/>
        <v>5.Mayor a 40 P</v>
      </c>
    </row>
    <row r="40" spans="1:8" x14ac:dyDescent="0.25">
      <c r="A40" t="s">
        <v>2709</v>
      </c>
      <c r="B40">
        <v>2020</v>
      </c>
      <c r="C40" t="s">
        <v>2710</v>
      </c>
      <c r="D40" t="s">
        <v>2711</v>
      </c>
      <c r="E40" t="s">
        <v>2602</v>
      </c>
      <c r="F40" s="3">
        <v>0.83516483516483497</v>
      </c>
      <c r="G40">
        <v>168</v>
      </c>
      <c r="H40" t="str">
        <f t="shared" si="0"/>
        <v>7.Mayor a 100 P</v>
      </c>
    </row>
    <row r="41" spans="1:8" x14ac:dyDescent="0.25">
      <c r="A41" t="s">
        <v>2712</v>
      </c>
      <c r="B41">
        <v>2020</v>
      </c>
      <c r="C41" t="s">
        <v>2713</v>
      </c>
      <c r="D41" t="s">
        <v>2714</v>
      </c>
      <c r="E41" t="s">
        <v>2602</v>
      </c>
      <c r="F41" s="3">
        <v>0.83516483516483497</v>
      </c>
      <c r="G41">
        <v>1</v>
      </c>
      <c r="H41" t="str">
        <f t="shared" si="0"/>
        <v>2.Menor a 10 P</v>
      </c>
    </row>
    <row r="42" spans="1:8" x14ac:dyDescent="0.25">
      <c r="A42" t="s">
        <v>2715</v>
      </c>
      <c r="B42">
        <v>2018</v>
      </c>
      <c r="C42" t="s">
        <v>2716</v>
      </c>
      <c r="D42" t="s">
        <v>2717</v>
      </c>
      <c r="E42" t="s">
        <v>2602</v>
      </c>
      <c r="F42" s="3">
        <v>0.81318681318681296</v>
      </c>
      <c r="G42">
        <v>8</v>
      </c>
      <c r="H42" t="str">
        <f t="shared" si="0"/>
        <v>2.Menor a 10 P</v>
      </c>
    </row>
    <row r="43" spans="1:8" x14ac:dyDescent="0.25">
      <c r="A43" t="s">
        <v>2718</v>
      </c>
      <c r="B43">
        <v>2018</v>
      </c>
      <c r="C43" t="s">
        <v>2719</v>
      </c>
      <c r="D43" t="s">
        <v>2720</v>
      </c>
      <c r="E43" t="s">
        <v>2602</v>
      </c>
      <c r="F43" s="3">
        <v>0.81318681318681296</v>
      </c>
      <c r="G43">
        <v>144</v>
      </c>
      <c r="H43" t="str">
        <f t="shared" si="0"/>
        <v>7.Mayor a 100 P</v>
      </c>
    </row>
    <row r="44" spans="1:8" x14ac:dyDescent="0.25">
      <c r="A44" t="s">
        <v>2721</v>
      </c>
      <c r="B44">
        <v>2021</v>
      </c>
      <c r="C44" t="s">
        <v>2722</v>
      </c>
      <c r="D44" t="s">
        <v>2723</v>
      </c>
      <c r="E44" t="s">
        <v>2602</v>
      </c>
      <c r="F44" s="3">
        <v>0.81318681318681296</v>
      </c>
      <c r="G44">
        <v>147</v>
      </c>
      <c r="H44" t="str">
        <f t="shared" si="0"/>
        <v>7.Mayor a 100 P</v>
      </c>
    </row>
    <row r="45" spans="1:8" x14ac:dyDescent="0.25">
      <c r="A45" t="s">
        <v>2724</v>
      </c>
      <c r="B45">
        <v>2018</v>
      </c>
      <c r="C45" t="s">
        <v>2725</v>
      </c>
      <c r="D45" t="s">
        <v>2726</v>
      </c>
      <c r="E45" t="s">
        <v>2602</v>
      </c>
      <c r="F45" s="3">
        <v>0.81318681318681296</v>
      </c>
      <c r="G45">
        <v>482</v>
      </c>
      <c r="H45" t="str">
        <f t="shared" si="0"/>
        <v>7.Mayor a 100 P</v>
      </c>
    </row>
    <row r="46" spans="1:8" x14ac:dyDescent="0.25">
      <c r="A46" t="s">
        <v>2727</v>
      </c>
      <c r="B46">
        <v>2018</v>
      </c>
      <c r="C46" t="s">
        <v>2728</v>
      </c>
      <c r="D46" t="s">
        <v>2729</v>
      </c>
      <c r="E46" t="s">
        <v>2602</v>
      </c>
      <c r="F46" s="3">
        <v>0.81318681318681296</v>
      </c>
      <c r="G46">
        <v>25</v>
      </c>
      <c r="H46" t="str">
        <f t="shared" si="0"/>
        <v>4.Mayor a 20 P</v>
      </c>
    </row>
    <row r="47" spans="1:8" x14ac:dyDescent="0.25">
      <c r="A47" t="s">
        <v>2730</v>
      </c>
      <c r="B47">
        <v>2018</v>
      </c>
      <c r="C47" t="s">
        <v>2731</v>
      </c>
      <c r="D47" t="s">
        <v>2732</v>
      </c>
      <c r="E47" t="s">
        <v>2602</v>
      </c>
      <c r="F47" s="3">
        <v>0.81318681318681296</v>
      </c>
      <c r="G47">
        <v>47</v>
      </c>
      <c r="H47" t="str">
        <f t="shared" si="0"/>
        <v>5.Mayor a 40 P</v>
      </c>
    </row>
    <row r="48" spans="1:8" x14ac:dyDescent="0.25">
      <c r="A48" t="s">
        <v>2733</v>
      </c>
      <c r="B48">
        <v>2020</v>
      </c>
      <c r="C48" t="s">
        <v>2734</v>
      </c>
      <c r="D48" t="s">
        <v>2735</v>
      </c>
      <c r="E48" t="s">
        <v>2602</v>
      </c>
      <c r="F48" s="3">
        <v>0.81318681318681296</v>
      </c>
      <c r="G48">
        <v>8</v>
      </c>
      <c r="H48" t="str">
        <f t="shared" si="0"/>
        <v>2.Menor a 10 P</v>
      </c>
    </row>
    <row r="49" spans="1:8" x14ac:dyDescent="0.25">
      <c r="A49" t="s">
        <v>2736</v>
      </c>
      <c r="B49">
        <v>2021</v>
      </c>
      <c r="C49" t="s">
        <v>2604</v>
      </c>
      <c r="D49" t="s">
        <v>2737</v>
      </c>
      <c r="E49" t="s">
        <v>2602</v>
      </c>
      <c r="F49" s="3">
        <v>0.81318681318681296</v>
      </c>
      <c r="G49">
        <v>3</v>
      </c>
      <c r="H49" t="str">
        <f t="shared" si="0"/>
        <v>2.Menor a 10 P</v>
      </c>
    </row>
    <row r="50" spans="1:8" x14ac:dyDescent="0.25">
      <c r="A50" t="s">
        <v>2738</v>
      </c>
      <c r="B50">
        <v>2018</v>
      </c>
      <c r="C50" t="s">
        <v>2739</v>
      </c>
      <c r="D50" t="s">
        <v>2740</v>
      </c>
      <c r="E50" t="s">
        <v>2602</v>
      </c>
      <c r="F50" s="3">
        <v>0.81318681318681296</v>
      </c>
      <c r="G50">
        <v>98</v>
      </c>
      <c r="H50" t="str">
        <f t="shared" si="0"/>
        <v>6.Mayor a 70 P</v>
      </c>
    </row>
    <row r="51" spans="1:8" x14ac:dyDescent="0.25">
      <c r="A51" t="s">
        <v>2741</v>
      </c>
      <c r="B51">
        <v>2021</v>
      </c>
      <c r="C51" t="s">
        <v>2742</v>
      </c>
      <c r="D51" t="s">
        <v>2743</v>
      </c>
      <c r="E51" t="s">
        <v>2602</v>
      </c>
      <c r="F51" s="3">
        <v>0.79120879120879095</v>
      </c>
      <c r="G51">
        <v>94</v>
      </c>
      <c r="H51" t="str">
        <f t="shared" si="0"/>
        <v>6.Mayor a 70 P</v>
      </c>
    </row>
    <row r="52" spans="1:8" x14ac:dyDescent="0.25">
      <c r="A52" t="s">
        <v>2744</v>
      </c>
      <c r="B52">
        <v>2019</v>
      </c>
      <c r="C52" t="s">
        <v>2745</v>
      </c>
      <c r="D52" t="s">
        <v>2746</v>
      </c>
      <c r="E52" t="s">
        <v>2602</v>
      </c>
      <c r="F52" s="3">
        <v>0.79120879120879095</v>
      </c>
      <c r="G52">
        <v>16</v>
      </c>
      <c r="H52" t="str">
        <f t="shared" si="0"/>
        <v>3.Mayor a 10 P</v>
      </c>
    </row>
    <row r="53" spans="1:8" x14ac:dyDescent="0.25">
      <c r="A53" t="s">
        <v>2747</v>
      </c>
      <c r="B53">
        <v>2018</v>
      </c>
      <c r="C53" t="s">
        <v>2748</v>
      </c>
      <c r="D53" t="s">
        <v>2749</v>
      </c>
      <c r="E53" t="s">
        <v>2602</v>
      </c>
      <c r="F53" s="3">
        <v>0.79120879120879095</v>
      </c>
      <c r="G53">
        <v>41</v>
      </c>
      <c r="H53" t="str">
        <f t="shared" si="0"/>
        <v>5.Mayor a 40 P</v>
      </c>
    </row>
    <row r="54" spans="1:8" x14ac:dyDescent="0.25">
      <c r="A54" t="s">
        <v>2750</v>
      </c>
      <c r="B54">
        <v>2019</v>
      </c>
      <c r="C54" t="s">
        <v>2751</v>
      </c>
      <c r="D54" t="s">
        <v>2752</v>
      </c>
      <c r="E54" t="s">
        <v>2602</v>
      </c>
      <c r="F54" s="3">
        <v>0.79120879120879095</v>
      </c>
      <c r="G54">
        <v>104</v>
      </c>
      <c r="H54" t="str">
        <f t="shared" si="0"/>
        <v>7.Mayor a 100 P</v>
      </c>
    </row>
    <row r="55" spans="1:8" x14ac:dyDescent="0.25">
      <c r="A55" t="s">
        <v>2753</v>
      </c>
      <c r="B55">
        <v>2019</v>
      </c>
      <c r="C55" t="s">
        <v>2754</v>
      </c>
      <c r="D55" t="s">
        <v>2755</v>
      </c>
      <c r="E55" t="s">
        <v>2602</v>
      </c>
      <c r="F55" s="3">
        <v>0.79120879120879095</v>
      </c>
      <c r="G55">
        <v>15</v>
      </c>
      <c r="H55" t="str">
        <f t="shared" si="0"/>
        <v>3.Mayor a 10 P</v>
      </c>
    </row>
    <row r="56" spans="1:8" x14ac:dyDescent="0.25">
      <c r="A56" t="s">
        <v>2756</v>
      </c>
      <c r="B56">
        <v>2020</v>
      </c>
      <c r="C56" t="s">
        <v>2604</v>
      </c>
      <c r="D56" t="s">
        <v>2757</v>
      </c>
      <c r="E56" t="s">
        <v>2602</v>
      </c>
      <c r="F56" s="3">
        <v>0.79120879120879095</v>
      </c>
      <c r="G56">
        <v>87</v>
      </c>
      <c r="H56" t="str">
        <f t="shared" si="0"/>
        <v>6.Mayor a 70 P</v>
      </c>
    </row>
    <row r="57" spans="1:8" x14ac:dyDescent="0.25">
      <c r="A57" t="s">
        <v>2758</v>
      </c>
      <c r="B57">
        <v>2020</v>
      </c>
      <c r="C57" t="s">
        <v>2759</v>
      </c>
      <c r="D57" t="s">
        <v>2760</v>
      </c>
      <c r="E57" t="s">
        <v>2602</v>
      </c>
      <c r="F57" s="3">
        <v>0.78021978021978</v>
      </c>
      <c r="G57">
        <v>23</v>
      </c>
      <c r="H57" t="str">
        <f t="shared" si="0"/>
        <v>4.Mayor a 20 P</v>
      </c>
    </row>
    <row r="58" spans="1:8" x14ac:dyDescent="0.25">
      <c r="A58" t="s">
        <v>2761</v>
      </c>
      <c r="B58">
        <v>2018</v>
      </c>
      <c r="C58" t="s">
        <v>2762</v>
      </c>
      <c r="D58" t="s">
        <v>2763</v>
      </c>
      <c r="E58" t="s">
        <v>2602</v>
      </c>
      <c r="F58" s="3">
        <v>0.78021978021978</v>
      </c>
      <c r="G58">
        <v>22</v>
      </c>
      <c r="H58" t="str">
        <f t="shared" si="0"/>
        <v>4.Mayor a 20 P</v>
      </c>
    </row>
    <row r="59" spans="1:8" x14ac:dyDescent="0.25">
      <c r="A59" t="s">
        <v>2764</v>
      </c>
      <c r="B59">
        <v>2018</v>
      </c>
      <c r="C59" t="s">
        <v>2765</v>
      </c>
      <c r="D59" t="s">
        <v>2766</v>
      </c>
      <c r="E59" t="s">
        <v>2602</v>
      </c>
      <c r="F59" s="3">
        <v>0.78021978021978</v>
      </c>
      <c r="G59">
        <v>143</v>
      </c>
      <c r="H59" t="str">
        <f t="shared" si="0"/>
        <v>7.Mayor a 100 P</v>
      </c>
    </row>
    <row r="60" spans="1:8" x14ac:dyDescent="0.25">
      <c r="A60" t="s">
        <v>2767</v>
      </c>
      <c r="B60">
        <v>2019</v>
      </c>
      <c r="C60" t="s">
        <v>2768</v>
      </c>
      <c r="D60" t="s">
        <v>2769</v>
      </c>
      <c r="E60" t="s">
        <v>2602</v>
      </c>
      <c r="F60" s="3">
        <v>0.78021978021978</v>
      </c>
      <c r="G60">
        <v>264</v>
      </c>
      <c r="H60" t="str">
        <f t="shared" si="0"/>
        <v>7.Mayor a 100 P</v>
      </c>
    </row>
    <row r="61" spans="1:8" x14ac:dyDescent="0.25">
      <c r="A61" t="s">
        <v>2770</v>
      </c>
      <c r="B61">
        <v>2022</v>
      </c>
      <c r="C61" t="s">
        <v>2771</v>
      </c>
      <c r="D61" t="s">
        <v>2772</v>
      </c>
      <c r="E61" t="s">
        <v>2602</v>
      </c>
      <c r="F61" s="3">
        <v>0.76923076923076905</v>
      </c>
      <c r="G61">
        <v>25</v>
      </c>
      <c r="H61" t="str">
        <f t="shared" si="0"/>
        <v>4.Mayor a 20 P</v>
      </c>
    </row>
    <row r="62" spans="1:8" x14ac:dyDescent="0.25">
      <c r="A62" t="s">
        <v>2773</v>
      </c>
      <c r="B62">
        <v>2018</v>
      </c>
      <c r="C62" t="s">
        <v>2774</v>
      </c>
      <c r="D62" t="s">
        <v>2775</v>
      </c>
      <c r="E62" t="s">
        <v>2602</v>
      </c>
      <c r="F62" s="3">
        <v>0.76923076923076905</v>
      </c>
      <c r="G62">
        <v>383</v>
      </c>
      <c r="H62" t="str">
        <f t="shared" si="0"/>
        <v>7.Mayor a 100 P</v>
      </c>
    </row>
    <row r="63" spans="1:8" x14ac:dyDescent="0.25">
      <c r="A63" t="s">
        <v>2776</v>
      </c>
      <c r="B63">
        <v>2018</v>
      </c>
      <c r="C63" t="s">
        <v>2777</v>
      </c>
      <c r="D63" t="s">
        <v>2778</v>
      </c>
      <c r="E63" t="s">
        <v>2602</v>
      </c>
      <c r="F63" s="3">
        <v>0.76923076923076905</v>
      </c>
      <c r="G63">
        <v>103</v>
      </c>
      <c r="H63" t="str">
        <f t="shared" si="0"/>
        <v>7.Mayor a 100 P</v>
      </c>
    </row>
    <row r="64" spans="1:8" x14ac:dyDescent="0.25">
      <c r="A64" t="s">
        <v>2779</v>
      </c>
      <c r="B64">
        <v>2018</v>
      </c>
      <c r="C64" t="s">
        <v>2780</v>
      </c>
      <c r="D64" t="s">
        <v>2781</v>
      </c>
      <c r="E64" t="s">
        <v>2602</v>
      </c>
      <c r="F64" s="3">
        <v>0.76923076923076905</v>
      </c>
      <c r="G64">
        <v>1</v>
      </c>
      <c r="H64" t="str">
        <f t="shared" si="0"/>
        <v>2.Menor a 10 P</v>
      </c>
    </row>
    <row r="65" spans="1:8" x14ac:dyDescent="0.25">
      <c r="A65" t="s">
        <v>2782</v>
      </c>
      <c r="B65">
        <v>2019</v>
      </c>
      <c r="C65" t="s">
        <v>2783</v>
      </c>
      <c r="D65" t="s">
        <v>2784</v>
      </c>
      <c r="E65" t="s">
        <v>2602</v>
      </c>
      <c r="F65" s="3">
        <v>0.76923076923076905</v>
      </c>
      <c r="G65">
        <v>30</v>
      </c>
      <c r="H65" t="str">
        <f t="shared" si="0"/>
        <v>4.Mayor a 20 P</v>
      </c>
    </row>
    <row r="66" spans="1:8" x14ac:dyDescent="0.25">
      <c r="A66" t="s">
        <v>2785</v>
      </c>
      <c r="B66">
        <v>2018</v>
      </c>
      <c r="C66" t="s">
        <v>2786</v>
      </c>
      <c r="D66" t="s">
        <v>2787</v>
      </c>
      <c r="E66" t="s">
        <v>2602</v>
      </c>
      <c r="F66" s="3">
        <v>0.76923076923076905</v>
      </c>
      <c r="G66">
        <v>6</v>
      </c>
      <c r="H66" t="str">
        <f t="shared" si="0"/>
        <v>2.Menor a 10 P</v>
      </c>
    </row>
    <row r="67" spans="1:8" x14ac:dyDescent="0.25">
      <c r="A67" t="s">
        <v>2788</v>
      </c>
      <c r="B67">
        <v>2020</v>
      </c>
      <c r="C67" t="s">
        <v>2789</v>
      </c>
      <c r="D67" t="s">
        <v>2790</v>
      </c>
      <c r="E67" t="s">
        <v>2602</v>
      </c>
      <c r="F67" s="3">
        <v>0.76923076923076905</v>
      </c>
      <c r="G67">
        <v>18</v>
      </c>
      <c r="H67" t="str">
        <f t="shared" ref="H67:H130" si="1">+IF(G67&gt;=100,"7.Mayor a 100 P",+IF(G67&gt;=70,"6.Mayor a 70 P",+IF(G67&gt;=40,"5.Mayor a 40 P",+IF(G67&gt;=20,"4.Mayor a 20 P",+IF(G67&gt;=10,"3.Mayor a 10 P",+IF(G67&lt;10,"2.Menor a 10 P",+IF(G67=0,"1.Sin Propiedades","Revsar")))))))</f>
        <v>3.Mayor a 10 P</v>
      </c>
    </row>
    <row r="68" spans="1:8" x14ac:dyDescent="0.25">
      <c r="A68" t="s">
        <v>2791</v>
      </c>
      <c r="B68">
        <v>2018</v>
      </c>
      <c r="C68" t="s">
        <v>2792</v>
      </c>
      <c r="D68" t="s">
        <v>2793</v>
      </c>
      <c r="E68" t="s">
        <v>2602</v>
      </c>
      <c r="F68" s="3">
        <v>0.75824175824175799</v>
      </c>
      <c r="G68">
        <v>114</v>
      </c>
      <c r="H68" t="str">
        <f t="shared" si="1"/>
        <v>7.Mayor a 100 P</v>
      </c>
    </row>
    <row r="69" spans="1:8" x14ac:dyDescent="0.25">
      <c r="A69" t="s">
        <v>2794</v>
      </c>
      <c r="B69">
        <v>2023</v>
      </c>
      <c r="C69" t="s">
        <v>2795</v>
      </c>
      <c r="D69" t="s">
        <v>2796</v>
      </c>
      <c r="E69" t="s">
        <v>2602</v>
      </c>
      <c r="F69" s="3">
        <v>0.75824175824175799</v>
      </c>
      <c r="G69">
        <v>123</v>
      </c>
      <c r="H69" t="str">
        <f t="shared" si="1"/>
        <v>7.Mayor a 100 P</v>
      </c>
    </row>
    <row r="70" spans="1:8" x14ac:dyDescent="0.25">
      <c r="A70" t="s">
        <v>2797</v>
      </c>
      <c r="B70">
        <v>2018</v>
      </c>
      <c r="C70" t="s">
        <v>2798</v>
      </c>
      <c r="D70" t="s">
        <v>2799</v>
      </c>
      <c r="E70" t="s">
        <v>2602</v>
      </c>
      <c r="F70" s="3">
        <v>0.75824175824175799</v>
      </c>
      <c r="G70">
        <v>387</v>
      </c>
      <c r="H70" t="str">
        <f t="shared" si="1"/>
        <v>7.Mayor a 100 P</v>
      </c>
    </row>
    <row r="71" spans="1:8" x14ac:dyDescent="0.25">
      <c r="A71" t="s">
        <v>2800</v>
      </c>
      <c r="B71">
        <v>2018</v>
      </c>
      <c r="C71" t="s">
        <v>2801</v>
      </c>
      <c r="D71" t="s">
        <v>2802</v>
      </c>
      <c r="E71" t="s">
        <v>2602</v>
      </c>
      <c r="F71" s="3">
        <v>0.75824175824175799</v>
      </c>
      <c r="G71">
        <v>26</v>
      </c>
      <c r="H71" t="str">
        <f t="shared" si="1"/>
        <v>4.Mayor a 20 P</v>
      </c>
    </row>
    <row r="72" spans="1:8" x14ac:dyDescent="0.25">
      <c r="A72" t="s">
        <v>2803</v>
      </c>
      <c r="B72">
        <v>2019</v>
      </c>
      <c r="C72" t="s">
        <v>2804</v>
      </c>
      <c r="D72" t="s">
        <v>2805</v>
      </c>
      <c r="E72" t="s">
        <v>2602</v>
      </c>
      <c r="F72" s="3">
        <v>0.75824175824175799</v>
      </c>
      <c r="G72">
        <v>239</v>
      </c>
      <c r="H72" t="str">
        <f t="shared" si="1"/>
        <v>7.Mayor a 100 P</v>
      </c>
    </row>
    <row r="73" spans="1:8" x14ac:dyDescent="0.25">
      <c r="A73" t="s">
        <v>2806</v>
      </c>
      <c r="B73">
        <v>2018</v>
      </c>
      <c r="C73" t="s">
        <v>2807</v>
      </c>
      <c r="D73" t="s">
        <v>2808</v>
      </c>
      <c r="E73" t="s">
        <v>2602</v>
      </c>
      <c r="F73" s="3">
        <v>0.74725274725274704</v>
      </c>
      <c r="G73">
        <v>2</v>
      </c>
      <c r="H73" t="str">
        <f t="shared" si="1"/>
        <v>2.Menor a 10 P</v>
      </c>
    </row>
    <row r="74" spans="1:8" x14ac:dyDescent="0.25">
      <c r="A74" t="s">
        <v>2809</v>
      </c>
      <c r="B74">
        <v>2018</v>
      </c>
      <c r="C74" t="s">
        <v>2810</v>
      </c>
      <c r="D74" t="s">
        <v>2811</v>
      </c>
      <c r="E74" t="s">
        <v>2602</v>
      </c>
      <c r="F74" s="3">
        <v>0.74725274725274704</v>
      </c>
      <c r="G74">
        <v>5</v>
      </c>
      <c r="H74" t="str">
        <f t="shared" si="1"/>
        <v>2.Menor a 10 P</v>
      </c>
    </row>
    <row r="75" spans="1:8" x14ac:dyDescent="0.25">
      <c r="A75" t="s">
        <v>2812</v>
      </c>
      <c r="B75">
        <v>2022</v>
      </c>
      <c r="C75" t="s">
        <v>2604</v>
      </c>
      <c r="D75" t="s">
        <v>2813</v>
      </c>
      <c r="E75" t="s">
        <v>2602</v>
      </c>
      <c r="F75" s="3">
        <v>0.74725274725274704</v>
      </c>
      <c r="G75">
        <v>79</v>
      </c>
      <c r="H75" t="str">
        <f t="shared" si="1"/>
        <v>6.Mayor a 70 P</v>
      </c>
    </row>
    <row r="76" spans="1:8" x14ac:dyDescent="0.25">
      <c r="A76" t="s">
        <v>2814</v>
      </c>
      <c r="B76">
        <v>2018</v>
      </c>
      <c r="C76" t="s">
        <v>2815</v>
      </c>
      <c r="D76" t="s">
        <v>2816</v>
      </c>
      <c r="E76" t="s">
        <v>2602</v>
      </c>
      <c r="F76" s="3">
        <v>0.74725274725274704</v>
      </c>
      <c r="G76">
        <v>9</v>
      </c>
      <c r="H76" t="str">
        <f t="shared" si="1"/>
        <v>2.Menor a 10 P</v>
      </c>
    </row>
    <row r="77" spans="1:8" x14ac:dyDescent="0.25">
      <c r="A77" t="s">
        <v>2817</v>
      </c>
      <c r="B77">
        <v>2018</v>
      </c>
      <c r="C77" t="s">
        <v>2818</v>
      </c>
      <c r="D77" t="s">
        <v>2819</v>
      </c>
      <c r="E77" t="s">
        <v>2602</v>
      </c>
      <c r="F77" s="3">
        <v>0.73626373626373598</v>
      </c>
      <c r="G77">
        <v>86</v>
      </c>
      <c r="H77" t="str">
        <f t="shared" si="1"/>
        <v>6.Mayor a 70 P</v>
      </c>
    </row>
    <row r="78" spans="1:8" x14ac:dyDescent="0.25">
      <c r="A78" t="s">
        <v>2820</v>
      </c>
      <c r="B78">
        <v>2019</v>
      </c>
      <c r="C78" t="s">
        <v>2821</v>
      </c>
      <c r="D78" t="s">
        <v>2822</v>
      </c>
      <c r="E78" t="s">
        <v>2602</v>
      </c>
      <c r="F78" s="3">
        <v>0.73626373626373598</v>
      </c>
      <c r="G78">
        <v>72</v>
      </c>
      <c r="H78" t="str">
        <f t="shared" si="1"/>
        <v>6.Mayor a 70 P</v>
      </c>
    </row>
    <row r="79" spans="1:8" x14ac:dyDescent="0.25">
      <c r="A79" t="s">
        <v>2823</v>
      </c>
      <c r="B79">
        <v>2018</v>
      </c>
      <c r="C79" t="s">
        <v>2824</v>
      </c>
      <c r="D79" t="s">
        <v>2825</v>
      </c>
      <c r="E79" t="s">
        <v>2602</v>
      </c>
      <c r="F79" s="3">
        <v>0.73626373626373598</v>
      </c>
      <c r="G79">
        <v>10</v>
      </c>
      <c r="H79" t="str">
        <f t="shared" si="1"/>
        <v>3.Mayor a 10 P</v>
      </c>
    </row>
    <row r="80" spans="1:8" x14ac:dyDescent="0.25">
      <c r="A80" t="s">
        <v>2826</v>
      </c>
      <c r="B80">
        <v>2019</v>
      </c>
      <c r="C80" t="s">
        <v>2827</v>
      </c>
      <c r="D80" t="s">
        <v>2828</v>
      </c>
      <c r="E80" t="s">
        <v>2602</v>
      </c>
      <c r="F80" s="3">
        <v>0.73626373626373598</v>
      </c>
      <c r="G80">
        <v>9</v>
      </c>
      <c r="H80" t="str">
        <f t="shared" si="1"/>
        <v>2.Menor a 10 P</v>
      </c>
    </row>
    <row r="81" spans="1:8" x14ac:dyDescent="0.25">
      <c r="A81" t="s">
        <v>2829</v>
      </c>
      <c r="B81">
        <v>2019</v>
      </c>
      <c r="C81" t="s">
        <v>2830</v>
      </c>
      <c r="D81" t="s">
        <v>2831</v>
      </c>
      <c r="E81" t="s">
        <v>2602</v>
      </c>
      <c r="F81" s="3">
        <v>0.73626373626373598</v>
      </c>
      <c r="G81">
        <v>55</v>
      </c>
      <c r="H81" t="str">
        <f t="shared" si="1"/>
        <v>5.Mayor a 40 P</v>
      </c>
    </row>
    <row r="82" spans="1:8" x14ac:dyDescent="0.25">
      <c r="A82" t="s">
        <v>2832</v>
      </c>
      <c r="B82">
        <v>2018</v>
      </c>
      <c r="C82" t="s">
        <v>2833</v>
      </c>
      <c r="D82" t="s">
        <v>2834</v>
      </c>
      <c r="E82" t="s">
        <v>2602</v>
      </c>
      <c r="F82" s="3">
        <v>0.72527472527472503</v>
      </c>
      <c r="G82">
        <v>10</v>
      </c>
      <c r="H82" t="str">
        <f t="shared" si="1"/>
        <v>3.Mayor a 10 P</v>
      </c>
    </row>
    <row r="83" spans="1:8" x14ac:dyDescent="0.25">
      <c r="A83" t="s">
        <v>2835</v>
      </c>
      <c r="B83">
        <v>2019</v>
      </c>
      <c r="C83" t="s">
        <v>2836</v>
      </c>
      <c r="D83" t="s">
        <v>2837</v>
      </c>
      <c r="E83" t="s">
        <v>2602</v>
      </c>
      <c r="F83" s="3">
        <v>0.72527472527472503</v>
      </c>
      <c r="G83">
        <v>131</v>
      </c>
      <c r="H83" t="str">
        <f t="shared" si="1"/>
        <v>7.Mayor a 100 P</v>
      </c>
    </row>
    <row r="84" spans="1:8" x14ac:dyDescent="0.25">
      <c r="A84" t="s">
        <v>2838</v>
      </c>
      <c r="B84">
        <v>2020</v>
      </c>
      <c r="C84" t="s">
        <v>2839</v>
      </c>
      <c r="D84" t="s">
        <v>2840</v>
      </c>
      <c r="E84" t="s">
        <v>2602</v>
      </c>
      <c r="F84" s="3">
        <v>0.72527472527472503</v>
      </c>
      <c r="G84">
        <v>196</v>
      </c>
      <c r="H84" t="str">
        <f t="shared" si="1"/>
        <v>7.Mayor a 100 P</v>
      </c>
    </row>
    <row r="85" spans="1:8" x14ac:dyDescent="0.25">
      <c r="A85" t="s">
        <v>2841</v>
      </c>
      <c r="B85">
        <v>2019</v>
      </c>
      <c r="C85" t="s">
        <v>2842</v>
      </c>
      <c r="D85" t="s">
        <v>2843</v>
      </c>
      <c r="E85" t="s">
        <v>2602</v>
      </c>
      <c r="F85" s="3">
        <v>0.72527472527472503</v>
      </c>
      <c r="G85">
        <v>95</v>
      </c>
      <c r="H85" t="str">
        <f t="shared" si="1"/>
        <v>6.Mayor a 70 P</v>
      </c>
    </row>
    <row r="86" spans="1:8" x14ac:dyDescent="0.25">
      <c r="A86" t="s">
        <v>2844</v>
      </c>
      <c r="B86">
        <v>2019</v>
      </c>
      <c r="C86" t="s">
        <v>2845</v>
      </c>
      <c r="D86" t="s">
        <v>2846</v>
      </c>
      <c r="E86" t="s">
        <v>2602</v>
      </c>
      <c r="F86" s="3">
        <v>0.72527472527472503</v>
      </c>
      <c r="G86">
        <v>465</v>
      </c>
      <c r="H86" t="str">
        <f t="shared" si="1"/>
        <v>7.Mayor a 100 P</v>
      </c>
    </row>
    <row r="87" spans="1:8" x14ac:dyDescent="0.25">
      <c r="A87" t="s">
        <v>2847</v>
      </c>
      <c r="B87">
        <v>2020</v>
      </c>
      <c r="C87" t="s">
        <v>2848</v>
      </c>
      <c r="D87" t="s">
        <v>2849</v>
      </c>
      <c r="E87" t="s">
        <v>2602</v>
      </c>
      <c r="F87" s="3">
        <v>0.71428571428571397</v>
      </c>
      <c r="G87">
        <v>23</v>
      </c>
      <c r="H87" t="str">
        <f t="shared" si="1"/>
        <v>4.Mayor a 20 P</v>
      </c>
    </row>
    <row r="88" spans="1:8" x14ac:dyDescent="0.25">
      <c r="A88" t="s">
        <v>2850</v>
      </c>
      <c r="B88">
        <v>2019</v>
      </c>
      <c r="C88" t="s">
        <v>2851</v>
      </c>
      <c r="D88" t="s">
        <v>2852</v>
      </c>
      <c r="E88" t="s">
        <v>2602</v>
      </c>
      <c r="F88" s="3">
        <v>0.70329670329670302</v>
      </c>
      <c r="G88">
        <v>7</v>
      </c>
      <c r="H88" t="str">
        <f t="shared" si="1"/>
        <v>2.Menor a 10 P</v>
      </c>
    </row>
    <row r="89" spans="1:8" x14ac:dyDescent="0.25">
      <c r="A89" t="s">
        <v>2853</v>
      </c>
      <c r="B89">
        <v>2018</v>
      </c>
      <c r="C89" t="s">
        <v>2854</v>
      </c>
      <c r="D89" t="s">
        <v>2855</v>
      </c>
      <c r="E89" t="s">
        <v>2602</v>
      </c>
      <c r="F89" s="3">
        <v>0.70329670329670302</v>
      </c>
      <c r="G89">
        <v>243</v>
      </c>
      <c r="H89" t="str">
        <f t="shared" si="1"/>
        <v>7.Mayor a 100 P</v>
      </c>
    </row>
    <row r="90" spans="1:8" x14ac:dyDescent="0.25">
      <c r="A90" t="s">
        <v>2856</v>
      </c>
      <c r="B90">
        <v>2018</v>
      </c>
      <c r="C90" t="s">
        <v>2857</v>
      </c>
      <c r="D90" t="s">
        <v>2858</v>
      </c>
      <c r="E90" t="s">
        <v>2602</v>
      </c>
      <c r="F90" s="3">
        <v>0.70329670329670302</v>
      </c>
      <c r="G90">
        <v>9</v>
      </c>
      <c r="H90" t="str">
        <f t="shared" si="1"/>
        <v>2.Menor a 10 P</v>
      </c>
    </row>
    <row r="91" spans="1:8" x14ac:dyDescent="0.25">
      <c r="A91" t="s">
        <v>2859</v>
      </c>
      <c r="B91">
        <v>2022</v>
      </c>
      <c r="C91" t="s">
        <v>2860</v>
      </c>
      <c r="D91" t="s">
        <v>2861</v>
      </c>
      <c r="E91" t="s">
        <v>2602</v>
      </c>
      <c r="F91" s="3">
        <v>0.70329670329670302</v>
      </c>
      <c r="G91">
        <v>3</v>
      </c>
      <c r="H91" t="str">
        <f t="shared" si="1"/>
        <v>2.Menor a 10 P</v>
      </c>
    </row>
    <row r="92" spans="1:8" x14ac:dyDescent="0.25">
      <c r="A92" t="s">
        <v>2862</v>
      </c>
      <c r="B92">
        <v>2024</v>
      </c>
      <c r="C92" t="s">
        <v>2863</v>
      </c>
      <c r="D92" t="s">
        <v>2864</v>
      </c>
      <c r="E92" t="s">
        <v>2602</v>
      </c>
      <c r="F92" s="3">
        <v>0.70329670329670302</v>
      </c>
      <c r="G92">
        <v>7</v>
      </c>
      <c r="H92" t="str">
        <f t="shared" si="1"/>
        <v>2.Menor a 10 P</v>
      </c>
    </row>
    <row r="93" spans="1:8" x14ac:dyDescent="0.25">
      <c r="A93" t="s">
        <v>2865</v>
      </c>
      <c r="B93">
        <v>2023</v>
      </c>
      <c r="C93" t="s">
        <v>2866</v>
      </c>
      <c r="D93" t="s">
        <v>2867</v>
      </c>
      <c r="E93" t="s">
        <v>2602</v>
      </c>
      <c r="F93" s="3">
        <v>0.70329670329670302</v>
      </c>
      <c r="G93">
        <v>15</v>
      </c>
      <c r="H93" t="str">
        <f t="shared" si="1"/>
        <v>3.Mayor a 10 P</v>
      </c>
    </row>
    <row r="94" spans="1:8" x14ac:dyDescent="0.25">
      <c r="A94" t="s">
        <v>2868</v>
      </c>
      <c r="B94">
        <v>2022</v>
      </c>
      <c r="C94" t="s">
        <v>2869</v>
      </c>
      <c r="D94" t="s">
        <v>2870</v>
      </c>
      <c r="E94" t="s">
        <v>2602</v>
      </c>
      <c r="F94" s="3">
        <v>0.70329670329670302</v>
      </c>
      <c r="G94">
        <v>4</v>
      </c>
      <c r="H94" t="str">
        <f t="shared" si="1"/>
        <v>2.Menor a 10 P</v>
      </c>
    </row>
    <row r="95" spans="1:8" x14ac:dyDescent="0.25">
      <c r="A95" t="s">
        <v>2871</v>
      </c>
      <c r="B95">
        <v>2021</v>
      </c>
      <c r="C95" t="s">
        <v>2872</v>
      </c>
      <c r="D95" t="s">
        <v>2873</v>
      </c>
      <c r="E95" t="s">
        <v>2602</v>
      </c>
      <c r="F95" s="3">
        <v>0.70329670329670302</v>
      </c>
      <c r="G95">
        <v>83</v>
      </c>
      <c r="H95" t="str">
        <f t="shared" si="1"/>
        <v>6.Mayor a 70 P</v>
      </c>
    </row>
    <row r="96" spans="1:8" x14ac:dyDescent="0.25">
      <c r="A96" t="s">
        <v>2874</v>
      </c>
      <c r="B96">
        <v>2018</v>
      </c>
      <c r="C96" t="s">
        <v>2875</v>
      </c>
      <c r="D96" t="s">
        <v>2876</v>
      </c>
      <c r="E96" t="s">
        <v>2602</v>
      </c>
      <c r="F96" s="3">
        <v>0.70329670329670302</v>
      </c>
      <c r="G96">
        <v>3</v>
      </c>
      <c r="H96" t="str">
        <f t="shared" si="1"/>
        <v>2.Menor a 10 P</v>
      </c>
    </row>
    <row r="97" spans="1:8" x14ac:dyDescent="0.25">
      <c r="A97" t="s">
        <v>2877</v>
      </c>
      <c r="B97">
        <v>2018</v>
      </c>
      <c r="C97" t="s">
        <v>2878</v>
      </c>
      <c r="D97" t="s">
        <v>2879</v>
      </c>
      <c r="E97" t="s">
        <v>2602</v>
      </c>
      <c r="F97" s="3">
        <v>0.70329670329670302</v>
      </c>
      <c r="G97">
        <v>6</v>
      </c>
      <c r="H97" t="str">
        <f t="shared" si="1"/>
        <v>2.Menor a 10 P</v>
      </c>
    </row>
    <row r="98" spans="1:8" x14ac:dyDescent="0.25">
      <c r="A98" t="s">
        <v>2880</v>
      </c>
      <c r="B98">
        <v>2018</v>
      </c>
      <c r="C98" t="s">
        <v>2881</v>
      </c>
      <c r="D98" t="s">
        <v>2882</v>
      </c>
      <c r="E98" t="s">
        <v>2602</v>
      </c>
      <c r="F98" s="3">
        <v>0.70329670329670302</v>
      </c>
      <c r="G98">
        <v>59</v>
      </c>
      <c r="H98" t="str">
        <f t="shared" si="1"/>
        <v>5.Mayor a 40 P</v>
      </c>
    </row>
    <row r="99" spans="1:8" x14ac:dyDescent="0.25">
      <c r="A99" t="s">
        <v>2883</v>
      </c>
      <c r="B99">
        <v>2020</v>
      </c>
      <c r="C99" t="s">
        <v>2884</v>
      </c>
      <c r="D99" t="s">
        <v>2885</v>
      </c>
      <c r="E99" t="s">
        <v>2602</v>
      </c>
      <c r="F99" s="3">
        <v>0.69230769230769196</v>
      </c>
      <c r="G99">
        <v>79</v>
      </c>
      <c r="H99" t="str">
        <f t="shared" si="1"/>
        <v>6.Mayor a 70 P</v>
      </c>
    </row>
    <row r="100" spans="1:8" x14ac:dyDescent="0.25">
      <c r="A100" t="s">
        <v>2886</v>
      </c>
      <c r="B100">
        <v>2019</v>
      </c>
      <c r="C100" t="s">
        <v>2887</v>
      </c>
      <c r="D100" t="s">
        <v>2888</v>
      </c>
      <c r="E100" t="s">
        <v>2602</v>
      </c>
      <c r="F100" s="3">
        <v>0.69230769230769196</v>
      </c>
      <c r="G100">
        <v>23</v>
      </c>
      <c r="H100" t="str">
        <f t="shared" si="1"/>
        <v>4.Mayor a 20 P</v>
      </c>
    </row>
    <row r="101" spans="1:8" x14ac:dyDescent="0.25">
      <c r="A101" t="s">
        <v>2889</v>
      </c>
      <c r="B101">
        <v>2020</v>
      </c>
      <c r="C101" t="s">
        <v>2890</v>
      </c>
      <c r="D101" t="s">
        <v>2891</v>
      </c>
      <c r="E101" t="s">
        <v>2602</v>
      </c>
      <c r="F101" s="3">
        <v>0.68131868131868101</v>
      </c>
      <c r="G101">
        <v>472</v>
      </c>
      <c r="H101" t="str">
        <f t="shared" si="1"/>
        <v>7.Mayor a 100 P</v>
      </c>
    </row>
    <row r="102" spans="1:8" x14ac:dyDescent="0.25">
      <c r="A102" t="s">
        <v>2892</v>
      </c>
      <c r="B102">
        <v>2018</v>
      </c>
      <c r="C102" t="s">
        <v>2604</v>
      </c>
      <c r="D102" t="s">
        <v>2893</v>
      </c>
      <c r="E102" t="s">
        <v>2602</v>
      </c>
      <c r="F102" s="3">
        <v>0.68131868131868101</v>
      </c>
      <c r="G102">
        <v>7</v>
      </c>
      <c r="H102" t="str">
        <f t="shared" si="1"/>
        <v>2.Menor a 10 P</v>
      </c>
    </row>
    <row r="103" spans="1:8" x14ac:dyDescent="0.25">
      <c r="A103" t="s">
        <v>2894</v>
      </c>
      <c r="B103">
        <v>2018</v>
      </c>
      <c r="C103" t="s">
        <v>2895</v>
      </c>
      <c r="D103" t="s">
        <v>2896</v>
      </c>
      <c r="E103" t="s">
        <v>2602</v>
      </c>
      <c r="F103" s="3">
        <v>0.68131868131868101</v>
      </c>
      <c r="G103">
        <v>16</v>
      </c>
      <c r="H103" t="str">
        <f t="shared" si="1"/>
        <v>3.Mayor a 10 P</v>
      </c>
    </row>
    <row r="104" spans="1:8" x14ac:dyDescent="0.25">
      <c r="A104" t="s">
        <v>2897</v>
      </c>
      <c r="B104">
        <v>2021</v>
      </c>
      <c r="C104" t="s">
        <v>2898</v>
      </c>
      <c r="D104" t="s">
        <v>2899</v>
      </c>
      <c r="E104" t="s">
        <v>2602</v>
      </c>
      <c r="F104" s="3">
        <v>0.68131868131868101</v>
      </c>
      <c r="G104">
        <v>59</v>
      </c>
      <c r="H104" t="str">
        <f t="shared" si="1"/>
        <v>5.Mayor a 40 P</v>
      </c>
    </row>
    <row r="105" spans="1:8" x14ac:dyDescent="0.25">
      <c r="A105" t="s">
        <v>2900</v>
      </c>
      <c r="B105">
        <v>2022</v>
      </c>
      <c r="C105" t="s">
        <v>2901</v>
      </c>
      <c r="D105" t="s">
        <v>2902</v>
      </c>
      <c r="E105" t="s">
        <v>2602</v>
      </c>
      <c r="F105" s="3">
        <v>0.68131868131868101</v>
      </c>
      <c r="G105">
        <v>31</v>
      </c>
      <c r="H105" t="str">
        <f t="shared" si="1"/>
        <v>4.Mayor a 20 P</v>
      </c>
    </row>
    <row r="106" spans="1:8" x14ac:dyDescent="0.25">
      <c r="A106" t="s">
        <v>2903</v>
      </c>
      <c r="B106">
        <v>2024</v>
      </c>
      <c r="C106" t="s">
        <v>2904</v>
      </c>
      <c r="D106" t="s">
        <v>2905</v>
      </c>
      <c r="E106" t="s">
        <v>2602</v>
      </c>
      <c r="F106" s="3">
        <v>0.68131868131868101</v>
      </c>
      <c r="G106">
        <v>376</v>
      </c>
      <c r="H106" t="str">
        <f t="shared" si="1"/>
        <v>7.Mayor a 100 P</v>
      </c>
    </row>
    <row r="107" spans="1:8" x14ac:dyDescent="0.25">
      <c r="A107" t="s">
        <v>2906</v>
      </c>
      <c r="B107">
        <v>2019</v>
      </c>
      <c r="C107" t="s">
        <v>2907</v>
      </c>
      <c r="D107" t="s">
        <v>2908</v>
      </c>
      <c r="E107" t="s">
        <v>2602</v>
      </c>
      <c r="F107" s="3">
        <v>0.68131868131868101</v>
      </c>
      <c r="G107">
        <v>20</v>
      </c>
      <c r="H107" t="str">
        <f t="shared" si="1"/>
        <v>4.Mayor a 20 P</v>
      </c>
    </row>
    <row r="108" spans="1:8" x14ac:dyDescent="0.25">
      <c r="A108" t="s">
        <v>2909</v>
      </c>
      <c r="B108">
        <v>2020</v>
      </c>
      <c r="C108" t="s">
        <v>2910</v>
      </c>
      <c r="D108" t="s">
        <v>2911</v>
      </c>
      <c r="E108" t="s">
        <v>2602</v>
      </c>
      <c r="F108" s="3">
        <v>0.68131868131868101</v>
      </c>
      <c r="G108">
        <v>14</v>
      </c>
      <c r="H108" t="str">
        <f t="shared" si="1"/>
        <v>3.Mayor a 10 P</v>
      </c>
    </row>
    <row r="109" spans="1:8" x14ac:dyDescent="0.25">
      <c r="A109" t="s">
        <v>2912</v>
      </c>
      <c r="B109">
        <v>2018</v>
      </c>
      <c r="C109" t="s">
        <v>2913</v>
      </c>
      <c r="D109" t="s">
        <v>2914</v>
      </c>
      <c r="E109" t="s">
        <v>2602</v>
      </c>
      <c r="F109" s="3">
        <v>0.67032967032966995</v>
      </c>
      <c r="G109">
        <v>145</v>
      </c>
      <c r="H109" t="str">
        <f t="shared" si="1"/>
        <v>7.Mayor a 100 P</v>
      </c>
    </row>
    <row r="110" spans="1:8" x14ac:dyDescent="0.25">
      <c r="A110" t="s">
        <v>2915</v>
      </c>
      <c r="B110">
        <v>2018</v>
      </c>
      <c r="C110" t="s">
        <v>2916</v>
      </c>
      <c r="D110" t="s">
        <v>2917</v>
      </c>
      <c r="E110" t="s">
        <v>2602</v>
      </c>
      <c r="F110" s="3">
        <v>0.67032967032966995</v>
      </c>
      <c r="G110">
        <v>363</v>
      </c>
      <c r="H110" t="str">
        <f t="shared" si="1"/>
        <v>7.Mayor a 100 P</v>
      </c>
    </row>
    <row r="111" spans="1:8" x14ac:dyDescent="0.25">
      <c r="A111" t="s">
        <v>2918</v>
      </c>
      <c r="B111">
        <v>2020</v>
      </c>
      <c r="C111" t="s">
        <v>2919</v>
      </c>
      <c r="D111" t="s">
        <v>2920</v>
      </c>
      <c r="E111" t="s">
        <v>2602</v>
      </c>
      <c r="F111" s="3">
        <v>0.67032967032966995</v>
      </c>
      <c r="G111">
        <v>11</v>
      </c>
      <c r="H111" t="str">
        <f t="shared" si="1"/>
        <v>3.Mayor a 10 P</v>
      </c>
    </row>
    <row r="112" spans="1:8" x14ac:dyDescent="0.25">
      <c r="A112" t="s">
        <v>2921</v>
      </c>
      <c r="B112">
        <v>2019</v>
      </c>
      <c r="C112" t="s">
        <v>2922</v>
      </c>
      <c r="D112" t="s">
        <v>2923</v>
      </c>
      <c r="E112" t="s">
        <v>2924</v>
      </c>
      <c r="F112" s="3">
        <v>0.659340659340659</v>
      </c>
      <c r="G112">
        <v>8</v>
      </c>
      <c r="H112" t="str">
        <f t="shared" si="1"/>
        <v>2.Menor a 10 P</v>
      </c>
    </row>
    <row r="113" spans="1:8" x14ac:dyDescent="0.25">
      <c r="A113" t="s">
        <v>2925</v>
      </c>
      <c r="B113">
        <v>2018</v>
      </c>
      <c r="C113" t="s">
        <v>2926</v>
      </c>
      <c r="D113" t="s">
        <v>2927</v>
      </c>
      <c r="E113" t="s">
        <v>2924</v>
      </c>
      <c r="F113" s="3">
        <v>0.659340659340659</v>
      </c>
      <c r="G113">
        <v>108</v>
      </c>
      <c r="H113" t="str">
        <f t="shared" si="1"/>
        <v>7.Mayor a 100 P</v>
      </c>
    </row>
    <row r="114" spans="1:8" x14ac:dyDescent="0.25">
      <c r="A114" t="s">
        <v>2928</v>
      </c>
      <c r="B114">
        <v>2018</v>
      </c>
      <c r="C114" t="s">
        <v>2929</v>
      </c>
      <c r="D114" t="s">
        <v>2930</v>
      </c>
      <c r="E114" t="s">
        <v>2924</v>
      </c>
      <c r="F114" s="3">
        <v>0.659340659340659</v>
      </c>
      <c r="G114">
        <v>14</v>
      </c>
      <c r="H114" t="str">
        <f t="shared" si="1"/>
        <v>3.Mayor a 10 P</v>
      </c>
    </row>
    <row r="115" spans="1:8" x14ac:dyDescent="0.25">
      <c r="A115" t="s">
        <v>2931</v>
      </c>
      <c r="B115">
        <v>2020</v>
      </c>
      <c r="C115" t="s">
        <v>2932</v>
      </c>
      <c r="D115" t="s">
        <v>2933</v>
      </c>
      <c r="E115" t="s">
        <v>2924</v>
      </c>
      <c r="F115" s="3">
        <v>0.659340659340659</v>
      </c>
      <c r="G115">
        <v>68</v>
      </c>
      <c r="H115" t="str">
        <f t="shared" si="1"/>
        <v>5.Mayor a 40 P</v>
      </c>
    </row>
    <row r="116" spans="1:8" x14ac:dyDescent="0.25">
      <c r="A116" t="s">
        <v>2934</v>
      </c>
      <c r="B116">
        <v>2020</v>
      </c>
      <c r="C116" t="s">
        <v>2935</v>
      </c>
      <c r="D116" t="s">
        <v>2936</v>
      </c>
      <c r="E116" t="s">
        <v>2924</v>
      </c>
      <c r="F116" s="3">
        <v>0.659340659340659</v>
      </c>
      <c r="G116">
        <v>99</v>
      </c>
      <c r="H116" t="str">
        <f t="shared" si="1"/>
        <v>6.Mayor a 70 P</v>
      </c>
    </row>
    <row r="117" spans="1:8" x14ac:dyDescent="0.25">
      <c r="A117" t="s">
        <v>2937</v>
      </c>
      <c r="B117">
        <v>2019</v>
      </c>
      <c r="C117" t="s">
        <v>2938</v>
      </c>
      <c r="D117" t="s">
        <v>2939</v>
      </c>
      <c r="E117" t="s">
        <v>2924</v>
      </c>
      <c r="F117" s="3">
        <v>0.659340659340659</v>
      </c>
      <c r="G117">
        <v>98</v>
      </c>
      <c r="H117" t="str">
        <f t="shared" si="1"/>
        <v>6.Mayor a 70 P</v>
      </c>
    </row>
    <row r="118" spans="1:8" x14ac:dyDescent="0.25">
      <c r="A118" t="s">
        <v>2940</v>
      </c>
      <c r="B118">
        <v>2022</v>
      </c>
      <c r="C118" t="s">
        <v>2941</v>
      </c>
      <c r="D118" t="s">
        <v>2942</v>
      </c>
      <c r="E118" t="s">
        <v>2924</v>
      </c>
      <c r="F118" s="3">
        <v>0.659340659340659</v>
      </c>
      <c r="G118">
        <v>16</v>
      </c>
      <c r="H118" t="str">
        <f t="shared" si="1"/>
        <v>3.Mayor a 10 P</v>
      </c>
    </row>
    <row r="119" spans="1:8" x14ac:dyDescent="0.25">
      <c r="A119" t="s">
        <v>2943</v>
      </c>
      <c r="B119">
        <v>2018</v>
      </c>
      <c r="C119" t="s">
        <v>2944</v>
      </c>
      <c r="D119" t="s">
        <v>2945</v>
      </c>
      <c r="E119" t="s">
        <v>2924</v>
      </c>
      <c r="F119" s="3">
        <v>0.64835164835164805</v>
      </c>
      <c r="G119">
        <v>46</v>
      </c>
      <c r="H119" t="str">
        <f t="shared" si="1"/>
        <v>5.Mayor a 40 P</v>
      </c>
    </row>
    <row r="120" spans="1:8" x14ac:dyDescent="0.25">
      <c r="A120" t="s">
        <v>2946</v>
      </c>
      <c r="B120">
        <v>2020</v>
      </c>
      <c r="C120" t="s">
        <v>2947</v>
      </c>
      <c r="D120" t="s">
        <v>2948</v>
      </c>
      <c r="E120" t="s">
        <v>2924</v>
      </c>
      <c r="F120" s="3">
        <v>0.64835164835164805</v>
      </c>
      <c r="G120">
        <v>56</v>
      </c>
      <c r="H120" t="str">
        <f t="shared" si="1"/>
        <v>5.Mayor a 40 P</v>
      </c>
    </row>
    <row r="121" spans="1:8" x14ac:dyDescent="0.25">
      <c r="A121" t="s">
        <v>2949</v>
      </c>
      <c r="B121">
        <v>2018</v>
      </c>
      <c r="C121" t="s">
        <v>2950</v>
      </c>
      <c r="D121" t="s">
        <v>2951</v>
      </c>
      <c r="E121" t="s">
        <v>2924</v>
      </c>
      <c r="F121" s="3">
        <v>0.64835164835164805</v>
      </c>
      <c r="G121">
        <v>580</v>
      </c>
      <c r="H121" t="str">
        <f t="shared" si="1"/>
        <v>7.Mayor a 100 P</v>
      </c>
    </row>
    <row r="122" spans="1:8" x14ac:dyDescent="0.25">
      <c r="A122" t="s">
        <v>2952</v>
      </c>
      <c r="B122">
        <v>2020</v>
      </c>
      <c r="C122" t="s">
        <v>2953</v>
      </c>
      <c r="D122" t="s">
        <v>2954</v>
      </c>
      <c r="E122" t="s">
        <v>2924</v>
      </c>
      <c r="F122" s="3">
        <v>0.64835164835164805</v>
      </c>
      <c r="G122">
        <v>5</v>
      </c>
      <c r="H122" t="str">
        <f t="shared" si="1"/>
        <v>2.Menor a 10 P</v>
      </c>
    </row>
    <row r="123" spans="1:8" x14ac:dyDescent="0.25">
      <c r="A123" t="s">
        <v>2955</v>
      </c>
      <c r="B123">
        <v>2018</v>
      </c>
      <c r="C123" t="s">
        <v>2956</v>
      </c>
      <c r="D123" t="s">
        <v>2957</v>
      </c>
      <c r="E123" t="s">
        <v>2924</v>
      </c>
      <c r="F123" s="3">
        <v>0.63736263736263699</v>
      </c>
      <c r="G123">
        <v>53</v>
      </c>
      <c r="H123" t="str">
        <f t="shared" si="1"/>
        <v>5.Mayor a 40 P</v>
      </c>
    </row>
    <row r="124" spans="1:8" x14ac:dyDescent="0.25">
      <c r="A124" t="s">
        <v>2958</v>
      </c>
      <c r="B124">
        <v>2022</v>
      </c>
      <c r="C124" t="s">
        <v>2959</v>
      </c>
      <c r="D124" t="s">
        <v>2960</v>
      </c>
      <c r="E124" t="s">
        <v>2924</v>
      </c>
      <c r="F124" s="3">
        <v>0.63736263736263699</v>
      </c>
      <c r="G124">
        <v>1335</v>
      </c>
      <c r="H124" t="str">
        <f t="shared" si="1"/>
        <v>7.Mayor a 100 P</v>
      </c>
    </row>
    <row r="125" spans="1:8" x14ac:dyDescent="0.25">
      <c r="A125" t="s">
        <v>2961</v>
      </c>
      <c r="B125">
        <v>2023</v>
      </c>
      <c r="C125" t="s">
        <v>2604</v>
      </c>
      <c r="D125" t="s">
        <v>2962</v>
      </c>
      <c r="E125" t="s">
        <v>2924</v>
      </c>
      <c r="F125" s="3">
        <v>0.63736263736263699</v>
      </c>
      <c r="G125">
        <v>6</v>
      </c>
      <c r="H125" t="str">
        <f t="shared" si="1"/>
        <v>2.Menor a 10 P</v>
      </c>
    </row>
    <row r="126" spans="1:8" x14ac:dyDescent="0.25">
      <c r="A126" t="s">
        <v>2963</v>
      </c>
      <c r="B126">
        <v>2020</v>
      </c>
      <c r="C126" t="s">
        <v>2964</v>
      </c>
      <c r="D126" t="s">
        <v>2965</v>
      </c>
      <c r="E126" t="s">
        <v>2924</v>
      </c>
      <c r="F126" s="3">
        <v>0.63736263736263699</v>
      </c>
      <c r="G126">
        <v>1277</v>
      </c>
      <c r="H126" t="str">
        <f t="shared" si="1"/>
        <v>7.Mayor a 100 P</v>
      </c>
    </row>
    <row r="127" spans="1:8" x14ac:dyDescent="0.25">
      <c r="A127" t="s">
        <v>2966</v>
      </c>
      <c r="B127">
        <v>2021</v>
      </c>
      <c r="C127" t="s">
        <v>2967</v>
      </c>
      <c r="D127" t="s">
        <v>2968</v>
      </c>
      <c r="E127" t="s">
        <v>2924</v>
      </c>
      <c r="F127" s="3">
        <v>0.63736263736263699</v>
      </c>
      <c r="G127">
        <v>7</v>
      </c>
      <c r="H127" t="str">
        <f t="shared" si="1"/>
        <v>2.Menor a 10 P</v>
      </c>
    </row>
    <row r="128" spans="1:8" x14ac:dyDescent="0.25">
      <c r="A128" t="s">
        <v>2969</v>
      </c>
      <c r="B128">
        <v>2018</v>
      </c>
      <c r="C128" t="s">
        <v>2970</v>
      </c>
      <c r="D128" t="s">
        <v>2971</v>
      </c>
      <c r="E128" t="s">
        <v>2924</v>
      </c>
      <c r="F128" s="3">
        <v>0.63736263736263699</v>
      </c>
      <c r="G128">
        <v>119</v>
      </c>
      <c r="H128" t="str">
        <f t="shared" si="1"/>
        <v>7.Mayor a 100 P</v>
      </c>
    </row>
    <row r="129" spans="1:8" x14ac:dyDescent="0.25">
      <c r="A129" t="s">
        <v>2972</v>
      </c>
      <c r="B129">
        <v>2017</v>
      </c>
      <c r="C129" t="s">
        <v>2973</v>
      </c>
      <c r="D129" t="s">
        <v>2974</v>
      </c>
      <c r="E129" t="s">
        <v>2924</v>
      </c>
      <c r="F129" s="3">
        <v>0.63736263736263699</v>
      </c>
      <c r="G129">
        <v>23</v>
      </c>
      <c r="H129" t="str">
        <f t="shared" si="1"/>
        <v>4.Mayor a 20 P</v>
      </c>
    </row>
    <row r="130" spans="1:8" x14ac:dyDescent="0.25">
      <c r="A130" t="s">
        <v>2975</v>
      </c>
      <c r="B130">
        <v>2018</v>
      </c>
      <c r="C130" t="s">
        <v>2976</v>
      </c>
      <c r="D130" t="s">
        <v>2977</v>
      </c>
      <c r="E130" t="s">
        <v>2924</v>
      </c>
      <c r="F130" s="3">
        <v>0.63736263736263699</v>
      </c>
      <c r="G130">
        <v>50</v>
      </c>
      <c r="H130" t="str">
        <f t="shared" si="1"/>
        <v>5.Mayor a 40 P</v>
      </c>
    </row>
    <row r="131" spans="1:8" x14ac:dyDescent="0.25">
      <c r="A131" t="s">
        <v>2978</v>
      </c>
      <c r="B131">
        <v>2019</v>
      </c>
      <c r="C131" t="s">
        <v>2979</v>
      </c>
      <c r="D131" t="s">
        <v>2980</v>
      </c>
      <c r="E131" t="s">
        <v>2924</v>
      </c>
      <c r="F131" s="3">
        <v>0.63736263736263699</v>
      </c>
      <c r="G131">
        <v>233</v>
      </c>
      <c r="H131" t="str">
        <f t="shared" ref="H131:H194" si="2">+IF(G131&gt;=100,"7.Mayor a 100 P",+IF(G131&gt;=70,"6.Mayor a 70 P",+IF(G131&gt;=40,"5.Mayor a 40 P",+IF(G131&gt;=20,"4.Mayor a 20 P",+IF(G131&gt;=10,"3.Mayor a 10 P",+IF(G131&lt;10,"2.Menor a 10 P",+IF(G131=0,"1.Sin Propiedades","Revsar")))))))</f>
        <v>7.Mayor a 100 P</v>
      </c>
    </row>
    <row r="132" spans="1:8" x14ac:dyDescent="0.25">
      <c r="A132" t="s">
        <v>2981</v>
      </c>
      <c r="B132">
        <v>2017</v>
      </c>
      <c r="C132" t="s">
        <v>2604</v>
      </c>
      <c r="D132" t="s">
        <v>2982</v>
      </c>
      <c r="E132" t="s">
        <v>2924</v>
      </c>
      <c r="F132" s="3">
        <v>0.62637362637362604</v>
      </c>
      <c r="G132">
        <v>3</v>
      </c>
      <c r="H132" t="str">
        <f t="shared" si="2"/>
        <v>2.Menor a 10 P</v>
      </c>
    </row>
    <row r="133" spans="1:8" x14ac:dyDescent="0.25">
      <c r="A133" t="s">
        <v>2983</v>
      </c>
      <c r="B133">
        <v>2023</v>
      </c>
      <c r="C133" t="s">
        <v>2984</v>
      </c>
      <c r="D133" t="s">
        <v>2985</v>
      </c>
      <c r="E133" t="s">
        <v>2924</v>
      </c>
      <c r="F133" s="3">
        <v>0.62637362637362604</v>
      </c>
      <c r="G133">
        <v>14</v>
      </c>
      <c r="H133" t="str">
        <f t="shared" si="2"/>
        <v>3.Mayor a 10 P</v>
      </c>
    </row>
    <row r="134" spans="1:8" x14ac:dyDescent="0.25">
      <c r="A134" t="s">
        <v>2986</v>
      </c>
      <c r="B134">
        <v>2018</v>
      </c>
      <c r="C134" t="s">
        <v>2987</v>
      </c>
      <c r="D134" t="s">
        <v>2988</v>
      </c>
      <c r="E134" t="s">
        <v>2924</v>
      </c>
      <c r="F134" s="3">
        <v>0.62637362637362604</v>
      </c>
      <c r="G134">
        <v>90</v>
      </c>
      <c r="H134" t="str">
        <f t="shared" si="2"/>
        <v>6.Mayor a 70 P</v>
      </c>
    </row>
    <row r="135" spans="1:8" x14ac:dyDescent="0.25">
      <c r="A135" t="s">
        <v>2989</v>
      </c>
      <c r="B135">
        <v>2018</v>
      </c>
      <c r="C135" t="s">
        <v>2990</v>
      </c>
      <c r="D135" t="s">
        <v>2991</v>
      </c>
      <c r="E135" t="s">
        <v>2924</v>
      </c>
      <c r="F135" s="3">
        <v>0.62637362637362604</v>
      </c>
      <c r="G135">
        <v>34</v>
      </c>
      <c r="H135" t="str">
        <f t="shared" si="2"/>
        <v>4.Mayor a 20 P</v>
      </c>
    </row>
    <row r="136" spans="1:8" x14ac:dyDescent="0.25">
      <c r="A136" t="s">
        <v>2992</v>
      </c>
      <c r="B136">
        <v>2018</v>
      </c>
      <c r="C136" t="s">
        <v>2993</v>
      </c>
      <c r="D136" t="s">
        <v>2994</v>
      </c>
      <c r="E136" t="s">
        <v>2924</v>
      </c>
      <c r="F136" s="3">
        <v>0.62637362637362604</v>
      </c>
      <c r="G136">
        <v>8</v>
      </c>
      <c r="H136" t="str">
        <f t="shared" si="2"/>
        <v>2.Menor a 10 P</v>
      </c>
    </row>
    <row r="137" spans="1:8" x14ac:dyDescent="0.25">
      <c r="A137" t="s">
        <v>2995</v>
      </c>
      <c r="B137">
        <v>2018</v>
      </c>
      <c r="C137" t="s">
        <v>2996</v>
      </c>
      <c r="D137" t="s">
        <v>2997</v>
      </c>
      <c r="E137" t="s">
        <v>2924</v>
      </c>
      <c r="F137" s="3">
        <v>0.62637362637362604</v>
      </c>
      <c r="G137">
        <v>169</v>
      </c>
      <c r="H137" t="str">
        <f t="shared" si="2"/>
        <v>7.Mayor a 100 P</v>
      </c>
    </row>
    <row r="138" spans="1:8" x14ac:dyDescent="0.25">
      <c r="A138" t="s">
        <v>2998</v>
      </c>
      <c r="B138">
        <v>2018</v>
      </c>
      <c r="C138" t="s">
        <v>2999</v>
      </c>
      <c r="D138" t="s">
        <v>3000</v>
      </c>
      <c r="E138" t="s">
        <v>2924</v>
      </c>
      <c r="F138" s="3">
        <v>0.62637362637362604</v>
      </c>
      <c r="G138">
        <v>51</v>
      </c>
      <c r="H138" t="str">
        <f t="shared" si="2"/>
        <v>5.Mayor a 40 P</v>
      </c>
    </row>
    <row r="139" spans="1:8" x14ac:dyDescent="0.25">
      <c r="A139" t="s">
        <v>3001</v>
      </c>
      <c r="B139">
        <v>2024</v>
      </c>
      <c r="C139" t="s">
        <v>3002</v>
      </c>
      <c r="D139" t="s">
        <v>3003</v>
      </c>
      <c r="E139" t="s">
        <v>2924</v>
      </c>
      <c r="F139" s="3">
        <v>0.62637362637362604</v>
      </c>
      <c r="G139">
        <v>53</v>
      </c>
      <c r="H139" t="str">
        <f t="shared" si="2"/>
        <v>5.Mayor a 40 P</v>
      </c>
    </row>
    <row r="140" spans="1:8" x14ac:dyDescent="0.25">
      <c r="A140" t="s">
        <v>3004</v>
      </c>
      <c r="B140">
        <v>2018</v>
      </c>
      <c r="C140" t="s">
        <v>3005</v>
      </c>
      <c r="D140" t="s">
        <v>3006</v>
      </c>
      <c r="E140" t="s">
        <v>2924</v>
      </c>
      <c r="F140" s="3">
        <v>0.61538461538461497</v>
      </c>
      <c r="G140">
        <v>101</v>
      </c>
      <c r="H140" t="str">
        <f t="shared" si="2"/>
        <v>7.Mayor a 100 P</v>
      </c>
    </row>
    <row r="141" spans="1:8" x14ac:dyDescent="0.25">
      <c r="A141" t="s">
        <v>3007</v>
      </c>
      <c r="B141">
        <v>2022</v>
      </c>
      <c r="C141" t="s">
        <v>3008</v>
      </c>
      <c r="D141" t="s">
        <v>3009</v>
      </c>
      <c r="E141" t="s">
        <v>2924</v>
      </c>
      <c r="F141" s="3">
        <v>0.61538461538461497</v>
      </c>
      <c r="G141">
        <v>95</v>
      </c>
      <c r="H141" t="str">
        <f t="shared" si="2"/>
        <v>6.Mayor a 70 P</v>
      </c>
    </row>
    <row r="142" spans="1:8" x14ac:dyDescent="0.25">
      <c r="A142" t="s">
        <v>3010</v>
      </c>
      <c r="B142">
        <v>2018</v>
      </c>
      <c r="C142" t="s">
        <v>3011</v>
      </c>
      <c r="D142" t="s">
        <v>3012</v>
      </c>
      <c r="E142" t="s">
        <v>2924</v>
      </c>
      <c r="F142" s="3">
        <v>0.61538461538461497</v>
      </c>
      <c r="G142">
        <v>132</v>
      </c>
      <c r="H142" t="str">
        <f t="shared" si="2"/>
        <v>7.Mayor a 100 P</v>
      </c>
    </row>
    <row r="143" spans="1:8" x14ac:dyDescent="0.25">
      <c r="A143" t="s">
        <v>3013</v>
      </c>
      <c r="B143">
        <v>2018</v>
      </c>
      <c r="C143" t="s">
        <v>3014</v>
      </c>
      <c r="D143" t="s">
        <v>3015</v>
      </c>
      <c r="E143" t="s">
        <v>2924</v>
      </c>
      <c r="F143" s="3">
        <v>0.61538461538461497</v>
      </c>
      <c r="G143">
        <v>122</v>
      </c>
      <c r="H143" t="str">
        <f t="shared" si="2"/>
        <v>7.Mayor a 100 P</v>
      </c>
    </row>
    <row r="144" spans="1:8" x14ac:dyDescent="0.25">
      <c r="A144" t="s">
        <v>3016</v>
      </c>
      <c r="B144">
        <v>2019</v>
      </c>
      <c r="C144" t="s">
        <v>3017</v>
      </c>
      <c r="D144" t="s">
        <v>3018</v>
      </c>
      <c r="E144" t="s">
        <v>2924</v>
      </c>
      <c r="F144" s="3">
        <v>0.61538461538461497</v>
      </c>
      <c r="G144">
        <v>14</v>
      </c>
      <c r="H144" t="str">
        <f t="shared" si="2"/>
        <v>3.Mayor a 10 P</v>
      </c>
    </row>
    <row r="145" spans="1:8" x14ac:dyDescent="0.25">
      <c r="A145" t="s">
        <v>3019</v>
      </c>
      <c r="B145">
        <v>2019</v>
      </c>
      <c r="C145" t="s">
        <v>3020</v>
      </c>
      <c r="D145" t="s">
        <v>3021</v>
      </c>
      <c r="E145" t="s">
        <v>2924</v>
      </c>
      <c r="F145" s="3">
        <v>0.61538461538461497</v>
      </c>
      <c r="G145">
        <v>190</v>
      </c>
      <c r="H145" t="str">
        <f t="shared" si="2"/>
        <v>7.Mayor a 100 P</v>
      </c>
    </row>
    <row r="146" spans="1:8" x14ac:dyDescent="0.25">
      <c r="A146" t="s">
        <v>3022</v>
      </c>
      <c r="B146">
        <v>2020</v>
      </c>
      <c r="C146" t="s">
        <v>3023</v>
      </c>
      <c r="D146" t="s">
        <v>3024</v>
      </c>
      <c r="E146" t="s">
        <v>2924</v>
      </c>
      <c r="F146" s="3">
        <v>0.61538461538461497</v>
      </c>
      <c r="G146">
        <v>71</v>
      </c>
      <c r="H146" t="str">
        <f t="shared" si="2"/>
        <v>6.Mayor a 70 P</v>
      </c>
    </row>
    <row r="147" spans="1:8" x14ac:dyDescent="0.25">
      <c r="A147" t="s">
        <v>3025</v>
      </c>
      <c r="B147">
        <v>2018</v>
      </c>
      <c r="C147" t="s">
        <v>3026</v>
      </c>
      <c r="D147" t="s">
        <v>3027</v>
      </c>
      <c r="E147" t="s">
        <v>2924</v>
      </c>
      <c r="F147" s="3">
        <v>0.61538461538461497</v>
      </c>
      <c r="G147">
        <v>227</v>
      </c>
      <c r="H147" t="str">
        <f t="shared" si="2"/>
        <v>7.Mayor a 100 P</v>
      </c>
    </row>
    <row r="148" spans="1:8" x14ac:dyDescent="0.25">
      <c r="A148" t="s">
        <v>3028</v>
      </c>
      <c r="B148">
        <v>2021</v>
      </c>
      <c r="C148" t="s">
        <v>3029</v>
      </c>
      <c r="D148" t="s">
        <v>3030</v>
      </c>
      <c r="E148" t="s">
        <v>2924</v>
      </c>
      <c r="F148" s="3">
        <v>0.61538461538461497</v>
      </c>
      <c r="G148">
        <v>15</v>
      </c>
      <c r="H148" t="str">
        <f t="shared" si="2"/>
        <v>3.Mayor a 10 P</v>
      </c>
    </row>
    <row r="149" spans="1:8" x14ac:dyDescent="0.25">
      <c r="A149" t="s">
        <v>3031</v>
      </c>
      <c r="B149">
        <v>2019</v>
      </c>
      <c r="C149" t="s">
        <v>3032</v>
      </c>
      <c r="D149" t="s">
        <v>3033</v>
      </c>
      <c r="E149" t="s">
        <v>2924</v>
      </c>
      <c r="F149" s="3">
        <v>0.61538461538461497</v>
      </c>
      <c r="G149">
        <v>16</v>
      </c>
      <c r="H149" t="str">
        <f t="shared" si="2"/>
        <v>3.Mayor a 10 P</v>
      </c>
    </row>
    <row r="150" spans="1:8" x14ac:dyDescent="0.25">
      <c r="A150" t="s">
        <v>3034</v>
      </c>
      <c r="B150">
        <v>2023</v>
      </c>
      <c r="C150" t="s">
        <v>2604</v>
      </c>
      <c r="D150" t="s">
        <v>3035</v>
      </c>
      <c r="E150" t="s">
        <v>2924</v>
      </c>
      <c r="F150" s="3">
        <v>0.60439560439560402</v>
      </c>
      <c r="G150">
        <v>247</v>
      </c>
      <c r="H150" t="str">
        <f t="shared" si="2"/>
        <v>7.Mayor a 100 P</v>
      </c>
    </row>
    <row r="151" spans="1:8" x14ac:dyDescent="0.25">
      <c r="A151" t="s">
        <v>3036</v>
      </c>
      <c r="B151">
        <v>2018</v>
      </c>
      <c r="C151" t="s">
        <v>3037</v>
      </c>
      <c r="D151" t="s">
        <v>3038</v>
      </c>
      <c r="E151" t="s">
        <v>2924</v>
      </c>
      <c r="F151" s="3">
        <v>0.60439560439560402</v>
      </c>
      <c r="G151">
        <v>12</v>
      </c>
      <c r="H151" t="str">
        <f t="shared" si="2"/>
        <v>3.Mayor a 10 P</v>
      </c>
    </row>
    <row r="152" spans="1:8" x14ac:dyDescent="0.25">
      <c r="A152" t="s">
        <v>3039</v>
      </c>
      <c r="B152">
        <v>2018</v>
      </c>
      <c r="C152" t="s">
        <v>3040</v>
      </c>
      <c r="D152" t="s">
        <v>3041</v>
      </c>
      <c r="E152" t="s">
        <v>2924</v>
      </c>
      <c r="F152" s="3">
        <v>0.60439560439560402</v>
      </c>
      <c r="G152">
        <v>244</v>
      </c>
      <c r="H152" t="str">
        <f t="shared" si="2"/>
        <v>7.Mayor a 100 P</v>
      </c>
    </row>
    <row r="153" spans="1:8" x14ac:dyDescent="0.25">
      <c r="A153" t="s">
        <v>3042</v>
      </c>
      <c r="B153">
        <v>2019</v>
      </c>
      <c r="C153" t="s">
        <v>3043</v>
      </c>
      <c r="D153" t="s">
        <v>3044</v>
      </c>
      <c r="E153" t="s">
        <v>2924</v>
      </c>
      <c r="F153" s="3">
        <v>0.60439560439560402</v>
      </c>
      <c r="G153">
        <v>6</v>
      </c>
      <c r="H153" t="str">
        <f t="shared" si="2"/>
        <v>2.Menor a 10 P</v>
      </c>
    </row>
    <row r="154" spans="1:8" x14ac:dyDescent="0.25">
      <c r="A154" t="s">
        <v>3045</v>
      </c>
      <c r="B154">
        <v>2018</v>
      </c>
      <c r="C154" t="s">
        <v>3046</v>
      </c>
      <c r="D154" t="s">
        <v>3047</v>
      </c>
      <c r="E154" t="s">
        <v>2924</v>
      </c>
      <c r="F154" s="3">
        <v>0.60439560439560402</v>
      </c>
      <c r="G154">
        <v>86</v>
      </c>
      <c r="H154" t="str">
        <f t="shared" si="2"/>
        <v>6.Mayor a 70 P</v>
      </c>
    </row>
    <row r="155" spans="1:8" x14ac:dyDescent="0.25">
      <c r="A155" t="s">
        <v>3048</v>
      </c>
      <c r="B155">
        <v>2019</v>
      </c>
      <c r="C155" t="s">
        <v>3049</v>
      </c>
      <c r="D155" t="s">
        <v>3050</v>
      </c>
      <c r="E155" t="s">
        <v>2924</v>
      </c>
      <c r="F155" s="3">
        <v>0.60439560439560402</v>
      </c>
      <c r="G155">
        <v>7</v>
      </c>
      <c r="H155" t="str">
        <f t="shared" si="2"/>
        <v>2.Menor a 10 P</v>
      </c>
    </row>
    <row r="156" spans="1:8" x14ac:dyDescent="0.25">
      <c r="A156" t="s">
        <v>3051</v>
      </c>
      <c r="B156">
        <v>2018</v>
      </c>
      <c r="C156" t="s">
        <v>3052</v>
      </c>
      <c r="D156" t="s">
        <v>3053</v>
      </c>
      <c r="E156" t="s">
        <v>2924</v>
      </c>
      <c r="F156" s="3">
        <v>0.60439560439560402</v>
      </c>
      <c r="G156">
        <v>23</v>
      </c>
      <c r="H156" t="str">
        <f t="shared" si="2"/>
        <v>4.Mayor a 20 P</v>
      </c>
    </row>
    <row r="157" spans="1:8" x14ac:dyDescent="0.25">
      <c r="A157" t="s">
        <v>3054</v>
      </c>
      <c r="B157">
        <v>2016</v>
      </c>
      <c r="C157" t="s">
        <v>3055</v>
      </c>
      <c r="D157" t="s">
        <v>3056</v>
      </c>
      <c r="E157" t="s">
        <v>2924</v>
      </c>
      <c r="F157" s="3">
        <v>0.60439560439560402</v>
      </c>
      <c r="G157">
        <v>63</v>
      </c>
      <c r="H157" t="str">
        <f t="shared" si="2"/>
        <v>5.Mayor a 40 P</v>
      </c>
    </row>
    <row r="158" spans="1:8" x14ac:dyDescent="0.25">
      <c r="A158" t="s">
        <v>3057</v>
      </c>
      <c r="B158">
        <v>2020</v>
      </c>
      <c r="C158" t="s">
        <v>3058</v>
      </c>
      <c r="D158" t="s">
        <v>3059</v>
      </c>
      <c r="E158" t="s">
        <v>2924</v>
      </c>
      <c r="F158" s="3">
        <v>0.59340659340659296</v>
      </c>
      <c r="G158">
        <v>430</v>
      </c>
      <c r="H158" t="str">
        <f t="shared" si="2"/>
        <v>7.Mayor a 100 P</v>
      </c>
    </row>
    <row r="159" spans="1:8" x14ac:dyDescent="0.25">
      <c r="A159" t="s">
        <v>3060</v>
      </c>
      <c r="B159">
        <v>2019</v>
      </c>
      <c r="C159" t="s">
        <v>3061</v>
      </c>
      <c r="D159" t="s">
        <v>3062</v>
      </c>
      <c r="E159" t="s">
        <v>2924</v>
      </c>
      <c r="F159" s="3">
        <v>0.59340659340659296</v>
      </c>
      <c r="G159">
        <v>14</v>
      </c>
      <c r="H159" t="str">
        <f t="shared" si="2"/>
        <v>3.Mayor a 10 P</v>
      </c>
    </row>
    <row r="160" spans="1:8" x14ac:dyDescent="0.25">
      <c r="A160" t="s">
        <v>3063</v>
      </c>
      <c r="B160">
        <v>2018</v>
      </c>
      <c r="C160" t="s">
        <v>3064</v>
      </c>
      <c r="D160" t="s">
        <v>3065</v>
      </c>
      <c r="E160" t="s">
        <v>2924</v>
      </c>
      <c r="F160" s="3">
        <v>0.59340659340659296</v>
      </c>
      <c r="G160">
        <v>10</v>
      </c>
      <c r="H160" t="str">
        <f t="shared" si="2"/>
        <v>3.Mayor a 10 P</v>
      </c>
    </row>
    <row r="161" spans="1:8" x14ac:dyDescent="0.25">
      <c r="A161" t="s">
        <v>3066</v>
      </c>
      <c r="B161">
        <v>2018</v>
      </c>
      <c r="C161" t="s">
        <v>3067</v>
      </c>
      <c r="D161" t="s">
        <v>3068</v>
      </c>
      <c r="E161" t="s">
        <v>2924</v>
      </c>
      <c r="F161" s="3">
        <v>0.59340659340659296</v>
      </c>
      <c r="G161">
        <v>45</v>
      </c>
      <c r="H161" t="str">
        <f t="shared" si="2"/>
        <v>5.Mayor a 40 P</v>
      </c>
    </row>
    <row r="162" spans="1:8" x14ac:dyDescent="0.25">
      <c r="A162" t="s">
        <v>3069</v>
      </c>
      <c r="B162">
        <v>2018</v>
      </c>
      <c r="C162" t="s">
        <v>3070</v>
      </c>
      <c r="D162" t="s">
        <v>3071</v>
      </c>
      <c r="E162" t="s">
        <v>2924</v>
      </c>
      <c r="F162" s="3">
        <v>0.59340659340659296</v>
      </c>
      <c r="G162">
        <v>41</v>
      </c>
      <c r="H162" t="str">
        <f t="shared" si="2"/>
        <v>5.Mayor a 40 P</v>
      </c>
    </row>
    <row r="163" spans="1:8" x14ac:dyDescent="0.25">
      <c r="A163" t="s">
        <v>3072</v>
      </c>
      <c r="B163">
        <v>2018</v>
      </c>
      <c r="C163" t="s">
        <v>3073</v>
      </c>
      <c r="D163" t="s">
        <v>3074</v>
      </c>
      <c r="E163" t="s">
        <v>2924</v>
      </c>
      <c r="F163" s="3">
        <v>0.59340659340659296</v>
      </c>
      <c r="G163">
        <v>96</v>
      </c>
      <c r="H163" t="str">
        <f t="shared" si="2"/>
        <v>6.Mayor a 70 P</v>
      </c>
    </row>
    <row r="164" spans="1:8" x14ac:dyDescent="0.25">
      <c r="A164" t="s">
        <v>3075</v>
      </c>
      <c r="B164">
        <v>2020</v>
      </c>
      <c r="C164" t="s">
        <v>3076</v>
      </c>
      <c r="D164" t="s">
        <v>3077</v>
      </c>
      <c r="E164" t="s">
        <v>2924</v>
      </c>
      <c r="F164" s="3">
        <v>0.58241758241758201</v>
      </c>
      <c r="G164">
        <v>195</v>
      </c>
      <c r="H164" t="str">
        <f t="shared" si="2"/>
        <v>7.Mayor a 100 P</v>
      </c>
    </row>
    <row r="165" spans="1:8" x14ac:dyDescent="0.25">
      <c r="A165" t="s">
        <v>3078</v>
      </c>
      <c r="B165">
        <v>2021</v>
      </c>
      <c r="C165" t="s">
        <v>3079</v>
      </c>
      <c r="D165" t="s">
        <v>3080</v>
      </c>
      <c r="E165" t="s">
        <v>2924</v>
      </c>
      <c r="F165" s="3">
        <v>0.58241758241758201</v>
      </c>
      <c r="G165">
        <v>12</v>
      </c>
      <c r="H165" t="str">
        <f t="shared" si="2"/>
        <v>3.Mayor a 10 P</v>
      </c>
    </row>
    <row r="166" spans="1:8" x14ac:dyDescent="0.25">
      <c r="A166" t="s">
        <v>3081</v>
      </c>
      <c r="B166">
        <v>2018</v>
      </c>
      <c r="C166" t="s">
        <v>3082</v>
      </c>
      <c r="D166" t="s">
        <v>3083</v>
      </c>
      <c r="E166" t="s">
        <v>2924</v>
      </c>
      <c r="F166" s="3">
        <v>0.58241758241758201</v>
      </c>
      <c r="G166">
        <v>6</v>
      </c>
      <c r="H166" t="str">
        <f t="shared" si="2"/>
        <v>2.Menor a 10 P</v>
      </c>
    </row>
    <row r="167" spans="1:8" x14ac:dyDescent="0.25">
      <c r="A167" t="s">
        <v>3084</v>
      </c>
      <c r="B167">
        <v>2018</v>
      </c>
      <c r="C167" t="s">
        <v>3085</v>
      </c>
      <c r="D167" t="s">
        <v>3086</v>
      </c>
      <c r="E167" t="s">
        <v>2924</v>
      </c>
      <c r="F167" s="3">
        <v>0.57142857142857095</v>
      </c>
      <c r="G167">
        <v>21</v>
      </c>
      <c r="H167" t="str">
        <f t="shared" si="2"/>
        <v>4.Mayor a 20 P</v>
      </c>
    </row>
    <row r="168" spans="1:8" x14ac:dyDescent="0.25">
      <c r="A168" t="s">
        <v>3087</v>
      </c>
      <c r="B168">
        <v>2022</v>
      </c>
      <c r="C168" t="s">
        <v>3088</v>
      </c>
      <c r="D168" t="s">
        <v>3089</v>
      </c>
      <c r="E168" t="s">
        <v>2924</v>
      </c>
      <c r="F168" s="3">
        <v>0.57142857142857095</v>
      </c>
      <c r="G168">
        <v>72</v>
      </c>
      <c r="H168" t="str">
        <f t="shared" si="2"/>
        <v>6.Mayor a 70 P</v>
      </c>
    </row>
    <row r="169" spans="1:8" x14ac:dyDescent="0.25">
      <c r="A169" t="s">
        <v>3090</v>
      </c>
      <c r="B169">
        <v>2019</v>
      </c>
      <c r="C169" t="s">
        <v>3091</v>
      </c>
      <c r="D169" t="s">
        <v>3092</v>
      </c>
      <c r="E169" t="s">
        <v>2924</v>
      </c>
      <c r="F169" s="3">
        <v>0.57142857142857095</v>
      </c>
      <c r="G169">
        <v>7</v>
      </c>
      <c r="H169" t="str">
        <f t="shared" si="2"/>
        <v>2.Menor a 10 P</v>
      </c>
    </row>
    <row r="170" spans="1:8" x14ac:dyDescent="0.25">
      <c r="A170" t="s">
        <v>3093</v>
      </c>
      <c r="B170">
        <v>2019</v>
      </c>
      <c r="C170" t="s">
        <v>3094</v>
      </c>
      <c r="D170" t="s">
        <v>3095</v>
      </c>
      <c r="E170" t="s">
        <v>2924</v>
      </c>
      <c r="F170" s="3">
        <v>0.56043956043956</v>
      </c>
      <c r="G170">
        <v>47</v>
      </c>
      <c r="H170" t="str">
        <f t="shared" si="2"/>
        <v>5.Mayor a 40 P</v>
      </c>
    </row>
    <row r="171" spans="1:8" x14ac:dyDescent="0.25">
      <c r="A171" t="s">
        <v>3096</v>
      </c>
      <c r="B171">
        <v>2020</v>
      </c>
      <c r="C171" t="s">
        <v>3097</v>
      </c>
      <c r="D171" t="s">
        <v>3098</v>
      </c>
      <c r="E171" t="s">
        <v>2924</v>
      </c>
      <c r="F171" s="3">
        <v>0.56043956043956</v>
      </c>
      <c r="G171">
        <v>143</v>
      </c>
      <c r="H171" t="str">
        <f t="shared" si="2"/>
        <v>7.Mayor a 100 P</v>
      </c>
    </row>
    <row r="172" spans="1:8" x14ac:dyDescent="0.25">
      <c r="A172" t="s">
        <v>3099</v>
      </c>
      <c r="B172">
        <v>2016</v>
      </c>
      <c r="C172" t="s">
        <v>2604</v>
      </c>
      <c r="D172" t="s">
        <v>3100</v>
      </c>
      <c r="E172" t="s">
        <v>2924</v>
      </c>
      <c r="F172" s="3">
        <v>0.56043956043956</v>
      </c>
      <c r="G172">
        <v>4</v>
      </c>
      <c r="H172" t="str">
        <f t="shared" si="2"/>
        <v>2.Menor a 10 P</v>
      </c>
    </row>
    <row r="173" spans="1:8" x14ac:dyDescent="0.25">
      <c r="A173" t="s">
        <v>3101</v>
      </c>
      <c r="B173">
        <v>2019</v>
      </c>
      <c r="C173" t="s">
        <v>3102</v>
      </c>
      <c r="D173" t="s">
        <v>3103</v>
      </c>
      <c r="E173" t="s">
        <v>2924</v>
      </c>
      <c r="F173" s="3">
        <v>0.56043956043956</v>
      </c>
      <c r="G173">
        <v>33</v>
      </c>
      <c r="H173" t="str">
        <f t="shared" si="2"/>
        <v>4.Mayor a 20 P</v>
      </c>
    </row>
    <row r="174" spans="1:8" x14ac:dyDescent="0.25">
      <c r="A174" t="s">
        <v>3104</v>
      </c>
      <c r="B174">
        <v>2018</v>
      </c>
      <c r="C174" t="s">
        <v>3105</v>
      </c>
      <c r="D174" t="s">
        <v>3106</v>
      </c>
      <c r="E174" t="s">
        <v>2924</v>
      </c>
      <c r="F174" s="3">
        <v>0.56043956043956</v>
      </c>
      <c r="G174">
        <v>142</v>
      </c>
      <c r="H174" t="str">
        <f t="shared" si="2"/>
        <v>7.Mayor a 100 P</v>
      </c>
    </row>
    <row r="175" spans="1:8" x14ac:dyDescent="0.25">
      <c r="A175" t="s">
        <v>3107</v>
      </c>
      <c r="B175">
        <v>2018</v>
      </c>
      <c r="C175" t="s">
        <v>3108</v>
      </c>
      <c r="D175" t="s">
        <v>3109</v>
      </c>
      <c r="E175" t="s">
        <v>2924</v>
      </c>
      <c r="F175" s="3">
        <v>0.56043956043956</v>
      </c>
      <c r="G175">
        <v>254</v>
      </c>
      <c r="H175" t="str">
        <f t="shared" si="2"/>
        <v>7.Mayor a 100 P</v>
      </c>
    </row>
    <row r="176" spans="1:8" x14ac:dyDescent="0.25">
      <c r="A176" t="s">
        <v>3110</v>
      </c>
      <c r="B176">
        <v>2018</v>
      </c>
      <c r="C176" t="s">
        <v>3111</v>
      </c>
      <c r="D176" t="s">
        <v>3112</v>
      </c>
      <c r="E176" t="s">
        <v>2924</v>
      </c>
      <c r="F176" s="3">
        <v>0.56043956043956</v>
      </c>
      <c r="G176">
        <v>1155</v>
      </c>
      <c r="H176" t="str">
        <f t="shared" si="2"/>
        <v>7.Mayor a 100 P</v>
      </c>
    </row>
    <row r="177" spans="1:8" x14ac:dyDescent="0.25">
      <c r="A177" t="s">
        <v>3113</v>
      </c>
      <c r="B177">
        <v>2021</v>
      </c>
      <c r="C177" t="s">
        <v>3114</v>
      </c>
      <c r="D177" t="s">
        <v>3115</v>
      </c>
      <c r="E177" t="s">
        <v>2924</v>
      </c>
      <c r="F177" s="3">
        <v>0.56043956043956</v>
      </c>
      <c r="G177">
        <v>16</v>
      </c>
      <c r="H177" t="str">
        <f t="shared" si="2"/>
        <v>3.Mayor a 10 P</v>
      </c>
    </row>
    <row r="178" spans="1:8" x14ac:dyDescent="0.25">
      <c r="A178" t="s">
        <v>3116</v>
      </c>
      <c r="B178">
        <v>2018</v>
      </c>
      <c r="C178" t="s">
        <v>3117</v>
      </c>
      <c r="D178" t="s">
        <v>3118</v>
      </c>
      <c r="E178" t="s">
        <v>2924</v>
      </c>
      <c r="F178" s="3">
        <v>0.54945054945054905</v>
      </c>
      <c r="G178">
        <v>17</v>
      </c>
      <c r="H178" t="str">
        <f t="shared" si="2"/>
        <v>3.Mayor a 10 P</v>
      </c>
    </row>
    <row r="179" spans="1:8" x14ac:dyDescent="0.25">
      <c r="A179" t="s">
        <v>3119</v>
      </c>
      <c r="B179">
        <v>2018</v>
      </c>
      <c r="C179" t="s">
        <v>3120</v>
      </c>
      <c r="D179" t="s">
        <v>3121</v>
      </c>
      <c r="E179" t="s">
        <v>2924</v>
      </c>
      <c r="F179" s="3">
        <v>0.54945054945054905</v>
      </c>
      <c r="G179">
        <v>11</v>
      </c>
      <c r="H179" t="str">
        <f t="shared" si="2"/>
        <v>3.Mayor a 10 P</v>
      </c>
    </row>
    <row r="180" spans="1:8" x14ac:dyDescent="0.25">
      <c r="A180" t="s">
        <v>3122</v>
      </c>
      <c r="B180">
        <v>2018</v>
      </c>
      <c r="C180" t="s">
        <v>3123</v>
      </c>
      <c r="D180" t="s">
        <v>3124</v>
      </c>
      <c r="E180" t="s">
        <v>2924</v>
      </c>
      <c r="F180" s="3">
        <v>0.54945054945054905</v>
      </c>
      <c r="G180">
        <v>22</v>
      </c>
      <c r="H180" t="str">
        <f t="shared" si="2"/>
        <v>4.Mayor a 20 P</v>
      </c>
    </row>
    <row r="181" spans="1:8" x14ac:dyDescent="0.25">
      <c r="A181" t="s">
        <v>3125</v>
      </c>
      <c r="B181">
        <v>2019</v>
      </c>
      <c r="C181" t="s">
        <v>3126</v>
      </c>
      <c r="D181" t="s">
        <v>3127</v>
      </c>
      <c r="E181" t="s">
        <v>2924</v>
      </c>
      <c r="F181" s="3">
        <v>0.54945054945054905</v>
      </c>
      <c r="G181">
        <v>199</v>
      </c>
      <c r="H181" t="str">
        <f t="shared" si="2"/>
        <v>7.Mayor a 100 P</v>
      </c>
    </row>
    <row r="182" spans="1:8" x14ac:dyDescent="0.25">
      <c r="A182" t="s">
        <v>3128</v>
      </c>
      <c r="B182">
        <v>2022</v>
      </c>
      <c r="C182" t="s">
        <v>3129</v>
      </c>
      <c r="D182" t="s">
        <v>3130</v>
      </c>
      <c r="E182" t="s">
        <v>2924</v>
      </c>
      <c r="F182" s="3">
        <v>0.54945054945054905</v>
      </c>
      <c r="G182">
        <v>1291</v>
      </c>
      <c r="H182" t="str">
        <f t="shared" si="2"/>
        <v>7.Mayor a 100 P</v>
      </c>
    </row>
    <row r="183" spans="1:8" x14ac:dyDescent="0.25">
      <c r="A183" t="s">
        <v>3131</v>
      </c>
      <c r="B183">
        <v>2018</v>
      </c>
      <c r="C183" t="s">
        <v>3132</v>
      </c>
      <c r="D183" t="s">
        <v>3133</v>
      </c>
      <c r="E183" t="s">
        <v>2924</v>
      </c>
      <c r="F183" s="3">
        <v>0.53846153846153799</v>
      </c>
      <c r="G183">
        <v>21</v>
      </c>
      <c r="H183" t="str">
        <f t="shared" si="2"/>
        <v>4.Mayor a 20 P</v>
      </c>
    </row>
    <row r="184" spans="1:8" x14ac:dyDescent="0.25">
      <c r="A184" t="s">
        <v>3134</v>
      </c>
      <c r="B184">
        <v>2019</v>
      </c>
      <c r="C184" t="s">
        <v>3135</v>
      </c>
      <c r="D184" t="s">
        <v>3136</v>
      </c>
      <c r="E184" t="s">
        <v>2924</v>
      </c>
      <c r="F184" s="3">
        <v>0.53846153846153799</v>
      </c>
      <c r="G184">
        <v>64</v>
      </c>
      <c r="H184" t="str">
        <f t="shared" si="2"/>
        <v>5.Mayor a 40 P</v>
      </c>
    </row>
    <row r="185" spans="1:8" x14ac:dyDescent="0.25">
      <c r="A185" t="s">
        <v>3137</v>
      </c>
      <c r="B185">
        <v>2018</v>
      </c>
      <c r="C185" t="s">
        <v>3138</v>
      </c>
      <c r="D185" t="s">
        <v>3139</v>
      </c>
      <c r="E185" t="s">
        <v>2924</v>
      </c>
      <c r="F185" s="3">
        <v>0.53846153846153799</v>
      </c>
      <c r="G185">
        <v>67</v>
      </c>
      <c r="H185" t="str">
        <f t="shared" si="2"/>
        <v>5.Mayor a 40 P</v>
      </c>
    </row>
    <row r="186" spans="1:8" x14ac:dyDescent="0.25">
      <c r="A186" t="s">
        <v>3140</v>
      </c>
      <c r="B186">
        <v>2020</v>
      </c>
      <c r="C186" t="s">
        <v>3141</v>
      </c>
      <c r="D186" t="s">
        <v>3142</v>
      </c>
      <c r="E186" t="s">
        <v>2924</v>
      </c>
      <c r="F186" s="3">
        <v>0.53846153846153799</v>
      </c>
      <c r="G186">
        <v>31</v>
      </c>
      <c r="H186" t="str">
        <f t="shared" si="2"/>
        <v>4.Mayor a 20 P</v>
      </c>
    </row>
    <row r="187" spans="1:8" x14ac:dyDescent="0.25">
      <c r="A187" t="s">
        <v>3143</v>
      </c>
      <c r="B187">
        <v>2022</v>
      </c>
      <c r="C187" t="s">
        <v>2604</v>
      </c>
      <c r="D187" t="s">
        <v>3144</v>
      </c>
      <c r="E187" t="s">
        <v>2924</v>
      </c>
      <c r="F187" s="3">
        <v>0.53846153846153799</v>
      </c>
      <c r="G187">
        <v>6537</v>
      </c>
      <c r="H187" t="str">
        <f t="shared" si="2"/>
        <v>7.Mayor a 100 P</v>
      </c>
    </row>
    <row r="188" spans="1:8" x14ac:dyDescent="0.25">
      <c r="A188" t="s">
        <v>3145</v>
      </c>
      <c r="B188">
        <v>2018</v>
      </c>
      <c r="C188" t="s">
        <v>3146</v>
      </c>
      <c r="D188" t="s">
        <v>3147</v>
      </c>
      <c r="E188" t="s">
        <v>2924</v>
      </c>
      <c r="F188" s="3">
        <v>0.53846153846153799</v>
      </c>
      <c r="G188">
        <v>14</v>
      </c>
      <c r="H188" t="str">
        <f t="shared" si="2"/>
        <v>3.Mayor a 10 P</v>
      </c>
    </row>
    <row r="189" spans="1:8" x14ac:dyDescent="0.25">
      <c r="A189" t="s">
        <v>3148</v>
      </c>
      <c r="B189">
        <v>2018</v>
      </c>
      <c r="C189" t="s">
        <v>3149</v>
      </c>
      <c r="D189" t="s">
        <v>3150</v>
      </c>
      <c r="E189" t="s">
        <v>2924</v>
      </c>
      <c r="F189" s="3">
        <v>0.52747252747252704</v>
      </c>
      <c r="G189">
        <v>50</v>
      </c>
      <c r="H189" t="str">
        <f t="shared" si="2"/>
        <v>5.Mayor a 40 P</v>
      </c>
    </row>
    <row r="190" spans="1:8" x14ac:dyDescent="0.25">
      <c r="A190" t="s">
        <v>3151</v>
      </c>
      <c r="B190">
        <v>2018</v>
      </c>
      <c r="C190" t="s">
        <v>3152</v>
      </c>
      <c r="D190" t="s">
        <v>3153</v>
      </c>
      <c r="E190" t="s">
        <v>2924</v>
      </c>
      <c r="F190" s="3">
        <v>0.52747252747252704</v>
      </c>
      <c r="G190">
        <v>8</v>
      </c>
      <c r="H190" t="str">
        <f t="shared" si="2"/>
        <v>2.Menor a 10 P</v>
      </c>
    </row>
    <row r="191" spans="1:8" x14ac:dyDescent="0.25">
      <c r="A191" t="s">
        <v>3154</v>
      </c>
      <c r="B191">
        <v>2018</v>
      </c>
      <c r="C191" t="s">
        <v>3155</v>
      </c>
      <c r="D191" t="s">
        <v>3156</v>
      </c>
      <c r="E191" t="s">
        <v>2924</v>
      </c>
      <c r="F191" s="3">
        <v>0.52747252747252704</v>
      </c>
      <c r="G191">
        <v>58</v>
      </c>
      <c r="H191" t="str">
        <f t="shared" si="2"/>
        <v>5.Mayor a 40 P</v>
      </c>
    </row>
    <row r="192" spans="1:8" x14ac:dyDescent="0.25">
      <c r="A192" t="s">
        <v>4951</v>
      </c>
      <c r="B192">
        <v>2019</v>
      </c>
      <c r="C192" t="s">
        <v>3157</v>
      </c>
      <c r="D192" t="s">
        <v>3158</v>
      </c>
      <c r="E192" s="3" t="s">
        <v>4947</v>
      </c>
      <c r="F192" s="3">
        <v>0.52747252747252704</v>
      </c>
      <c r="G192">
        <v>11</v>
      </c>
      <c r="H192" t="str">
        <f t="shared" si="2"/>
        <v>3.Mayor a 10 P</v>
      </c>
    </row>
    <row r="193" spans="1:8" x14ac:dyDescent="0.25">
      <c r="A193" t="s">
        <v>3159</v>
      </c>
      <c r="B193">
        <v>2021</v>
      </c>
      <c r="C193" t="s">
        <v>3160</v>
      </c>
      <c r="D193" t="s">
        <v>3161</v>
      </c>
      <c r="E193" t="s">
        <v>2924</v>
      </c>
      <c r="F193" s="3">
        <v>0.52747252747252704</v>
      </c>
      <c r="G193">
        <v>46</v>
      </c>
      <c r="H193" t="str">
        <f t="shared" si="2"/>
        <v>5.Mayor a 40 P</v>
      </c>
    </row>
    <row r="194" spans="1:8" x14ac:dyDescent="0.25">
      <c r="A194" t="s">
        <v>3162</v>
      </c>
      <c r="B194">
        <v>2020</v>
      </c>
      <c r="C194" t="s">
        <v>3163</v>
      </c>
      <c r="D194" t="s">
        <v>3164</v>
      </c>
      <c r="E194" t="s">
        <v>2924</v>
      </c>
      <c r="F194" s="3">
        <v>0.52747252747252704</v>
      </c>
      <c r="G194">
        <v>182</v>
      </c>
      <c r="H194" t="str">
        <f t="shared" si="2"/>
        <v>7.Mayor a 100 P</v>
      </c>
    </row>
    <row r="195" spans="1:8" x14ac:dyDescent="0.25">
      <c r="A195" t="s">
        <v>3165</v>
      </c>
      <c r="B195">
        <v>2020</v>
      </c>
      <c r="C195" t="s">
        <v>3166</v>
      </c>
      <c r="D195" t="s">
        <v>3167</v>
      </c>
      <c r="E195" t="s">
        <v>2924</v>
      </c>
      <c r="F195" s="3">
        <v>0.51648351648351598</v>
      </c>
      <c r="G195">
        <v>184</v>
      </c>
      <c r="H195" t="str">
        <f t="shared" ref="H195:H258" si="3">+IF(G195&gt;=100,"7.Mayor a 100 P",+IF(G195&gt;=70,"6.Mayor a 70 P",+IF(G195&gt;=40,"5.Mayor a 40 P",+IF(G195&gt;=20,"4.Mayor a 20 P",+IF(G195&gt;=10,"3.Mayor a 10 P",+IF(G195&lt;10,"2.Menor a 10 P",+IF(G195=0,"1.Sin Propiedades","Revsar")))))))</f>
        <v>7.Mayor a 100 P</v>
      </c>
    </row>
    <row r="196" spans="1:8" x14ac:dyDescent="0.25">
      <c r="A196" t="s">
        <v>3168</v>
      </c>
      <c r="B196">
        <v>2020</v>
      </c>
      <c r="C196" t="s">
        <v>3169</v>
      </c>
      <c r="D196" t="s">
        <v>3170</v>
      </c>
      <c r="E196" t="s">
        <v>2924</v>
      </c>
      <c r="F196" s="3">
        <v>0.51648351648351598</v>
      </c>
      <c r="G196">
        <v>11</v>
      </c>
      <c r="H196" t="str">
        <f t="shared" si="3"/>
        <v>3.Mayor a 10 P</v>
      </c>
    </row>
    <row r="197" spans="1:8" x14ac:dyDescent="0.25">
      <c r="A197" t="s">
        <v>3171</v>
      </c>
      <c r="B197">
        <v>2019</v>
      </c>
      <c r="C197" t="s">
        <v>3172</v>
      </c>
      <c r="D197" t="s">
        <v>3173</v>
      </c>
      <c r="E197" t="s">
        <v>2924</v>
      </c>
      <c r="F197" s="3">
        <v>0.51648351648351598</v>
      </c>
      <c r="G197">
        <v>29</v>
      </c>
      <c r="H197" t="str">
        <f t="shared" si="3"/>
        <v>4.Mayor a 20 P</v>
      </c>
    </row>
    <row r="198" spans="1:8" x14ac:dyDescent="0.25">
      <c r="A198" t="s">
        <v>3174</v>
      </c>
      <c r="B198">
        <v>2020</v>
      </c>
      <c r="C198" t="s">
        <v>3175</v>
      </c>
      <c r="D198" t="s">
        <v>3176</v>
      </c>
      <c r="E198" t="s">
        <v>2924</v>
      </c>
      <c r="F198" s="3">
        <v>0.51648351648351598</v>
      </c>
      <c r="G198">
        <v>44</v>
      </c>
      <c r="H198" t="str">
        <f t="shared" si="3"/>
        <v>5.Mayor a 40 P</v>
      </c>
    </row>
    <row r="199" spans="1:8" x14ac:dyDescent="0.25">
      <c r="A199" t="s">
        <v>3177</v>
      </c>
      <c r="B199">
        <v>2018</v>
      </c>
      <c r="C199" t="s">
        <v>3178</v>
      </c>
      <c r="D199" t="s">
        <v>3179</v>
      </c>
      <c r="E199" t="s">
        <v>2924</v>
      </c>
      <c r="F199" s="3">
        <v>0.51648351648351598</v>
      </c>
      <c r="G199">
        <v>34</v>
      </c>
      <c r="H199" t="str">
        <f t="shared" si="3"/>
        <v>4.Mayor a 20 P</v>
      </c>
    </row>
    <row r="200" spans="1:8" x14ac:dyDescent="0.25">
      <c r="A200" t="s">
        <v>3180</v>
      </c>
      <c r="B200">
        <v>2018</v>
      </c>
      <c r="C200" t="s">
        <v>3181</v>
      </c>
      <c r="D200" t="s">
        <v>3182</v>
      </c>
      <c r="E200" t="s">
        <v>2924</v>
      </c>
      <c r="F200" s="3">
        <v>0.51648351648351598</v>
      </c>
      <c r="G200">
        <v>116</v>
      </c>
      <c r="H200" t="str">
        <f t="shared" si="3"/>
        <v>7.Mayor a 100 P</v>
      </c>
    </row>
    <row r="201" spans="1:8" x14ac:dyDescent="0.25">
      <c r="A201" t="s">
        <v>3183</v>
      </c>
      <c r="B201">
        <v>2017</v>
      </c>
      <c r="C201" t="s">
        <v>3184</v>
      </c>
      <c r="D201" t="s">
        <v>3185</v>
      </c>
      <c r="E201" t="s">
        <v>2924</v>
      </c>
      <c r="F201" s="3">
        <v>0.50549450549450503</v>
      </c>
      <c r="G201">
        <v>29</v>
      </c>
      <c r="H201" t="str">
        <f t="shared" si="3"/>
        <v>4.Mayor a 20 P</v>
      </c>
    </row>
    <row r="202" spans="1:8" x14ac:dyDescent="0.25">
      <c r="A202" t="s">
        <v>3186</v>
      </c>
      <c r="B202">
        <v>2023</v>
      </c>
      <c r="C202" t="s">
        <v>3187</v>
      </c>
      <c r="D202" t="s">
        <v>3188</v>
      </c>
      <c r="E202" t="s">
        <v>2924</v>
      </c>
      <c r="F202" s="3">
        <v>0.50549450549450503</v>
      </c>
      <c r="G202">
        <v>19</v>
      </c>
      <c r="H202" t="str">
        <f t="shared" si="3"/>
        <v>3.Mayor a 10 P</v>
      </c>
    </row>
    <row r="203" spans="1:8" x14ac:dyDescent="0.25">
      <c r="A203" t="s">
        <v>3189</v>
      </c>
      <c r="B203">
        <v>2023</v>
      </c>
      <c r="C203" t="s">
        <v>2604</v>
      </c>
      <c r="D203" t="s">
        <v>3190</v>
      </c>
      <c r="E203" t="s">
        <v>2924</v>
      </c>
      <c r="F203" s="3">
        <v>0.50549450549450503</v>
      </c>
      <c r="G203">
        <v>119</v>
      </c>
      <c r="H203" t="str">
        <f t="shared" si="3"/>
        <v>7.Mayor a 100 P</v>
      </c>
    </row>
    <row r="204" spans="1:8" x14ac:dyDescent="0.25">
      <c r="A204" t="s">
        <v>3191</v>
      </c>
      <c r="B204">
        <v>2018</v>
      </c>
      <c r="C204" t="s">
        <v>3192</v>
      </c>
      <c r="D204" t="s">
        <v>3193</v>
      </c>
      <c r="E204" t="s">
        <v>2924</v>
      </c>
      <c r="F204" s="3">
        <v>0.50549450549450503</v>
      </c>
      <c r="G204">
        <v>2</v>
      </c>
      <c r="H204" t="str">
        <f t="shared" si="3"/>
        <v>2.Menor a 10 P</v>
      </c>
    </row>
    <row r="205" spans="1:8" x14ac:dyDescent="0.25">
      <c r="A205" t="s">
        <v>3194</v>
      </c>
      <c r="B205">
        <v>2018</v>
      </c>
      <c r="C205" t="s">
        <v>3195</v>
      </c>
      <c r="D205" t="s">
        <v>3196</v>
      </c>
      <c r="E205" t="s">
        <v>2924</v>
      </c>
      <c r="F205" s="3">
        <v>0.50549450549450503</v>
      </c>
      <c r="G205">
        <v>13</v>
      </c>
      <c r="H205" t="str">
        <f t="shared" si="3"/>
        <v>3.Mayor a 10 P</v>
      </c>
    </row>
    <row r="206" spans="1:8" x14ac:dyDescent="0.25">
      <c r="A206" t="s">
        <v>3197</v>
      </c>
      <c r="B206">
        <v>2022</v>
      </c>
      <c r="C206" t="s">
        <v>3198</v>
      </c>
      <c r="D206" t="s">
        <v>3199</v>
      </c>
      <c r="E206" t="s">
        <v>2924</v>
      </c>
      <c r="F206" s="3">
        <v>0.50549450549450503</v>
      </c>
      <c r="G206">
        <v>3</v>
      </c>
      <c r="H206" t="str">
        <f t="shared" si="3"/>
        <v>2.Menor a 10 P</v>
      </c>
    </row>
    <row r="207" spans="1:8" x14ac:dyDescent="0.25">
      <c r="A207" t="s">
        <v>3200</v>
      </c>
      <c r="B207">
        <v>2020</v>
      </c>
      <c r="C207" t="s">
        <v>3201</v>
      </c>
      <c r="D207" t="s">
        <v>3202</v>
      </c>
      <c r="E207" t="s">
        <v>2924</v>
      </c>
      <c r="F207" s="3">
        <v>0.50549450549450503</v>
      </c>
      <c r="G207">
        <v>10</v>
      </c>
      <c r="H207" t="str">
        <f t="shared" si="3"/>
        <v>3.Mayor a 10 P</v>
      </c>
    </row>
    <row r="208" spans="1:8" x14ac:dyDescent="0.25">
      <c r="A208" t="s">
        <v>3203</v>
      </c>
      <c r="B208">
        <v>2022</v>
      </c>
      <c r="C208" t="s">
        <v>3204</v>
      </c>
      <c r="D208" t="s">
        <v>3205</v>
      </c>
      <c r="E208" t="s">
        <v>2924</v>
      </c>
      <c r="F208" s="3">
        <v>0.50549450549450503</v>
      </c>
      <c r="G208">
        <v>249</v>
      </c>
      <c r="H208" t="str">
        <f t="shared" si="3"/>
        <v>7.Mayor a 100 P</v>
      </c>
    </row>
    <row r="209" spans="1:8" x14ac:dyDescent="0.25">
      <c r="A209" t="s">
        <v>3206</v>
      </c>
      <c r="B209">
        <v>2018</v>
      </c>
      <c r="C209" t="s">
        <v>3207</v>
      </c>
      <c r="D209" t="s">
        <v>3208</v>
      </c>
      <c r="E209" t="s">
        <v>2924</v>
      </c>
      <c r="F209" s="3">
        <v>0.50549450549450503</v>
      </c>
      <c r="G209">
        <v>8</v>
      </c>
      <c r="H209" t="str">
        <f t="shared" si="3"/>
        <v>2.Menor a 10 P</v>
      </c>
    </row>
    <row r="210" spans="1:8" x14ac:dyDescent="0.25">
      <c r="A210" t="s">
        <v>3209</v>
      </c>
      <c r="B210">
        <v>2019</v>
      </c>
      <c r="C210" t="s">
        <v>3210</v>
      </c>
      <c r="D210" t="s">
        <v>3211</v>
      </c>
      <c r="E210" t="s">
        <v>2924</v>
      </c>
      <c r="F210" s="3">
        <v>0.50549450549450503</v>
      </c>
      <c r="G210">
        <v>8</v>
      </c>
      <c r="H210" t="str">
        <f t="shared" si="3"/>
        <v>2.Menor a 10 P</v>
      </c>
    </row>
    <row r="211" spans="1:8" x14ac:dyDescent="0.25">
      <c r="A211" t="s">
        <v>3212</v>
      </c>
      <c r="B211">
        <v>2019</v>
      </c>
      <c r="C211" t="s">
        <v>3213</v>
      </c>
      <c r="D211" t="s">
        <v>3214</v>
      </c>
      <c r="E211" t="s">
        <v>2924</v>
      </c>
      <c r="F211" s="3">
        <v>0.50549450549450503</v>
      </c>
      <c r="G211">
        <v>288</v>
      </c>
      <c r="H211" t="str">
        <f t="shared" si="3"/>
        <v>7.Mayor a 100 P</v>
      </c>
    </row>
    <row r="212" spans="1:8" x14ac:dyDescent="0.25">
      <c r="A212" t="s">
        <v>3215</v>
      </c>
      <c r="B212">
        <v>2018</v>
      </c>
      <c r="C212" t="s">
        <v>3216</v>
      </c>
      <c r="D212" t="s">
        <v>3217</v>
      </c>
      <c r="E212" t="s">
        <v>2924</v>
      </c>
      <c r="F212" s="3">
        <v>0.50549450549450503</v>
      </c>
      <c r="G212">
        <v>25</v>
      </c>
      <c r="H212" t="str">
        <f t="shared" si="3"/>
        <v>4.Mayor a 20 P</v>
      </c>
    </row>
    <row r="213" spans="1:8" x14ac:dyDescent="0.25">
      <c r="A213" t="s">
        <v>3218</v>
      </c>
      <c r="B213">
        <v>2019</v>
      </c>
      <c r="C213" t="s">
        <v>3219</v>
      </c>
      <c r="D213" t="s">
        <v>3220</v>
      </c>
      <c r="E213" t="s">
        <v>2924</v>
      </c>
      <c r="F213" s="3">
        <v>0.50549450549450503</v>
      </c>
      <c r="G213">
        <v>1752</v>
      </c>
      <c r="H213" t="str">
        <f t="shared" si="3"/>
        <v>7.Mayor a 100 P</v>
      </c>
    </row>
    <row r="214" spans="1:8" x14ac:dyDescent="0.25">
      <c r="A214" t="s">
        <v>3221</v>
      </c>
      <c r="B214">
        <v>2018</v>
      </c>
      <c r="C214" t="s">
        <v>3222</v>
      </c>
      <c r="D214" t="s">
        <v>3223</v>
      </c>
      <c r="E214" t="s">
        <v>2924</v>
      </c>
      <c r="F214" s="3">
        <v>0.50549450549450503</v>
      </c>
      <c r="G214">
        <v>1</v>
      </c>
      <c r="H214" t="str">
        <f t="shared" si="3"/>
        <v>2.Menor a 10 P</v>
      </c>
    </row>
    <row r="215" spans="1:8" x14ac:dyDescent="0.25">
      <c r="A215" t="s">
        <v>3224</v>
      </c>
      <c r="B215">
        <v>2018</v>
      </c>
      <c r="C215" t="s">
        <v>3225</v>
      </c>
      <c r="D215" t="s">
        <v>3226</v>
      </c>
      <c r="E215" t="s">
        <v>2924</v>
      </c>
      <c r="F215" s="3">
        <v>0.48351648351648302</v>
      </c>
      <c r="G215">
        <v>44</v>
      </c>
      <c r="H215" t="str">
        <f t="shared" si="3"/>
        <v>5.Mayor a 40 P</v>
      </c>
    </row>
    <row r="216" spans="1:8" x14ac:dyDescent="0.25">
      <c r="A216" t="s">
        <v>3227</v>
      </c>
      <c r="B216">
        <v>2022</v>
      </c>
      <c r="C216" t="s">
        <v>3228</v>
      </c>
      <c r="D216" t="s">
        <v>3229</v>
      </c>
      <c r="E216" t="s">
        <v>2924</v>
      </c>
      <c r="F216" s="3">
        <v>0.48351648351648302</v>
      </c>
      <c r="G216">
        <v>65</v>
      </c>
      <c r="H216" t="str">
        <f t="shared" si="3"/>
        <v>5.Mayor a 40 P</v>
      </c>
    </row>
    <row r="217" spans="1:8" x14ac:dyDescent="0.25">
      <c r="A217" t="s">
        <v>3230</v>
      </c>
      <c r="B217">
        <v>2018</v>
      </c>
      <c r="C217" t="s">
        <v>3231</v>
      </c>
      <c r="D217" t="s">
        <v>3232</v>
      </c>
      <c r="E217" t="s">
        <v>2924</v>
      </c>
      <c r="F217" s="3">
        <v>0.48351648351648302</v>
      </c>
      <c r="G217">
        <v>96</v>
      </c>
      <c r="H217" t="str">
        <f t="shared" si="3"/>
        <v>6.Mayor a 70 P</v>
      </c>
    </row>
    <row r="218" spans="1:8" x14ac:dyDescent="0.25">
      <c r="A218" t="s">
        <v>3233</v>
      </c>
      <c r="B218">
        <v>2018</v>
      </c>
      <c r="C218" t="s">
        <v>3234</v>
      </c>
      <c r="D218" t="s">
        <v>3235</v>
      </c>
      <c r="E218" t="s">
        <v>2924</v>
      </c>
      <c r="F218" s="3">
        <v>0.48351648351648302</v>
      </c>
      <c r="G218">
        <v>62</v>
      </c>
      <c r="H218" t="str">
        <f t="shared" si="3"/>
        <v>5.Mayor a 40 P</v>
      </c>
    </row>
    <row r="219" spans="1:8" x14ac:dyDescent="0.25">
      <c r="A219" t="s">
        <v>3236</v>
      </c>
      <c r="B219">
        <v>2024</v>
      </c>
      <c r="C219" t="s">
        <v>2604</v>
      </c>
      <c r="D219" t="s">
        <v>3237</v>
      </c>
      <c r="E219" t="s">
        <v>2924</v>
      </c>
      <c r="F219" s="3">
        <v>0.48351648351648302</v>
      </c>
      <c r="G219">
        <v>23</v>
      </c>
      <c r="H219" t="str">
        <f t="shared" si="3"/>
        <v>4.Mayor a 20 P</v>
      </c>
    </row>
    <row r="220" spans="1:8" x14ac:dyDescent="0.25">
      <c r="A220" t="s">
        <v>3238</v>
      </c>
      <c r="B220">
        <v>2019</v>
      </c>
      <c r="C220" t="s">
        <v>3239</v>
      </c>
      <c r="D220" t="s">
        <v>3240</v>
      </c>
      <c r="E220" t="s">
        <v>2924</v>
      </c>
      <c r="F220" s="3">
        <v>0.48351648351648302</v>
      </c>
      <c r="G220">
        <v>99</v>
      </c>
      <c r="H220" t="str">
        <f t="shared" si="3"/>
        <v>6.Mayor a 70 P</v>
      </c>
    </row>
    <row r="221" spans="1:8" x14ac:dyDescent="0.25">
      <c r="A221" t="s">
        <v>3241</v>
      </c>
      <c r="B221">
        <v>2018</v>
      </c>
      <c r="C221" t="s">
        <v>3242</v>
      </c>
      <c r="D221" t="s">
        <v>3243</v>
      </c>
      <c r="E221" t="s">
        <v>2924</v>
      </c>
      <c r="F221" s="3">
        <v>0.47252747252747201</v>
      </c>
      <c r="G221">
        <v>170</v>
      </c>
      <c r="H221" t="str">
        <f t="shared" si="3"/>
        <v>7.Mayor a 100 P</v>
      </c>
    </row>
    <row r="222" spans="1:8" x14ac:dyDescent="0.25">
      <c r="A222" t="s">
        <v>3244</v>
      </c>
      <c r="B222">
        <v>2018</v>
      </c>
      <c r="C222" t="s">
        <v>3245</v>
      </c>
      <c r="D222" t="s">
        <v>3246</v>
      </c>
      <c r="E222" t="s">
        <v>2924</v>
      </c>
      <c r="F222" s="3">
        <v>0.47252747252747201</v>
      </c>
      <c r="G222">
        <v>35</v>
      </c>
      <c r="H222" t="str">
        <f t="shared" si="3"/>
        <v>4.Mayor a 20 P</v>
      </c>
    </row>
    <row r="223" spans="1:8" x14ac:dyDescent="0.25">
      <c r="A223" t="s">
        <v>3247</v>
      </c>
      <c r="B223">
        <v>2020</v>
      </c>
      <c r="C223" t="s">
        <v>3248</v>
      </c>
      <c r="D223" t="s">
        <v>3249</v>
      </c>
      <c r="E223" t="s">
        <v>2924</v>
      </c>
      <c r="F223" s="3">
        <v>0.46153846153846101</v>
      </c>
      <c r="G223">
        <v>14</v>
      </c>
      <c r="H223" t="str">
        <f t="shared" si="3"/>
        <v>3.Mayor a 10 P</v>
      </c>
    </row>
    <row r="224" spans="1:8" x14ac:dyDescent="0.25">
      <c r="A224" t="s">
        <v>3250</v>
      </c>
      <c r="B224">
        <v>2021</v>
      </c>
      <c r="C224" t="s">
        <v>3251</v>
      </c>
      <c r="D224" t="s">
        <v>3252</v>
      </c>
      <c r="E224" t="s">
        <v>3253</v>
      </c>
      <c r="F224" s="3">
        <v>0.45054945054945</v>
      </c>
      <c r="G224">
        <v>52</v>
      </c>
      <c r="H224" t="str">
        <f t="shared" si="3"/>
        <v>5.Mayor a 40 P</v>
      </c>
    </row>
    <row r="225" spans="1:8" x14ac:dyDescent="0.25">
      <c r="A225" t="s">
        <v>3254</v>
      </c>
      <c r="B225">
        <v>2021</v>
      </c>
      <c r="C225" t="s">
        <v>3255</v>
      </c>
      <c r="D225" t="s">
        <v>3256</v>
      </c>
      <c r="E225" t="s">
        <v>3253</v>
      </c>
      <c r="F225" s="3">
        <v>0.45054945054945</v>
      </c>
      <c r="G225">
        <v>150</v>
      </c>
      <c r="H225" t="str">
        <f t="shared" si="3"/>
        <v>7.Mayor a 100 P</v>
      </c>
    </row>
    <row r="226" spans="1:8" x14ac:dyDescent="0.25">
      <c r="A226" t="s">
        <v>3257</v>
      </c>
      <c r="B226">
        <v>2021</v>
      </c>
      <c r="C226" t="s">
        <v>2604</v>
      </c>
      <c r="D226" t="s">
        <v>3258</v>
      </c>
      <c r="E226" t="s">
        <v>3253</v>
      </c>
      <c r="F226" s="3">
        <v>0.45054945054945</v>
      </c>
      <c r="G226">
        <v>8</v>
      </c>
      <c r="H226" t="str">
        <f t="shared" si="3"/>
        <v>2.Menor a 10 P</v>
      </c>
    </row>
    <row r="227" spans="1:8" x14ac:dyDescent="0.25">
      <c r="A227" t="s">
        <v>3259</v>
      </c>
      <c r="B227">
        <v>2021</v>
      </c>
      <c r="C227" t="s">
        <v>3260</v>
      </c>
      <c r="D227" t="s">
        <v>3261</v>
      </c>
      <c r="E227" t="s">
        <v>3253</v>
      </c>
      <c r="F227" s="3">
        <v>0.45054945054945</v>
      </c>
      <c r="G227">
        <v>14</v>
      </c>
      <c r="H227" t="str">
        <f t="shared" si="3"/>
        <v>3.Mayor a 10 P</v>
      </c>
    </row>
    <row r="228" spans="1:8" x14ac:dyDescent="0.25">
      <c r="A228" t="s">
        <v>3262</v>
      </c>
      <c r="B228">
        <v>2021</v>
      </c>
      <c r="C228" t="s">
        <v>3263</v>
      </c>
      <c r="D228" t="s">
        <v>3264</v>
      </c>
      <c r="E228" t="s">
        <v>3253</v>
      </c>
      <c r="F228" s="3">
        <v>0.45054945054945</v>
      </c>
      <c r="G228">
        <v>8</v>
      </c>
      <c r="H228" t="str">
        <f t="shared" si="3"/>
        <v>2.Menor a 10 P</v>
      </c>
    </row>
    <row r="229" spans="1:8" x14ac:dyDescent="0.25">
      <c r="A229" t="s">
        <v>3265</v>
      </c>
      <c r="B229">
        <v>2021</v>
      </c>
      <c r="C229" t="s">
        <v>3266</v>
      </c>
      <c r="D229" t="s">
        <v>3267</v>
      </c>
      <c r="E229" t="s">
        <v>3253</v>
      </c>
      <c r="F229" s="3">
        <v>0.45054945054945</v>
      </c>
      <c r="G229">
        <v>50</v>
      </c>
      <c r="H229" t="str">
        <f t="shared" si="3"/>
        <v>5.Mayor a 40 P</v>
      </c>
    </row>
    <row r="230" spans="1:8" x14ac:dyDescent="0.25">
      <c r="A230" t="s">
        <v>3268</v>
      </c>
      <c r="B230">
        <v>2021</v>
      </c>
      <c r="C230" t="s">
        <v>3269</v>
      </c>
      <c r="D230" t="s">
        <v>3270</v>
      </c>
      <c r="E230" t="s">
        <v>3253</v>
      </c>
      <c r="F230" s="3">
        <v>0.45054945054945</v>
      </c>
      <c r="G230">
        <v>19</v>
      </c>
      <c r="H230" t="str">
        <f t="shared" si="3"/>
        <v>3.Mayor a 10 P</v>
      </c>
    </row>
    <row r="231" spans="1:8" x14ac:dyDescent="0.25">
      <c r="A231" t="s">
        <v>3271</v>
      </c>
      <c r="B231">
        <v>2022</v>
      </c>
      <c r="C231" t="s">
        <v>3272</v>
      </c>
      <c r="D231" t="s">
        <v>3273</v>
      </c>
      <c r="E231" t="s">
        <v>3253</v>
      </c>
      <c r="F231" s="3">
        <v>0.45054945054945</v>
      </c>
      <c r="G231">
        <v>71</v>
      </c>
      <c r="H231" t="str">
        <f t="shared" si="3"/>
        <v>6.Mayor a 70 P</v>
      </c>
    </row>
    <row r="232" spans="1:8" x14ac:dyDescent="0.25">
      <c r="A232" t="s">
        <v>3274</v>
      </c>
      <c r="B232">
        <v>2022</v>
      </c>
      <c r="C232" t="s">
        <v>3275</v>
      </c>
      <c r="D232" t="s">
        <v>3276</v>
      </c>
      <c r="E232" t="s">
        <v>3253</v>
      </c>
      <c r="F232" s="3">
        <v>0.45054945054945</v>
      </c>
      <c r="G232">
        <v>9</v>
      </c>
      <c r="H232" t="str">
        <f t="shared" si="3"/>
        <v>2.Menor a 10 P</v>
      </c>
    </row>
    <row r="233" spans="1:8" x14ac:dyDescent="0.25">
      <c r="A233" t="s">
        <v>3277</v>
      </c>
      <c r="B233">
        <v>2022</v>
      </c>
      <c r="C233" t="s">
        <v>2604</v>
      </c>
      <c r="D233" t="s">
        <v>3278</v>
      </c>
      <c r="E233" t="s">
        <v>3253</v>
      </c>
      <c r="F233" s="3">
        <v>0.45054945054945</v>
      </c>
      <c r="G233">
        <v>18</v>
      </c>
      <c r="H233" t="str">
        <f t="shared" si="3"/>
        <v>3.Mayor a 10 P</v>
      </c>
    </row>
    <row r="234" spans="1:8" x14ac:dyDescent="0.25">
      <c r="A234" t="s">
        <v>3279</v>
      </c>
      <c r="B234">
        <v>2022</v>
      </c>
      <c r="C234" t="s">
        <v>3280</v>
      </c>
      <c r="D234" t="s">
        <v>3281</v>
      </c>
      <c r="E234" t="s">
        <v>3253</v>
      </c>
      <c r="F234" s="3">
        <v>0.45054945054945</v>
      </c>
      <c r="G234">
        <v>22</v>
      </c>
      <c r="H234" t="str">
        <f t="shared" si="3"/>
        <v>4.Mayor a 20 P</v>
      </c>
    </row>
    <row r="235" spans="1:8" x14ac:dyDescent="0.25">
      <c r="A235" t="s">
        <v>3282</v>
      </c>
      <c r="B235">
        <v>2022</v>
      </c>
      <c r="C235" t="s">
        <v>3283</v>
      </c>
      <c r="D235" t="s">
        <v>3284</v>
      </c>
      <c r="E235" t="s">
        <v>3253</v>
      </c>
      <c r="F235" s="3">
        <v>0.45054945054945</v>
      </c>
      <c r="G235">
        <v>17</v>
      </c>
      <c r="H235" t="str">
        <f t="shared" si="3"/>
        <v>3.Mayor a 10 P</v>
      </c>
    </row>
    <row r="236" spans="1:8" x14ac:dyDescent="0.25">
      <c r="A236" t="s">
        <v>3285</v>
      </c>
      <c r="B236">
        <v>2022</v>
      </c>
      <c r="C236" t="s">
        <v>3286</v>
      </c>
      <c r="D236" t="s">
        <v>3287</v>
      </c>
      <c r="E236" t="s">
        <v>3253</v>
      </c>
      <c r="F236" s="3">
        <v>0.45054945054945</v>
      </c>
      <c r="G236">
        <v>18</v>
      </c>
      <c r="H236" t="str">
        <f t="shared" si="3"/>
        <v>3.Mayor a 10 P</v>
      </c>
    </row>
    <row r="237" spans="1:8" x14ac:dyDescent="0.25">
      <c r="A237" t="s">
        <v>3288</v>
      </c>
      <c r="B237">
        <v>2021</v>
      </c>
      <c r="C237" t="s">
        <v>3289</v>
      </c>
      <c r="D237" t="s">
        <v>3290</v>
      </c>
      <c r="E237" t="s">
        <v>3253</v>
      </c>
      <c r="F237" s="3">
        <v>0.45054945054945</v>
      </c>
      <c r="G237">
        <v>9</v>
      </c>
      <c r="H237" t="str">
        <f t="shared" si="3"/>
        <v>2.Menor a 10 P</v>
      </c>
    </row>
    <row r="238" spans="1:8" x14ac:dyDescent="0.25">
      <c r="A238" t="s">
        <v>3291</v>
      </c>
      <c r="B238">
        <v>2021</v>
      </c>
      <c r="C238" t="s">
        <v>3292</v>
      </c>
      <c r="D238" t="s">
        <v>3293</v>
      </c>
      <c r="E238" t="s">
        <v>3253</v>
      </c>
      <c r="F238" s="3">
        <v>0.45054945054945</v>
      </c>
      <c r="G238">
        <v>28</v>
      </c>
      <c r="H238" t="str">
        <f t="shared" si="3"/>
        <v>4.Mayor a 20 P</v>
      </c>
    </row>
    <row r="239" spans="1:8" x14ac:dyDescent="0.25">
      <c r="A239" t="s">
        <v>3294</v>
      </c>
      <c r="B239">
        <v>2021</v>
      </c>
      <c r="C239" t="s">
        <v>3295</v>
      </c>
      <c r="D239" t="s">
        <v>3296</v>
      </c>
      <c r="E239" t="s">
        <v>3253</v>
      </c>
      <c r="F239" s="3">
        <v>0.45054945054945</v>
      </c>
      <c r="G239">
        <v>61</v>
      </c>
      <c r="H239" t="str">
        <f t="shared" si="3"/>
        <v>5.Mayor a 40 P</v>
      </c>
    </row>
    <row r="240" spans="1:8" x14ac:dyDescent="0.25">
      <c r="A240" t="s">
        <v>3297</v>
      </c>
      <c r="B240">
        <v>2018</v>
      </c>
      <c r="C240" t="s">
        <v>3298</v>
      </c>
      <c r="D240" t="s">
        <v>3299</v>
      </c>
      <c r="E240" t="s">
        <v>3253</v>
      </c>
      <c r="F240" s="3">
        <v>0.45054945054945</v>
      </c>
      <c r="G240">
        <v>72</v>
      </c>
      <c r="H240" t="str">
        <f t="shared" si="3"/>
        <v>6.Mayor a 70 P</v>
      </c>
    </row>
    <row r="241" spans="1:8" x14ac:dyDescent="0.25">
      <c r="A241" t="s">
        <v>3300</v>
      </c>
      <c r="B241">
        <v>2018</v>
      </c>
      <c r="C241" t="s">
        <v>3301</v>
      </c>
      <c r="D241" t="s">
        <v>3302</v>
      </c>
      <c r="E241" t="s">
        <v>3253</v>
      </c>
      <c r="F241" s="3">
        <v>0.45054945054945</v>
      </c>
      <c r="G241">
        <v>34</v>
      </c>
      <c r="H241" t="str">
        <f t="shared" si="3"/>
        <v>4.Mayor a 20 P</v>
      </c>
    </row>
    <row r="242" spans="1:8" x14ac:dyDescent="0.25">
      <c r="A242" t="s">
        <v>3303</v>
      </c>
      <c r="B242">
        <v>2018</v>
      </c>
      <c r="C242" t="s">
        <v>3304</v>
      </c>
      <c r="D242" t="s">
        <v>3305</v>
      </c>
      <c r="E242" t="s">
        <v>3253</v>
      </c>
      <c r="F242" s="3">
        <v>0.45054945054945</v>
      </c>
      <c r="G242">
        <v>3</v>
      </c>
      <c r="H242" t="str">
        <f t="shared" si="3"/>
        <v>2.Menor a 10 P</v>
      </c>
    </row>
    <row r="243" spans="1:8" x14ac:dyDescent="0.25">
      <c r="A243" t="s">
        <v>3306</v>
      </c>
      <c r="B243">
        <v>2018</v>
      </c>
      <c r="C243" t="s">
        <v>3307</v>
      </c>
      <c r="D243" t="s">
        <v>3308</v>
      </c>
      <c r="E243" t="s">
        <v>3253</v>
      </c>
      <c r="F243" s="3">
        <v>0.45054945054945</v>
      </c>
      <c r="G243">
        <v>39</v>
      </c>
      <c r="H243" t="str">
        <f t="shared" si="3"/>
        <v>4.Mayor a 20 P</v>
      </c>
    </row>
    <row r="244" spans="1:8" x14ac:dyDescent="0.25">
      <c r="A244" t="s">
        <v>3309</v>
      </c>
      <c r="B244">
        <v>2021</v>
      </c>
      <c r="C244" t="s">
        <v>3310</v>
      </c>
      <c r="D244" t="s">
        <v>3311</v>
      </c>
      <c r="E244" t="s">
        <v>3253</v>
      </c>
      <c r="F244" s="3">
        <v>0.45054945054945</v>
      </c>
      <c r="G244">
        <v>6</v>
      </c>
      <c r="H244" t="str">
        <f t="shared" si="3"/>
        <v>2.Menor a 10 P</v>
      </c>
    </row>
    <row r="245" spans="1:8" x14ac:dyDescent="0.25">
      <c r="A245" t="s">
        <v>3312</v>
      </c>
      <c r="B245">
        <v>2022</v>
      </c>
      <c r="C245" t="s">
        <v>2604</v>
      </c>
      <c r="D245" t="s">
        <v>3313</v>
      </c>
      <c r="E245" t="s">
        <v>3253</v>
      </c>
      <c r="F245" s="3">
        <v>0.45054945054945</v>
      </c>
      <c r="G245">
        <v>10</v>
      </c>
      <c r="H245" t="str">
        <f t="shared" si="3"/>
        <v>3.Mayor a 10 P</v>
      </c>
    </row>
    <row r="246" spans="1:8" x14ac:dyDescent="0.25">
      <c r="A246" t="s">
        <v>3314</v>
      </c>
      <c r="B246">
        <v>2021</v>
      </c>
      <c r="C246" t="s">
        <v>2604</v>
      </c>
      <c r="D246" t="s">
        <v>3315</v>
      </c>
      <c r="E246" t="s">
        <v>3253</v>
      </c>
      <c r="F246" s="3">
        <v>0.45054945054945</v>
      </c>
      <c r="G246">
        <v>24</v>
      </c>
      <c r="H246" t="str">
        <f t="shared" si="3"/>
        <v>4.Mayor a 20 P</v>
      </c>
    </row>
    <row r="247" spans="1:8" x14ac:dyDescent="0.25">
      <c r="A247" t="s">
        <v>3316</v>
      </c>
      <c r="B247">
        <v>2021</v>
      </c>
      <c r="C247" t="s">
        <v>3317</v>
      </c>
      <c r="D247" t="s">
        <v>3318</v>
      </c>
      <c r="E247" t="s">
        <v>3253</v>
      </c>
      <c r="F247" s="3">
        <v>0.45054945054945</v>
      </c>
      <c r="G247">
        <v>7</v>
      </c>
      <c r="H247" t="str">
        <f t="shared" si="3"/>
        <v>2.Menor a 10 P</v>
      </c>
    </row>
    <row r="248" spans="1:8" x14ac:dyDescent="0.25">
      <c r="A248" t="s">
        <v>3319</v>
      </c>
      <c r="B248">
        <v>2021</v>
      </c>
      <c r="C248" t="s">
        <v>3320</v>
      </c>
      <c r="D248" t="s">
        <v>3321</v>
      </c>
      <c r="E248" t="s">
        <v>3253</v>
      </c>
      <c r="F248" s="3">
        <v>0.45054945054945</v>
      </c>
      <c r="G248">
        <v>7</v>
      </c>
      <c r="H248" t="str">
        <f t="shared" si="3"/>
        <v>2.Menor a 10 P</v>
      </c>
    </row>
    <row r="249" spans="1:8" x14ac:dyDescent="0.25">
      <c r="A249" t="s">
        <v>3322</v>
      </c>
      <c r="B249">
        <v>2021</v>
      </c>
      <c r="C249" t="s">
        <v>2604</v>
      </c>
      <c r="D249" t="s">
        <v>3323</v>
      </c>
      <c r="E249" t="s">
        <v>3253</v>
      </c>
      <c r="F249" s="3">
        <v>0.45054945054945</v>
      </c>
      <c r="G249">
        <v>8</v>
      </c>
      <c r="H249" t="str">
        <f t="shared" si="3"/>
        <v>2.Menor a 10 P</v>
      </c>
    </row>
    <row r="250" spans="1:8" x14ac:dyDescent="0.25">
      <c r="A250" t="s">
        <v>3324</v>
      </c>
      <c r="B250">
        <v>2021</v>
      </c>
      <c r="C250" t="s">
        <v>2604</v>
      </c>
      <c r="D250" t="s">
        <v>3325</v>
      </c>
      <c r="E250" t="s">
        <v>3253</v>
      </c>
      <c r="F250" s="3">
        <v>0.45054945054945</v>
      </c>
      <c r="G250">
        <v>14</v>
      </c>
      <c r="H250" t="str">
        <f t="shared" si="3"/>
        <v>3.Mayor a 10 P</v>
      </c>
    </row>
    <row r="251" spans="1:8" x14ac:dyDescent="0.25">
      <c r="A251" t="s">
        <v>3326</v>
      </c>
      <c r="B251">
        <v>2021</v>
      </c>
      <c r="C251" t="s">
        <v>3327</v>
      </c>
      <c r="D251" t="s">
        <v>3328</v>
      </c>
      <c r="E251" t="s">
        <v>3253</v>
      </c>
      <c r="F251" s="3">
        <v>0.45054945054945</v>
      </c>
      <c r="G251">
        <v>6</v>
      </c>
      <c r="H251" t="str">
        <f t="shared" si="3"/>
        <v>2.Menor a 10 P</v>
      </c>
    </row>
    <row r="252" spans="1:8" x14ac:dyDescent="0.25">
      <c r="A252" t="s">
        <v>3329</v>
      </c>
      <c r="B252">
        <v>2021</v>
      </c>
      <c r="C252" t="s">
        <v>2604</v>
      </c>
      <c r="D252" t="s">
        <v>3330</v>
      </c>
      <c r="E252" t="s">
        <v>3253</v>
      </c>
      <c r="F252" s="3">
        <v>0.45054945054945</v>
      </c>
      <c r="G252">
        <v>3</v>
      </c>
      <c r="H252" t="str">
        <f t="shared" si="3"/>
        <v>2.Menor a 10 P</v>
      </c>
    </row>
    <row r="253" spans="1:8" x14ac:dyDescent="0.25">
      <c r="A253" t="s">
        <v>3331</v>
      </c>
      <c r="B253">
        <v>2021</v>
      </c>
      <c r="C253" t="s">
        <v>2604</v>
      </c>
      <c r="D253" t="s">
        <v>3332</v>
      </c>
      <c r="E253" t="s">
        <v>3253</v>
      </c>
      <c r="F253" s="3">
        <v>0.45054945054945</v>
      </c>
      <c r="G253">
        <v>1</v>
      </c>
      <c r="H253" t="str">
        <f t="shared" si="3"/>
        <v>2.Menor a 10 P</v>
      </c>
    </row>
    <row r="254" spans="1:8" x14ac:dyDescent="0.25">
      <c r="A254" t="s">
        <v>3333</v>
      </c>
      <c r="B254">
        <v>2021</v>
      </c>
      <c r="C254" t="s">
        <v>2604</v>
      </c>
      <c r="D254" t="s">
        <v>3334</v>
      </c>
      <c r="E254" t="s">
        <v>3253</v>
      </c>
      <c r="F254" s="3">
        <v>0.45054945054945</v>
      </c>
      <c r="G254">
        <v>26</v>
      </c>
      <c r="H254" t="str">
        <f t="shared" si="3"/>
        <v>4.Mayor a 20 P</v>
      </c>
    </row>
    <row r="255" spans="1:8" x14ac:dyDescent="0.25">
      <c r="A255" t="s">
        <v>3335</v>
      </c>
      <c r="B255">
        <v>2022</v>
      </c>
      <c r="C255" t="s">
        <v>3336</v>
      </c>
      <c r="D255" t="s">
        <v>3337</v>
      </c>
      <c r="E255" t="s">
        <v>3253</v>
      </c>
      <c r="F255" s="3">
        <v>0.45054945054945</v>
      </c>
      <c r="G255">
        <v>15</v>
      </c>
      <c r="H255" t="str">
        <f t="shared" si="3"/>
        <v>3.Mayor a 10 P</v>
      </c>
    </row>
    <row r="256" spans="1:8" x14ac:dyDescent="0.25">
      <c r="A256" t="s">
        <v>3338</v>
      </c>
      <c r="B256">
        <v>2022</v>
      </c>
      <c r="C256" t="s">
        <v>3339</v>
      </c>
      <c r="D256" t="s">
        <v>3340</v>
      </c>
      <c r="E256" t="s">
        <v>3253</v>
      </c>
      <c r="F256" s="3">
        <v>0.45054945054945</v>
      </c>
      <c r="G256">
        <v>43</v>
      </c>
      <c r="H256" t="str">
        <f t="shared" si="3"/>
        <v>5.Mayor a 40 P</v>
      </c>
    </row>
    <row r="257" spans="1:8" x14ac:dyDescent="0.25">
      <c r="A257" t="s">
        <v>3341</v>
      </c>
      <c r="B257">
        <v>2022</v>
      </c>
      <c r="C257" t="s">
        <v>3342</v>
      </c>
      <c r="D257" t="s">
        <v>3343</v>
      </c>
      <c r="E257" t="s">
        <v>3253</v>
      </c>
      <c r="F257" s="3">
        <v>0.45054945054945</v>
      </c>
      <c r="G257">
        <v>26</v>
      </c>
      <c r="H257" t="str">
        <f t="shared" si="3"/>
        <v>4.Mayor a 20 P</v>
      </c>
    </row>
    <row r="258" spans="1:8" x14ac:dyDescent="0.25">
      <c r="A258" t="s">
        <v>3344</v>
      </c>
      <c r="B258">
        <v>2022</v>
      </c>
      <c r="C258" t="s">
        <v>2604</v>
      </c>
      <c r="D258" t="s">
        <v>3345</v>
      </c>
      <c r="E258" t="s">
        <v>3253</v>
      </c>
      <c r="F258" s="3">
        <v>0.45054945054945</v>
      </c>
      <c r="G258">
        <v>9</v>
      </c>
      <c r="H258" t="str">
        <f t="shared" si="3"/>
        <v>2.Menor a 10 P</v>
      </c>
    </row>
    <row r="259" spans="1:8" x14ac:dyDescent="0.25">
      <c r="A259" t="s">
        <v>3346</v>
      </c>
      <c r="B259">
        <v>2022</v>
      </c>
      <c r="C259" t="s">
        <v>3347</v>
      </c>
      <c r="D259" t="s">
        <v>3348</v>
      </c>
      <c r="E259" t="s">
        <v>3253</v>
      </c>
      <c r="F259" s="3">
        <v>0.45054945054945</v>
      </c>
      <c r="G259">
        <v>15</v>
      </c>
      <c r="H259" t="str">
        <f t="shared" ref="H259:H322" si="4">+IF(G259&gt;=100,"7.Mayor a 100 P",+IF(G259&gt;=70,"6.Mayor a 70 P",+IF(G259&gt;=40,"5.Mayor a 40 P",+IF(G259&gt;=20,"4.Mayor a 20 P",+IF(G259&gt;=10,"3.Mayor a 10 P",+IF(G259&lt;10,"2.Menor a 10 P",+IF(G259=0,"1.Sin Propiedades","Revsar")))))))</f>
        <v>3.Mayor a 10 P</v>
      </c>
    </row>
    <row r="260" spans="1:8" x14ac:dyDescent="0.25">
      <c r="A260" t="s">
        <v>3349</v>
      </c>
      <c r="B260">
        <v>2022</v>
      </c>
      <c r="C260" t="s">
        <v>3350</v>
      </c>
      <c r="D260" t="s">
        <v>3351</v>
      </c>
      <c r="E260" t="s">
        <v>3253</v>
      </c>
      <c r="F260" s="3">
        <v>0.45054945054945</v>
      </c>
      <c r="G260">
        <v>96</v>
      </c>
      <c r="H260" t="str">
        <f t="shared" si="4"/>
        <v>6.Mayor a 70 P</v>
      </c>
    </row>
    <row r="261" spans="1:8" x14ac:dyDescent="0.25">
      <c r="A261" t="s">
        <v>3352</v>
      </c>
      <c r="B261">
        <v>2022</v>
      </c>
      <c r="C261" t="s">
        <v>3353</v>
      </c>
      <c r="D261" t="s">
        <v>3354</v>
      </c>
      <c r="E261" t="s">
        <v>3253</v>
      </c>
      <c r="F261" s="3">
        <v>0.45054945054945</v>
      </c>
      <c r="G261">
        <v>12</v>
      </c>
      <c r="H261" t="str">
        <f t="shared" si="4"/>
        <v>3.Mayor a 10 P</v>
      </c>
    </row>
    <row r="262" spans="1:8" x14ac:dyDescent="0.25">
      <c r="A262" t="s">
        <v>3355</v>
      </c>
      <c r="B262">
        <v>2022</v>
      </c>
      <c r="C262" t="s">
        <v>2604</v>
      </c>
      <c r="D262" t="s">
        <v>3356</v>
      </c>
      <c r="E262" t="s">
        <v>3253</v>
      </c>
      <c r="F262" s="3">
        <v>0.45054945054945</v>
      </c>
      <c r="G262">
        <v>2</v>
      </c>
      <c r="H262" t="str">
        <f t="shared" si="4"/>
        <v>2.Menor a 10 P</v>
      </c>
    </row>
    <row r="263" spans="1:8" x14ac:dyDescent="0.25">
      <c r="A263" t="s">
        <v>3357</v>
      </c>
      <c r="B263">
        <v>2022</v>
      </c>
      <c r="C263" t="s">
        <v>3358</v>
      </c>
      <c r="D263" t="s">
        <v>3359</v>
      </c>
      <c r="E263" t="s">
        <v>3253</v>
      </c>
      <c r="F263" s="3">
        <v>0.45054945054945</v>
      </c>
      <c r="G263">
        <v>32</v>
      </c>
      <c r="H263" t="str">
        <f t="shared" si="4"/>
        <v>4.Mayor a 20 P</v>
      </c>
    </row>
    <row r="264" spans="1:8" x14ac:dyDescent="0.25">
      <c r="A264" t="s">
        <v>3360</v>
      </c>
      <c r="B264">
        <v>2018</v>
      </c>
      <c r="C264" t="s">
        <v>3361</v>
      </c>
      <c r="D264" t="s">
        <v>3362</v>
      </c>
      <c r="E264" t="s">
        <v>3253</v>
      </c>
      <c r="F264" s="3">
        <v>0.45054945054945</v>
      </c>
      <c r="G264">
        <v>6</v>
      </c>
      <c r="H264" t="str">
        <f t="shared" si="4"/>
        <v>2.Menor a 10 P</v>
      </c>
    </row>
    <row r="265" spans="1:8" x14ac:dyDescent="0.25">
      <c r="A265" t="s">
        <v>3363</v>
      </c>
      <c r="B265">
        <v>2018</v>
      </c>
      <c r="C265" t="s">
        <v>3364</v>
      </c>
      <c r="D265" t="s">
        <v>3365</v>
      </c>
      <c r="E265" t="s">
        <v>3253</v>
      </c>
      <c r="F265" s="3">
        <v>0.45054945054945</v>
      </c>
      <c r="G265">
        <v>3</v>
      </c>
      <c r="H265" t="str">
        <f t="shared" si="4"/>
        <v>2.Menor a 10 P</v>
      </c>
    </row>
    <row r="266" spans="1:8" x14ac:dyDescent="0.25">
      <c r="A266" t="s">
        <v>3366</v>
      </c>
      <c r="B266">
        <v>2018</v>
      </c>
      <c r="C266" t="s">
        <v>3367</v>
      </c>
      <c r="D266" t="s">
        <v>3368</v>
      </c>
      <c r="E266" t="s">
        <v>3253</v>
      </c>
      <c r="F266" s="3">
        <v>0.45054945054945</v>
      </c>
      <c r="G266">
        <v>10</v>
      </c>
      <c r="H266" t="str">
        <f t="shared" si="4"/>
        <v>3.Mayor a 10 P</v>
      </c>
    </row>
    <row r="267" spans="1:8" x14ac:dyDescent="0.25">
      <c r="A267" t="s">
        <v>3369</v>
      </c>
      <c r="B267">
        <v>2018</v>
      </c>
      <c r="C267" t="s">
        <v>3370</v>
      </c>
      <c r="D267" t="s">
        <v>3371</v>
      </c>
      <c r="E267" t="s">
        <v>3253</v>
      </c>
      <c r="F267" s="3">
        <v>0.45054945054945</v>
      </c>
      <c r="G267">
        <v>4</v>
      </c>
      <c r="H267" t="str">
        <f t="shared" si="4"/>
        <v>2.Menor a 10 P</v>
      </c>
    </row>
    <row r="268" spans="1:8" x14ac:dyDescent="0.25">
      <c r="A268" t="s">
        <v>3372</v>
      </c>
      <c r="B268">
        <v>2018</v>
      </c>
      <c r="C268" t="s">
        <v>3373</v>
      </c>
      <c r="D268" t="s">
        <v>3374</v>
      </c>
      <c r="E268" t="s">
        <v>3253</v>
      </c>
      <c r="F268" s="3">
        <v>0.45054945054945</v>
      </c>
      <c r="G268">
        <v>7</v>
      </c>
      <c r="H268" t="str">
        <f t="shared" si="4"/>
        <v>2.Menor a 10 P</v>
      </c>
    </row>
    <row r="269" spans="1:8" x14ac:dyDescent="0.25">
      <c r="A269" t="s">
        <v>3375</v>
      </c>
      <c r="B269">
        <v>2018</v>
      </c>
      <c r="C269" t="s">
        <v>3376</v>
      </c>
      <c r="D269" t="s">
        <v>3377</v>
      </c>
      <c r="E269" t="s">
        <v>3253</v>
      </c>
      <c r="F269" s="3">
        <v>0.45054945054945</v>
      </c>
      <c r="G269">
        <v>52</v>
      </c>
      <c r="H269" t="str">
        <f t="shared" si="4"/>
        <v>5.Mayor a 40 P</v>
      </c>
    </row>
    <row r="270" spans="1:8" x14ac:dyDescent="0.25">
      <c r="A270" t="s">
        <v>3378</v>
      </c>
      <c r="B270">
        <v>2018</v>
      </c>
      <c r="C270" t="s">
        <v>3379</v>
      </c>
      <c r="D270" t="s">
        <v>3380</v>
      </c>
      <c r="E270" t="s">
        <v>3253</v>
      </c>
      <c r="F270" s="3">
        <v>0.45054945054945</v>
      </c>
      <c r="G270">
        <v>54</v>
      </c>
      <c r="H270" t="str">
        <f t="shared" si="4"/>
        <v>5.Mayor a 40 P</v>
      </c>
    </row>
    <row r="271" spans="1:8" x14ac:dyDescent="0.25">
      <c r="A271" t="s">
        <v>3381</v>
      </c>
      <c r="B271">
        <v>2022</v>
      </c>
      <c r="C271" t="s">
        <v>3382</v>
      </c>
      <c r="D271" t="s">
        <v>3383</v>
      </c>
      <c r="E271" t="s">
        <v>3253</v>
      </c>
      <c r="F271" s="3">
        <v>0.45054945054945</v>
      </c>
      <c r="G271">
        <v>10</v>
      </c>
      <c r="H271" t="str">
        <f t="shared" si="4"/>
        <v>3.Mayor a 10 P</v>
      </c>
    </row>
    <row r="272" spans="1:8" x14ac:dyDescent="0.25">
      <c r="A272" t="s">
        <v>3384</v>
      </c>
      <c r="B272">
        <v>2018</v>
      </c>
      <c r="C272" t="s">
        <v>3385</v>
      </c>
      <c r="D272" t="s">
        <v>3386</v>
      </c>
      <c r="E272" t="s">
        <v>3253</v>
      </c>
      <c r="F272" s="3">
        <v>0.45054945054945</v>
      </c>
      <c r="G272">
        <v>12</v>
      </c>
      <c r="H272" t="str">
        <f t="shared" si="4"/>
        <v>3.Mayor a 10 P</v>
      </c>
    </row>
    <row r="273" spans="1:8" x14ac:dyDescent="0.25">
      <c r="A273" t="s">
        <v>3387</v>
      </c>
      <c r="B273">
        <v>2022</v>
      </c>
      <c r="C273" t="s">
        <v>3388</v>
      </c>
      <c r="D273" t="s">
        <v>3389</v>
      </c>
      <c r="E273" t="s">
        <v>3253</v>
      </c>
      <c r="F273" s="3">
        <v>0.45054945054945</v>
      </c>
      <c r="G273">
        <v>17</v>
      </c>
      <c r="H273" t="str">
        <f t="shared" si="4"/>
        <v>3.Mayor a 10 P</v>
      </c>
    </row>
    <row r="274" spans="1:8" x14ac:dyDescent="0.25">
      <c r="A274" t="s">
        <v>3390</v>
      </c>
      <c r="B274">
        <v>2021</v>
      </c>
      <c r="C274" t="s">
        <v>3391</v>
      </c>
      <c r="D274" t="s">
        <v>3392</v>
      </c>
      <c r="E274" t="s">
        <v>3253</v>
      </c>
      <c r="F274" s="3">
        <v>0.45054945054945</v>
      </c>
      <c r="G274">
        <v>8</v>
      </c>
      <c r="H274" t="str">
        <f t="shared" si="4"/>
        <v>2.Menor a 10 P</v>
      </c>
    </row>
    <row r="275" spans="1:8" x14ac:dyDescent="0.25">
      <c r="A275" t="s">
        <v>3393</v>
      </c>
      <c r="B275">
        <v>2022</v>
      </c>
      <c r="C275" t="s">
        <v>2604</v>
      </c>
      <c r="D275" t="s">
        <v>3394</v>
      </c>
      <c r="E275" t="s">
        <v>3253</v>
      </c>
      <c r="F275" s="3">
        <v>0.45054945054945</v>
      </c>
      <c r="G275">
        <v>90</v>
      </c>
      <c r="H275" t="str">
        <f t="shared" si="4"/>
        <v>6.Mayor a 70 P</v>
      </c>
    </row>
    <row r="276" spans="1:8" x14ac:dyDescent="0.25">
      <c r="A276" t="s">
        <v>3395</v>
      </c>
      <c r="B276">
        <v>2022</v>
      </c>
      <c r="C276" t="s">
        <v>2604</v>
      </c>
      <c r="D276" t="s">
        <v>3396</v>
      </c>
      <c r="E276" t="s">
        <v>3253</v>
      </c>
      <c r="F276" s="3">
        <v>0.45054945054945</v>
      </c>
      <c r="G276">
        <v>61</v>
      </c>
      <c r="H276" t="str">
        <f t="shared" si="4"/>
        <v>5.Mayor a 40 P</v>
      </c>
    </row>
    <row r="277" spans="1:8" x14ac:dyDescent="0.25">
      <c r="A277" t="s">
        <v>3397</v>
      </c>
      <c r="B277">
        <v>2022</v>
      </c>
      <c r="C277" t="s">
        <v>2604</v>
      </c>
      <c r="D277" t="s">
        <v>3398</v>
      </c>
      <c r="E277" t="s">
        <v>3253</v>
      </c>
      <c r="F277" s="3">
        <v>0.45054945054945</v>
      </c>
      <c r="G277">
        <v>13</v>
      </c>
      <c r="H277" t="str">
        <f t="shared" si="4"/>
        <v>3.Mayor a 10 P</v>
      </c>
    </row>
    <row r="278" spans="1:8" x14ac:dyDescent="0.25">
      <c r="A278" t="s">
        <v>3399</v>
      </c>
      <c r="B278">
        <v>2021</v>
      </c>
      <c r="C278" t="s">
        <v>3400</v>
      </c>
      <c r="D278" t="s">
        <v>3401</v>
      </c>
      <c r="E278" t="s">
        <v>3253</v>
      </c>
      <c r="F278" s="3">
        <v>0.45054945054945</v>
      </c>
      <c r="G278">
        <v>20</v>
      </c>
      <c r="H278" t="str">
        <f t="shared" si="4"/>
        <v>4.Mayor a 20 P</v>
      </c>
    </row>
    <row r="279" spans="1:8" x14ac:dyDescent="0.25">
      <c r="A279" t="s">
        <v>3402</v>
      </c>
      <c r="B279">
        <v>2021</v>
      </c>
      <c r="C279" t="s">
        <v>3403</v>
      </c>
      <c r="D279" t="s">
        <v>3404</v>
      </c>
      <c r="E279" t="s">
        <v>3253</v>
      </c>
      <c r="F279" s="3">
        <v>0.45054945054945</v>
      </c>
      <c r="G279">
        <v>8</v>
      </c>
      <c r="H279" t="str">
        <f t="shared" si="4"/>
        <v>2.Menor a 10 P</v>
      </c>
    </row>
    <row r="280" spans="1:8" x14ac:dyDescent="0.25">
      <c r="A280" t="s">
        <v>3405</v>
      </c>
      <c r="B280">
        <v>2022</v>
      </c>
      <c r="C280" t="s">
        <v>3406</v>
      </c>
      <c r="D280" t="s">
        <v>3407</v>
      </c>
      <c r="E280" t="s">
        <v>3253</v>
      </c>
      <c r="F280" s="3">
        <v>0.45054945054945</v>
      </c>
      <c r="G280">
        <v>9</v>
      </c>
      <c r="H280" t="str">
        <f t="shared" si="4"/>
        <v>2.Menor a 10 P</v>
      </c>
    </row>
    <row r="281" spans="1:8" x14ac:dyDescent="0.25">
      <c r="A281" t="s">
        <v>3408</v>
      </c>
      <c r="B281">
        <v>2022</v>
      </c>
      <c r="C281" t="s">
        <v>2604</v>
      </c>
      <c r="D281" t="s">
        <v>3409</v>
      </c>
      <c r="E281" t="s">
        <v>3253</v>
      </c>
      <c r="F281" s="3">
        <v>0.45054945054945</v>
      </c>
      <c r="G281">
        <v>7</v>
      </c>
      <c r="H281" t="str">
        <f t="shared" si="4"/>
        <v>2.Menor a 10 P</v>
      </c>
    </row>
    <row r="282" spans="1:8" x14ac:dyDescent="0.25">
      <c r="A282" t="s">
        <v>3410</v>
      </c>
      <c r="B282">
        <v>2022</v>
      </c>
      <c r="C282" t="s">
        <v>3411</v>
      </c>
      <c r="D282" t="s">
        <v>3412</v>
      </c>
      <c r="E282" t="s">
        <v>3253</v>
      </c>
      <c r="F282" s="3">
        <v>0.45054945054945</v>
      </c>
      <c r="G282">
        <v>14</v>
      </c>
      <c r="H282" t="str">
        <f t="shared" si="4"/>
        <v>3.Mayor a 10 P</v>
      </c>
    </row>
    <row r="283" spans="1:8" x14ac:dyDescent="0.25">
      <c r="A283" t="s">
        <v>3413</v>
      </c>
      <c r="B283">
        <v>2022</v>
      </c>
      <c r="C283" t="s">
        <v>3414</v>
      </c>
      <c r="D283" t="s">
        <v>3415</v>
      </c>
      <c r="E283" t="s">
        <v>3253</v>
      </c>
      <c r="F283" s="3">
        <v>0.45054945054945</v>
      </c>
      <c r="G283">
        <v>53</v>
      </c>
      <c r="H283" t="str">
        <f t="shared" si="4"/>
        <v>5.Mayor a 40 P</v>
      </c>
    </row>
    <row r="284" spans="1:8" x14ac:dyDescent="0.25">
      <c r="A284" t="s">
        <v>3416</v>
      </c>
      <c r="B284">
        <v>2022</v>
      </c>
      <c r="C284" t="s">
        <v>2604</v>
      </c>
      <c r="D284" t="s">
        <v>3417</v>
      </c>
      <c r="E284" t="s">
        <v>3253</v>
      </c>
      <c r="F284" s="3">
        <v>0.45054945054945</v>
      </c>
      <c r="G284">
        <v>29</v>
      </c>
      <c r="H284" t="str">
        <f t="shared" si="4"/>
        <v>4.Mayor a 20 P</v>
      </c>
    </row>
    <row r="285" spans="1:8" x14ac:dyDescent="0.25">
      <c r="A285" t="s">
        <v>3418</v>
      </c>
      <c r="B285">
        <v>2022</v>
      </c>
      <c r="C285" t="s">
        <v>3419</v>
      </c>
      <c r="D285" t="s">
        <v>3420</v>
      </c>
      <c r="E285" t="s">
        <v>3253</v>
      </c>
      <c r="F285" s="3">
        <v>0.45054945054945</v>
      </c>
      <c r="G285">
        <v>16</v>
      </c>
      <c r="H285" t="str">
        <f t="shared" si="4"/>
        <v>3.Mayor a 10 P</v>
      </c>
    </row>
    <row r="286" spans="1:8" x14ac:dyDescent="0.25">
      <c r="A286" t="s">
        <v>3421</v>
      </c>
      <c r="B286">
        <v>2022</v>
      </c>
      <c r="C286" t="s">
        <v>2604</v>
      </c>
      <c r="D286" t="s">
        <v>3422</v>
      </c>
      <c r="E286" t="s">
        <v>3253</v>
      </c>
      <c r="F286" s="3">
        <v>0.45054945054945</v>
      </c>
      <c r="G286">
        <v>3</v>
      </c>
      <c r="H286" t="str">
        <f t="shared" si="4"/>
        <v>2.Menor a 10 P</v>
      </c>
    </row>
    <row r="287" spans="1:8" x14ac:dyDescent="0.25">
      <c r="A287" t="s">
        <v>3423</v>
      </c>
      <c r="B287">
        <v>2022</v>
      </c>
      <c r="C287" t="s">
        <v>3424</v>
      </c>
      <c r="D287" t="s">
        <v>3425</v>
      </c>
      <c r="E287" t="s">
        <v>3253</v>
      </c>
      <c r="F287" s="3">
        <v>0.45054945054945</v>
      </c>
      <c r="G287">
        <v>62</v>
      </c>
      <c r="H287" t="str">
        <f t="shared" si="4"/>
        <v>5.Mayor a 40 P</v>
      </c>
    </row>
    <row r="288" spans="1:8" x14ac:dyDescent="0.25">
      <c r="A288" t="s">
        <v>3426</v>
      </c>
      <c r="B288">
        <v>2022</v>
      </c>
      <c r="C288" t="s">
        <v>2604</v>
      </c>
      <c r="D288" t="s">
        <v>3427</v>
      </c>
      <c r="E288" t="s">
        <v>3253</v>
      </c>
      <c r="F288" s="3">
        <v>0.45054945054945</v>
      </c>
      <c r="G288">
        <v>5</v>
      </c>
      <c r="H288" t="str">
        <f t="shared" si="4"/>
        <v>2.Menor a 10 P</v>
      </c>
    </row>
    <row r="289" spans="1:8" x14ac:dyDescent="0.25">
      <c r="A289" t="s">
        <v>3428</v>
      </c>
      <c r="B289">
        <v>2022</v>
      </c>
      <c r="C289" t="s">
        <v>3429</v>
      </c>
      <c r="D289" t="s">
        <v>3430</v>
      </c>
      <c r="E289" t="s">
        <v>3253</v>
      </c>
      <c r="F289" s="3">
        <v>0.45054945054945</v>
      </c>
      <c r="G289">
        <v>1</v>
      </c>
      <c r="H289" t="str">
        <f t="shared" si="4"/>
        <v>2.Menor a 10 P</v>
      </c>
    </row>
    <row r="290" spans="1:8" x14ac:dyDescent="0.25">
      <c r="A290" t="s">
        <v>3431</v>
      </c>
      <c r="B290">
        <v>2022</v>
      </c>
      <c r="C290" t="s">
        <v>2604</v>
      </c>
      <c r="D290" t="s">
        <v>3432</v>
      </c>
      <c r="E290" t="s">
        <v>3253</v>
      </c>
      <c r="F290" s="3">
        <v>0.45054945054945</v>
      </c>
      <c r="G290">
        <v>3</v>
      </c>
      <c r="H290" t="str">
        <f t="shared" si="4"/>
        <v>2.Menor a 10 P</v>
      </c>
    </row>
    <row r="291" spans="1:8" x14ac:dyDescent="0.25">
      <c r="A291" t="s">
        <v>3433</v>
      </c>
      <c r="B291">
        <v>2020</v>
      </c>
      <c r="C291" t="s">
        <v>2604</v>
      </c>
      <c r="D291" t="s">
        <v>3434</v>
      </c>
      <c r="E291" t="s">
        <v>3253</v>
      </c>
      <c r="F291" s="3">
        <v>0.45054945054945</v>
      </c>
      <c r="G291">
        <v>2</v>
      </c>
      <c r="H291" t="str">
        <f t="shared" si="4"/>
        <v>2.Menor a 10 P</v>
      </c>
    </row>
    <row r="292" spans="1:8" x14ac:dyDescent="0.25">
      <c r="A292" t="s">
        <v>3435</v>
      </c>
      <c r="B292">
        <v>2020</v>
      </c>
      <c r="C292" t="s">
        <v>3436</v>
      </c>
      <c r="D292" t="s">
        <v>3437</v>
      </c>
      <c r="E292" t="s">
        <v>3253</v>
      </c>
      <c r="F292" s="3">
        <v>0.45054945054945</v>
      </c>
      <c r="G292">
        <v>2</v>
      </c>
      <c r="H292" t="str">
        <f t="shared" si="4"/>
        <v>2.Menor a 10 P</v>
      </c>
    </row>
    <row r="293" spans="1:8" x14ac:dyDescent="0.25">
      <c r="A293" t="s">
        <v>3438</v>
      </c>
      <c r="B293">
        <v>2020</v>
      </c>
      <c r="C293" t="s">
        <v>2604</v>
      </c>
      <c r="D293" t="s">
        <v>3439</v>
      </c>
      <c r="E293" t="s">
        <v>3253</v>
      </c>
      <c r="F293" s="3">
        <v>0.45054945054945</v>
      </c>
      <c r="G293">
        <v>9</v>
      </c>
      <c r="H293" t="str">
        <f t="shared" si="4"/>
        <v>2.Menor a 10 P</v>
      </c>
    </row>
    <row r="294" spans="1:8" x14ac:dyDescent="0.25">
      <c r="A294" t="s">
        <v>3440</v>
      </c>
      <c r="B294">
        <v>2020</v>
      </c>
      <c r="C294" t="s">
        <v>3441</v>
      </c>
      <c r="D294" t="s">
        <v>3442</v>
      </c>
      <c r="E294" t="s">
        <v>3253</v>
      </c>
      <c r="F294" s="3">
        <v>0.45054945054945</v>
      </c>
      <c r="G294">
        <v>7</v>
      </c>
      <c r="H294" t="str">
        <f t="shared" si="4"/>
        <v>2.Menor a 10 P</v>
      </c>
    </row>
    <row r="295" spans="1:8" x14ac:dyDescent="0.25">
      <c r="A295" t="s">
        <v>3443</v>
      </c>
      <c r="B295">
        <v>2020</v>
      </c>
      <c r="C295" t="s">
        <v>3444</v>
      </c>
      <c r="D295" t="s">
        <v>3445</v>
      </c>
      <c r="E295" t="s">
        <v>3253</v>
      </c>
      <c r="F295" s="3">
        <v>0.45054945054945</v>
      </c>
      <c r="G295">
        <v>5</v>
      </c>
      <c r="H295" t="str">
        <f t="shared" si="4"/>
        <v>2.Menor a 10 P</v>
      </c>
    </row>
    <row r="296" spans="1:8" x14ac:dyDescent="0.25">
      <c r="A296" t="s">
        <v>3446</v>
      </c>
      <c r="B296">
        <v>2018</v>
      </c>
      <c r="C296" t="s">
        <v>3447</v>
      </c>
      <c r="D296" t="s">
        <v>3448</v>
      </c>
      <c r="E296" t="s">
        <v>3253</v>
      </c>
      <c r="F296" s="3">
        <v>0.45054945054945</v>
      </c>
      <c r="G296">
        <v>44</v>
      </c>
      <c r="H296" t="str">
        <f t="shared" si="4"/>
        <v>5.Mayor a 40 P</v>
      </c>
    </row>
    <row r="297" spans="1:8" x14ac:dyDescent="0.25">
      <c r="A297" t="s">
        <v>3449</v>
      </c>
      <c r="B297">
        <v>2018</v>
      </c>
      <c r="C297" t="s">
        <v>3450</v>
      </c>
      <c r="D297" t="s">
        <v>3451</v>
      </c>
      <c r="E297" t="s">
        <v>3253</v>
      </c>
      <c r="F297" s="3">
        <v>0.45054945054945</v>
      </c>
      <c r="G297">
        <v>20</v>
      </c>
      <c r="H297" t="str">
        <f t="shared" si="4"/>
        <v>4.Mayor a 20 P</v>
      </c>
    </row>
    <row r="298" spans="1:8" x14ac:dyDescent="0.25">
      <c r="A298" t="s">
        <v>3452</v>
      </c>
      <c r="B298">
        <v>2021</v>
      </c>
      <c r="C298" t="s">
        <v>3453</v>
      </c>
      <c r="D298" t="s">
        <v>3454</v>
      </c>
      <c r="E298" t="s">
        <v>3253</v>
      </c>
      <c r="F298" s="3">
        <v>0.45054945054945</v>
      </c>
      <c r="G298">
        <v>27</v>
      </c>
      <c r="H298" t="str">
        <f t="shared" si="4"/>
        <v>4.Mayor a 20 P</v>
      </c>
    </row>
    <row r="299" spans="1:8" x14ac:dyDescent="0.25">
      <c r="A299" t="s">
        <v>3455</v>
      </c>
      <c r="B299">
        <v>2018</v>
      </c>
      <c r="C299" t="s">
        <v>3456</v>
      </c>
      <c r="D299" t="s">
        <v>3457</v>
      </c>
      <c r="E299" t="s">
        <v>3253</v>
      </c>
      <c r="F299" s="3">
        <v>0.45054945054945</v>
      </c>
      <c r="G299">
        <v>5</v>
      </c>
      <c r="H299" t="str">
        <f t="shared" si="4"/>
        <v>2.Menor a 10 P</v>
      </c>
    </row>
    <row r="300" spans="1:8" x14ac:dyDescent="0.25">
      <c r="A300" t="s">
        <v>3458</v>
      </c>
      <c r="B300">
        <v>2018</v>
      </c>
      <c r="C300" t="s">
        <v>3459</v>
      </c>
      <c r="D300" t="s">
        <v>3460</v>
      </c>
      <c r="E300" t="s">
        <v>3253</v>
      </c>
      <c r="F300" s="3">
        <v>0.45054945054945</v>
      </c>
      <c r="G300">
        <v>5</v>
      </c>
      <c r="H300" t="str">
        <f t="shared" si="4"/>
        <v>2.Menor a 10 P</v>
      </c>
    </row>
    <row r="301" spans="1:8" x14ac:dyDescent="0.25">
      <c r="A301" t="s">
        <v>3461</v>
      </c>
      <c r="B301">
        <v>2018</v>
      </c>
      <c r="C301" t="s">
        <v>3462</v>
      </c>
      <c r="D301" t="s">
        <v>3463</v>
      </c>
      <c r="E301" t="s">
        <v>3253</v>
      </c>
      <c r="F301" s="3">
        <v>0.45054945054945</v>
      </c>
      <c r="G301">
        <v>8</v>
      </c>
      <c r="H301" t="str">
        <f t="shared" si="4"/>
        <v>2.Menor a 10 P</v>
      </c>
    </row>
    <row r="302" spans="1:8" x14ac:dyDescent="0.25">
      <c r="A302" t="s">
        <v>3464</v>
      </c>
      <c r="B302">
        <v>2018</v>
      </c>
      <c r="C302" t="s">
        <v>3465</v>
      </c>
      <c r="D302" t="s">
        <v>3466</v>
      </c>
      <c r="E302" t="s">
        <v>3253</v>
      </c>
      <c r="F302" s="3">
        <v>0.45054945054945</v>
      </c>
      <c r="G302">
        <v>6</v>
      </c>
      <c r="H302" t="str">
        <f t="shared" si="4"/>
        <v>2.Menor a 10 P</v>
      </c>
    </row>
    <row r="303" spans="1:8" x14ac:dyDescent="0.25">
      <c r="A303" t="s">
        <v>3467</v>
      </c>
      <c r="B303">
        <v>2018</v>
      </c>
      <c r="C303" t="s">
        <v>3468</v>
      </c>
      <c r="D303" t="s">
        <v>3469</v>
      </c>
      <c r="E303" t="s">
        <v>3253</v>
      </c>
      <c r="F303" s="3">
        <v>0.45054945054945</v>
      </c>
      <c r="G303">
        <v>26</v>
      </c>
      <c r="H303" t="str">
        <f t="shared" si="4"/>
        <v>4.Mayor a 20 P</v>
      </c>
    </row>
    <row r="304" spans="1:8" x14ac:dyDescent="0.25">
      <c r="A304" t="s">
        <v>3470</v>
      </c>
      <c r="B304">
        <v>2021</v>
      </c>
      <c r="C304" t="s">
        <v>3471</v>
      </c>
      <c r="D304" t="s">
        <v>3472</v>
      </c>
      <c r="E304" t="s">
        <v>3253</v>
      </c>
      <c r="F304" s="3">
        <v>0.45054945054945</v>
      </c>
      <c r="G304">
        <v>4</v>
      </c>
      <c r="H304" t="str">
        <f t="shared" si="4"/>
        <v>2.Menor a 10 P</v>
      </c>
    </row>
    <row r="305" spans="1:8" x14ac:dyDescent="0.25">
      <c r="A305" t="s">
        <v>3473</v>
      </c>
      <c r="B305">
        <v>2021</v>
      </c>
      <c r="C305" t="s">
        <v>3474</v>
      </c>
      <c r="D305" t="s">
        <v>3475</v>
      </c>
      <c r="E305" t="s">
        <v>3253</v>
      </c>
      <c r="F305" s="3">
        <v>0.45054945054945</v>
      </c>
      <c r="G305">
        <v>8</v>
      </c>
      <c r="H305" t="str">
        <f t="shared" si="4"/>
        <v>2.Menor a 10 P</v>
      </c>
    </row>
    <row r="306" spans="1:8" x14ac:dyDescent="0.25">
      <c r="A306" t="s">
        <v>3476</v>
      </c>
      <c r="B306">
        <v>2021</v>
      </c>
      <c r="C306" t="s">
        <v>3477</v>
      </c>
      <c r="D306" t="s">
        <v>3478</v>
      </c>
      <c r="E306" t="s">
        <v>3253</v>
      </c>
      <c r="F306" s="3">
        <v>0.45054945054945</v>
      </c>
      <c r="G306">
        <v>14</v>
      </c>
      <c r="H306" t="str">
        <f t="shared" si="4"/>
        <v>3.Mayor a 10 P</v>
      </c>
    </row>
    <row r="307" spans="1:8" x14ac:dyDescent="0.25">
      <c r="A307" t="s">
        <v>3479</v>
      </c>
      <c r="B307">
        <v>2018</v>
      </c>
      <c r="C307" t="s">
        <v>3480</v>
      </c>
      <c r="D307" t="s">
        <v>3481</v>
      </c>
      <c r="E307" t="s">
        <v>3253</v>
      </c>
      <c r="F307" s="3">
        <v>0.45054945054945</v>
      </c>
      <c r="G307">
        <v>6</v>
      </c>
      <c r="H307" t="str">
        <f t="shared" si="4"/>
        <v>2.Menor a 10 P</v>
      </c>
    </row>
    <row r="308" spans="1:8" x14ac:dyDescent="0.25">
      <c r="A308" t="s">
        <v>3482</v>
      </c>
      <c r="B308">
        <v>2018</v>
      </c>
      <c r="C308" t="s">
        <v>2604</v>
      </c>
      <c r="D308" t="s">
        <v>3483</v>
      </c>
      <c r="E308" t="s">
        <v>3253</v>
      </c>
      <c r="F308" s="3">
        <v>0.45054945054945</v>
      </c>
      <c r="G308">
        <v>5</v>
      </c>
      <c r="H308" t="str">
        <f t="shared" si="4"/>
        <v>2.Menor a 10 P</v>
      </c>
    </row>
    <row r="309" spans="1:8" x14ac:dyDescent="0.25">
      <c r="A309" t="s">
        <v>3484</v>
      </c>
      <c r="B309">
        <v>2018</v>
      </c>
      <c r="C309" t="s">
        <v>2604</v>
      </c>
      <c r="D309" t="s">
        <v>3485</v>
      </c>
      <c r="E309" t="s">
        <v>3253</v>
      </c>
      <c r="F309" s="3">
        <v>0.45054945054945</v>
      </c>
      <c r="G309">
        <v>14</v>
      </c>
      <c r="H309" t="str">
        <f t="shared" si="4"/>
        <v>3.Mayor a 10 P</v>
      </c>
    </row>
    <row r="310" spans="1:8" x14ac:dyDescent="0.25">
      <c r="A310" t="s">
        <v>3486</v>
      </c>
      <c r="B310">
        <v>2018</v>
      </c>
      <c r="C310" t="s">
        <v>3487</v>
      </c>
      <c r="D310" t="s">
        <v>3488</v>
      </c>
      <c r="E310" t="s">
        <v>3253</v>
      </c>
      <c r="F310" s="3">
        <v>0.45054945054945</v>
      </c>
      <c r="G310">
        <v>16</v>
      </c>
      <c r="H310" t="str">
        <f t="shared" si="4"/>
        <v>3.Mayor a 10 P</v>
      </c>
    </row>
    <row r="311" spans="1:8" x14ac:dyDescent="0.25">
      <c r="A311" t="s">
        <v>3489</v>
      </c>
      <c r="B311">
        <v>2018</v>
      </c>
      <c r="C311" t="s">
        <v>3490</v>
      </c>
      <c r="D311" t="s">
        <v>3491</v>
      </c>
      <c r="E311" t="s">
        <v>3253</v>
      </c>
      <c r="F311" s="3">
        <v>0.45054945054945</v>
      </c>
      <c r="G311">
        <v>153</v>
      </c>
      <c r="H311" t="str">
        <f t="shared" si="4"/>
        <v>7.Mayor a 100 P</v>
      </c>
    </row>
    <row r="312" spans="1:8" x14ac:dyDescent="0.25">
      <c r="A312" t="s">
        <v>3492</v>
      </c>
      <c r="B312">
        <v>2018</v>
      </c>
      <c r="C312" t="s">
        <v>3493</v>
      </c>
      <c r="D312" t="s">
        <v>3494</v>
      </c>
      <c r="E312" t="s">
        <v>3253</v>
      </c>
      <c r="F312" s="3">
        <v>0.45054945054945</v>
      </c>
      <c r="G312">
        <v>2</v>
      </c>
      <c r="H312" t="str">
        <f t="shared" si="4"/>
        <v>2.Menor a 10 P</v>
      </c>
    </row>
    <row r="313" spans="1:8" x14ac:dyDescent="0.25">
      <c r="A313" t="s">
        <v>3495</v>
      </c>
      <c r="B313">
        <v>2018</v>
      </c>
      <c r="C313" t="s">
        <v>3496</v>
      </c>
      <c r="D313" t="s">
        <v>3497</v>
      </c>
      <c r="E313" t="s">
        <v>3253</v>
      </c>
      <c r="F313" s="3">
        <v>0.45054945054945</v>
      </c>
      <c r="G313">
        <v>33</v>
      </c>
      <c r="H313" t="str">
        <f t="shared" si="4"/>
        <v>4.Mayor a 20 P</v>
      </c>
    </row>
    <row r="314" spans="1:8" x14ac:dyDescent="0.25">
      <c r="A314" t="s">
        <v>3498</v>
      </c>
      <c r="B314">
        <v>2018</v>
      </c>
      <c r="C314" t="s">
        <v>3499</v>
      </c>
      <c r="D314" t="s">
        <v>3500</v>
      </c>
      <c r="E314" t="s">
        <v>3253</v>
      </c>
      <c r="F314" s="3">
        <v>0.45054945054945</v>
      </c>
      <c r="G314">
        <v>47</v>
      </c>
      <c r="H314" t="str">
        <f t="shared" si="4"/>
        <v>5.Mayor a 40 P</v>
      </c>
    </row>
    <row r="315" spans="1:8" x14ac:dyDescent="0.25">
      <c r="A315" t="s">
        <v>3501</v>
      </c>
      <c r="B315">
        <v>2018</v>
      </c>
      <c r="C315" t="s">
        <v>3502</v>
      </c>
      <c r="D315" t="s">
        <v>3503</v>
      </c>
      <c r="E315" t="s">
        <v>3253</v>
      </c>
      <c r="F315" s="3">
        <v>0.45054945054945</v>
      </c>
      <c r="G315">
        <v>10</v>
      </c>
      <c r="H315" t="str">
        <f t="shared" si="4"/>
        <v>3.Mayor a 10 P</v>
      </c>
    </row>
    <row r="316" spans="1:8" x14ac:dyDescent="0.25">
      <c r="A316" t="s">
        <v>3504</v>
      </c>
      <c r="B316">
        <v>2020</v>
      </c>
      <c r="C316" t="s">
        <v>3505</v>
      </c>
      <c r="D316" t="s">
        <v>3506</v>
      </c>
      <c r="E316" t="s">
        <v>3253</v>
      </c>
      <c r="F316" s="3">
        <v>0.45054945054945</v>
      </c>
      <c r="G316">
        <v>2</v>
      </c>
      <c r="H316" t="str">
        <f t="shared" si="4"/>
        <v>2.Menor a 10 P</v>
      </c>
    </row>
    <row r="317" spans="1:8" x14ac:dyDescent="0.25">
      <c r="A317" t="s">
        <v>3507</v>
      </c>
      <c r="B317">
        <v>2018</v>
      </c>
      <c r="C317" t="s">
        <v>3508</v>
      </c>
      <c r="D317" t="s">
        <v>3509</v>
      </c>
      <c r="E317" t="s">
        <v>3253</v>
      </c>
      <c r="F317" s="3">
        <v>0.45054945054945</v>
      </c>
      <c r="G317">
        <v>7</v>
      </c>
      <c r="H317" t="str">
        <f t="shared" si="4"/>
        <v>2.Menor a 10 P</v>
      </c>
    </row>
    <row r="318" spans="1:8" x14ac:dyDescent="0.25">
      <c r="A318" t="s">
        <v>3510</v>
      </c>
      <c r="B318">
        <v>2018</v>
      </c>
      <c r="C318" t="s">
        <v>3511</v>
      </c>
      <c r="D318" t="s">
        <v>3512</v>
      </c>
      <c r="E318" t="s">
        <v>3253</v>
      </c>
      <c r="F318" s="3">
        <v>0.45054945054945</v>
      </c>
      <c r="G318">
        <v>15</v>
      </c>
      <c r="H318" t="str">
        <f t="shared" si="4"/>
        <v>3.Mayor a 10 P</v>
      </c>
    </row>
    <row r="319" spans="1:8" x14ac:dyDescent="0.25">
      <c r="A319" t="s">
        <v>3513</v>
      </c>
      <c r="B319">
        <v>2018</v>
      </c>
      <c r="C319" t="s">
        <v>3514</v>
      </c>
      <c r="D319" t="s">
        <v>3515</v>
      </c>
      <c r="E319" t="s">
        <v>3253</v>
      </c>
      <c r="F319" s="3">
        <v>0.45054945054945</v>
      </c>
      <c r="G319">
        <v>85</v>
      </c>
      <c r="H319" t="str">
        <f t="shared" si="4"/>
        <v>6.Mayor a 70 P</v>
      </c>
    </row>
    <row r="320" spans="1:8" x14ac:dyDescent="0.25">
      <c r="A320" t="s">
        <v>3516</v>
      </c>
      <c r="B320">
        <v>2018</v>
      </c>
      <c r="C320" t="s">
        <v>3517</v>
      </c>
      <c r="D320" t="s">
        <v>3518</v>
      </c>
      <c r="E320" t="s">
        <v>3253</v>
      </c>
      <c r="F320" s="3">
        <v>0.45054945054945</v>
      </c>
      <c r="G320">
        <v>16</v>
      </c>
      <c r="H320" t="str">
        <f t="shared" si="4"/>
        <v>3.Mayor a 10 P</v>
      </c>
    </row>
    <row r="321" spans="1:8" x14ac:dyDescent="0.25">
      <c r="A321" t="s">
        <v>3519</v>
      </c>
      <c r="B321">
        <v>2018</v>
      </c>
      <c r="C321" t="s">
        <v>3520</v>
      </c>
      <c r="D321" t="s">
        <v>3521</v>
      </c>
      <c r="E321" t="s">
        <v>3253</v>
      </c>
      <c r="F321" s="3">
        <v>0.45054945054945</v>
      </c>
      <c r="G321">
        <v>3</v>
      </c>
      <c r="H321" t="str">
        <f t="shared" si="4"/>
        <v>2.Menor a 10 P</v>
      </c>
    </row>
    <row r="322" spans="1:8" x14ac:dyDescent="0.25">
      <c r="A322" t="s">
        <v>3522</v>
      </c>
      <c r="B322">
        <v>2018</v>
      </c>
      <c r="C322" t="s">
        <v>3523</v>
      </c>
      <c r="D322" t="s">
        <v>3524</v>
      </c>
      <c r="E322" t="s">
        <v>3253</v>
      </c>
      <c r="F322" s="3">
        <v>0.45054945054945</v>
      </c>
      <c r="G322">
        <v>14</v>
      </c>
      <c r="H322" t="str">
        <f t="shared" si="4"/>
        <v>3.Mayor a 10 P</v>
      </c>
    </row>
    <row r="323" spans="1:8" x14ac:dyDescent="0.25">
      <c r="A323" t="s">
        <v>3525</v>
      </c>
      <c r="B323">
        <v>2018</v>
      </c>
      <c r="C323" t="s">
        <v>3526</v>
      </c>
      <c r="D323" t="s">
        <v>3527</v>
      </c>
      <c r="E323" t="s">
        <v>3253</v>
      </c>
      <c r="F323" s="3">
        <v>0.45054945054945</v>
      </c>
      <c r="G323">
        <v>56</v>
      </c>
      <c r="H323" t="str">
        <f t="shared" ref="H323:H386" si="5">+IF(G323&gt;=100,"7.Mayor a 100 P",+IF(G323&gt;=70,"6.Mayor a 70 P",+IF(G323&gt;=40,"5.Mayor a 40 P",+IF(G323&gt;=20,"4.Mayor a 20 P",+IF(G323&gt;=10,"3.Mayor a 10 P",+IF(G323&lt;10,"2.Menor a 10 P",+IF(G323=0,"1.Sin Propiedades","Revsar")))))))</f>
        <v>5.Mayor a 40 P</v>
      </c>
    </row>
    <row r="324" spans="1:8" x14ac:dyDescent="0.25">
      <c r="A324" t="s">
        <v>3528</v>
      </c>
      <c r="B324">
        <v>2020</v>
      </c>
      <c r="C324" t="s">
        <v>3529</v>
      </c>
      <c r="D324" t="s">
        <v>3530</v>
      </c>
      <c r="E324" t="s">
        <v>3253</v>
      </c>
      <c r="F324" s="3">
        <v>0.45054945054945</v>
      </c>
      <c r="G324">
        <v>18</v>
      </c>
      <c r="H324" t="str">
        <f t="shared" si="5"/>
        <v>3.Mayor a 10 P</v>
      </c>
    </row>
    <row r="325" spans="1:8" x14ac:dyDescent="0.25">
      <c r="A325" t="s">
        <v>3531</v>
      </c>
      <c r="B325">
        <v>2018</v>
      </c>
      <c r="C325" t="s">
        <v>3532</v>
      </c>
      <c r="D325" t="s">
        <v>3533</v>
      </c>
      <c r="E325" t="s">
        <v>3253</v>
      </c>
      <c r="F325" s="3">
        <v>0.45054945054945</v>
      </c>
      <c r="G325">
        <v>14</v>
      </c>
      <c r="H325" t="str">
        <f t="shared" si="5"/>
        <v>3.Mayor a 10 P</v>
      </c>
    </row>
    <row r="326" spans="1:8" x14ac:dyDescent="0.25">
      <c r="A326" t="s">
        <v>3534</v>
      </c>
      <c r="B326">
        <v>2021</v>
      </c>
      <c r="C326" t="s">
        <v>3535</v>
      </c>
      <c r="D326" t="s">
        <v>3536</v>
      </c>
      <c r="E326" t="s">
        <v>3253</v>
      </c>
      <c r="F326" s="3">
        <v>0.45054945054945</v>
      </c>
      <c r="G326">
        <v>8</v>
      </c>
      <c r="H326" t="str">
        <f t="shared" si="5"/>
        <v>2.Menor a 10 P</v>
      </c>
    </row>
    <row r="327" spans="1:8" x14ac:dyDescent="0.25">
      <c r="A327" t="s">
        <v>3537</v>
      </c>
      <c r="B327">
        <v>2021</v>
      </c>
      <c r="C327" t="s">
        <v>3538</v>
      </c>
      <c r="D327" t="s">
        <v>3539</v>
      </c>
      <c r="E327" t="s">
        <v>3253</v>
      </c>
      <c r="F327" s="3">
        <v>0.45054945054945</v>
      </c>
      <c r="G327">
        <v>34</v>
      </c>
      <c r="H327" t="str">
        <f t="shared" si="5"/>
        <v>4.Mayor a 20 P</v>
      </c>
    </row>
    <row r="328" spans="1:8" x14ac:dyDescent="0.25">
      <c r="A328" t="s">
        <v>3540</v>
      </c>
      <c r="B328">
        <v>2021</v>
      </c>
      <c r="C328" t="s">
        <v>2604</v>
      </c>
      <c r="D328" t="s">
        <v>3541</v>
      </c>
      <c r="E328" t="s">
        <v>3253</v>
      </c>
      <c r="F328" s="3">
        <v>0.45054945054945</v>
      </c>
      <c r="G328">
        <v>20</v>
      </c>
      <c r="H328" t="str">
        <f t="shared" si="5"/>
        <v>4.Mayor a 20 P</v>
      </c>
    </row>
    <row r="329" spans="1:8" x14ac:dyDescent="0.25">
      <c r="A329" t="s">
        <v>3542</v>
      </c>
      <c r="B329">
        <v>2021</v>
      </c>
      <c r="C329" t="s">
        <v>2604</v>
      </c>
      <c r="D329" t="s">
        <v>3543</v>
      </c>
      <c r="E329" t="s">
        <v>3253</v>
      </c>
      <c r="F329" s="3">
        <v>0.45054945054945</v>
      </c>
      <c r="G329">
        <v>11</v>
      </c>
      <c r="H329" t="str">
        <f t="shared" si="5"/>
        <v>3.Mayor a 10 P</v>
      </c>
    </row>
    <row r="330" spans="1:8" x14ac:dyDescent="0.25">
      <c r="A330" t="s">
        <v>3544</v>
      </c>
      <c r="B330">
        <v>2021</v>
      </c>
      <c r="C330" t="s">
        <v>3545</v>
      </c>
      <c r="D330" t="s">
        <v>3546</v>
      </c>
      <c r="E330" t="s">
        <v>3253</v>
      </c>
      <c r="F330" s="3">
        <v>0.45054945054945</v>
      </c>
      <c r="G330">
        <v>30</v>
      </c>
      <c r="H330" t="str">
        <f t="shared" si="5"/>
        <v>4.Mayor a 20 P</v>
      </c>
    </row>
    <row r="331" spans="1:8" x14ac:dyDescent="0.25">
      <c r="A331" t="s">
        <v>3547</v>
      </c>
      <c r="B331">
        <v>2020</v>
      </c>
      <c r="C331" t="s">
        <v>3548</v>
      </c>
      <c r="D331" t="s">
        <v>3549</v>
      </c>
      <c r="E331" t="s">
        <v>3253</v>
      </c>
      <c r="F331" s="3">
        <v>0.45054945054945</v>
      </c>
      <c r="G331">
        <v>3</v>
      </c>
      <c r="H331" t="str">
        <f t="shared" si="5"/>
        <v>2.Menor a 10 P</v>
      </c>
    </row>
    <row r="332" spans="1:8" x14ac:dyDescent="0.25">
      <c r="A332" t="s">
        <v>3550</v>
      </c>
      <c r="B332">
        <v>2020</v>
      </c>
      <c r="C332" t="s">
        <v>3551</v>
      </c>
      <c r="D332" t="s">
        <v>3552</v>
      </c>
      <c r="E332" t="s">
        <v>3253</v>
      </c>
      <c r="F332" s="3">
        <v>0.45054945054945</v>
      </c>
      <c r="G332">
        <v>5</v>
      </c>
      <c r="H332" t="str">
        <f t="shared" si="5"/>
        <v>2.Menor a 10 P</v>
      </c>
    </row>
    <row r="333" spans="1:8" x14ac:dyDescent="0.25">
      <c r="A333" t="s">
        <v>3553</v>
      </c>
      <c r="B333">
        <v>2020</v>
      </c>
      <c r="C333" t="s">
        <v>3554</v>
      </c>
      <c r="D333" t="s">
        <v>3555</v>
      </c>
      <c r="E333" t="s">
        <v>3253</v>
      </c>
      <c r="F333" s="3">
        <v>0.45054945054945</v>
      </c>
      <c r="G333">
        <v>15</v>
      </c>
      <c r="H333" t="str">
        <f t="shared" si="5"/>
        <v>3.Mayor a 10 P</v>
      </c>
    </row>
    <row r="334" spans="1:8" x14ac:dyDescent="0.25">
      <c r="A334" t="s">
        <v>3556</v>
      </c>
      <c r="B334">
        <v>2021</v>
      </c>
      <c r="C334" t="s">
        <v>3557</v>
      </c>
      <c r="D334" t="s">
        <v>3558</v>
      </c>
      <c r="E334" t="s">
        <v>3253</v>
      </c>
      <c r="F334" s="3">
        <v>0.45054945054945</v>
      </c>
      <c r="G334">
        <v>18</v>
      </c>
      <c r="H334" t="str">
        <f t="shared" si="5"/>
        <v>3.Mayor a 10 P</v>
      </c>
    </row>
    <row r="335" spans="1:8" x14ac:dyDescent="0.25">
      <c r="A335" t="s">
        <v>3559</v>
      </c>
      <c r="B335">
        <v>2021</v>
      </c>
      <c r="C335" t="s">
        <v>3560</v>
      </c>
      <c r="D335" t="s">
        <v>3561</v>
      </c>
      <c r="E335" t="s">
        <v>3253</v>
      </c>
      <c r="F335" s="3">
        <v>0.45054945054945</v>
      </c>
      <c r="G335">
        <v>35</v>
      </c>
      <c r="H335" t="str">
        <f t="shared" si="5"/>
        <v>4.Mayor a 20 P</v>
      </c>
    </row>
    <row r="336" spans="1:8" x14ac:dyDescent="0.25">
      <c r="A336" t="s">
        <v>3562</v>
      </c>
      <c r="B336">
        <v>2021</v>
      </c>
      <c r="C336" t="s">
        <v>2604</v>
      </c>
      <c r="D336" t="s">
        <v>3563</v>
      </c>
      <c r="E336" t="s">
        <v>3253</v>
      </c>
      <c r="F336" s="3">
        <v>0.45054945054945</v>
      </c>
      <c r="G336">
        <v>17</v>
      </c>
      <c r="H336" t="str">
        <f t="shared" si="5"/>
        <v>3.Mayor a 10 P</v>
      </c>
    </row>
    <row r="337" spans="1:8" x14ac:dyDescent="0.25">
      <c r="A337" t="s">
        <v>3564</v>
      </c>
      <c r="B337">
        <v>2021</v>
      </c>
      <c r="C337" t="s">
        <v>3565</v>
      </c>
      <c r="D337" t="s">
        <v>3566</v>
      </c>
      <c r="E337" t="s">
        <v>3253</v>
      </c>
      <c r="F337" s="3">
        <v>0.45054945054945</v>
      </c>
      <c r="G337">
        <v>26</v>
      </c>
      <c r="H337" t="str">
        <f t="shared" si="5"/>
        <v>4.Mayor a 20 P</v>
      </c>
    </row>
    <row r="338" spans="1:8" x14ac:dyDescent="0.25">
      <c r="A338" t="s">
        <v>3567</v>
      </c>
      <c r="B338">
        <v>2021</v>
      </c>
      <c r="C338" t="s">
        <v>3568</v>
      </c>
      <c r="D338" t="s">
        <v>3569</v>
      </c>
      <c r="E338" t="s">
        <v>3253</v>
      </c>
      <c r="F338" s="3">
        <v>0.45054945054945</v>
      </c>
      <c r="G338">
        <v>3</v>
      </c>
      <c r="H338" t="str">
        <f t="shared" si="5"/>
        <v>2.Menor a 10 P</v>
      </c>
    </row>
    <row r="339" spans="1:8" x14ac:dyDescent="0.25">
      <c r="A339" t="s">
        <v>3570</v>
      </c>
      <c r="B339">
        <v>2021</v>
      </c>
      <c r="C339" t="s">
        <v>3571</v>
      </c>
      <c r="D339" t="s">
        <v>3572</v>
      </c>
      <c r="E339" t="s">
        <v>3253</v>
      </c>
      <c r="F339" s="3">
        <v>0.45054945054945</v>
      </c>
      <c r="G339">
        <v>67</v>
      </c>
      <c r="H339" t="str">
        <f t="shared" si="5"/>
        <v>5.Mayor a 40 P</v>
      </c>
    </row>
    <row r="340" spans="1:8" x14ac:dyDescent="0.25">
      <c r="A340" t="s">
        <v>3573</v>
      </c>
      <c r="B340">
        <v>2021</v>
      </c>
      <c r="C340" t="s">
        <v>3574</v>
      </c>
      <c r="D340" t="s">
        <v>3575</v>
      </c>
      <c r="E340" t="s">
        <v>3253</v>
      </c>
      <c r="F340" s="3">
        <v>0.45054945054945</v>
      </c>
      <c r="G340">
        <v>25</v>
      </c>
      <c r="H340" t="str">
        <f t="shared" si="5"/>
        <v>4.Mayor a 20 P</v>
      </c>
    </row>
    <row r="341" spans="1:8" x14ac:dyDescent="0.25">
      <c r="A341" t="s">
        <v>3576</v>
      </c>
      <c r="B341">
        <v>2021</v>
      </c>
      <c r="C341" t="s">
        <v>3577</v>
      </c>
      <c r="D341" t="s">
        <v>3578</v>
      </c>
      <c r="E341" t="s">
        <v>3253</v>
      </c>
      <c r="F341" s="3">
        <v>0.45054945054945</v>
      </c>
      <c r="G341">
        <v>4</v>
      </c>
      <c r="H341" t="str">
        <f t="shared" si="5"/>
        <v>2.Menor a 10 P</v>
      </c>
    </row>
    <row r="342" spans="1:8" x14ac:dyDescent="0.25">
      <c r="A342" t="s">
        <v>3579</v>
      </c>
      <c r="B342">
        <v>2021</v>
      </c>
      <c r="C342" t="s">
        <v>2604</v>
      </c>
      <c r="D342" t="s">
        <v>3580</v>
      </c>
      <c r="E342" t="s">
        <v>3253</v>
      </c>
      <c r="F342" s="3">
        <v>0.45054945054945</v>
      </c>
      <c r="G342">
        <v>3</v>
      </c>
      <c r="H342" t="str">
        <f t="shared" si="5"/>
        <v>2.Menor a 10 P</v>
      </c>
    </row>
    <row r="343" spans="1:8" x14ac:dyDescent="0.25">
      <c r="A343" t="s">
        <v>3581</v>
      </c>
      <c r="B343">
        <v>2021</v>
      </c>
      <c r="C343" t="s">
        <v>3582</v>
      </c>
      <c r="D343" t="s">
        <v>3583</v>
      </c>
      <c r="E343" t="s">
        <v>3253</v>
      </c>
      <c r="F343" s="3">
        <v>0.45054945054945</v>
      </c>
      <c r="G343">
        <v>7</v>
      </c>
      <c r="H343" t="str">
        <f t="shared" si="5"/>
        <v>2.Menor a 10 P</v>
      </c>
    </row>
    <row r="344" spans="1:8" x14ac:dyDescent="0.25">
      <c r="A344" t="s">
        <v>3584</v>
      </c>
      <c r="B344">
        <v>2021</v>
      </c>
      <c r="C344" t="s">
        <v>3585</v>
      </c>
      <c r="D344" t="s">
        <v>3586</v>
      </c>
      <c r="E344" t="s">
        <v>3253</v>
      </c>
      <c r="F344" s="3">
        <v>0.45054945054945</v>
      </c>
      <c r="G344">
        <v>49</v>
      </c>
      <c r="H344" t="str">
        <f t="shared" si="5"/>
        <v>5.Mayor a 40 P</v>
      </c>
    </row>
    <row r="345" spans="1:8" x14ac:dyDescent="0.25">
      <c r="A345" t="s">
        <v>3587</v>
      </c>
      <c r="B345">
        <v>2020</v>
      </c>
      <c r="C345" t="s">
        <v>3588</v>
      </c>
      <c r="D345" t="s">
        <v>3589</v>
      </c>
      <c r="E345" t="s">
        <v>3253</v>
      </c>
      <c r="F345" s="3">
        <v>0.45054945054945</v>
      </c>
      <c r="G345">
        <v>11</v>
      </c>
      <c r="H345" t="str">
        <f t="shared" si="5"/>
        <v>3.Mayor a 10 P</v>
      </c>
    </row>
    <row r="346" spans="1:8" x14ac:dyDescent="0.25">
      <c r="A346" t="s">
        <v>3590</v>
      </c>
      <c r="B346">
        <v>2020</v>
      </c>
      <c r="C346" t="s">
        <v>3591</v>
      </c>
      <c r="D346" t="s">
        <v>3592</v>
      </c>
      <c r="E346" t="s">
        <v>3253</v>
      </c>
      <c r="F346" s="3">
        <v>0.45054945054945</v>
      </c>
      <c r="G346">
        <v>20</v>
      </c>
      <c r="H346" t="str">
        <f t="shared" si="5"/>
        <v>4.Mayor a 20 P</v>
      </c>
    </row>
    <row r="347" spans="1:8" x14ac:dyDescent="0.25">
      <c r="A347" t="s">
        <v>3593</v>
      </c>
      <c r="B347">
        <v>2020</v>
      </c>
      <c r="C347" t="s">
        <v>2604</v>
      </c>
      <c r="D347" t="s">
        <v>3594</v>
      </c>
      <c r="E347" t="s">
        <v>3253</v>
      </c>
      <c r="F347" s="3">
        <v>0.45054945054945</v>
      </c>
      <c r="G347">
        <v>20</v>
      </c>
      <c r="H347" t="str">
        <f t="shared" si="5"/>
        <v>4.Mayor a 20 P</v>
      </c>
    </row>
    <row r="348" spans="1:8" x14ac:dyDescent="0.25">
      <c r="A348" t="s">
        <v>3595</v>
      </c>
      <c r="B348">
        <v>2020</v>
      </c>
      <c r="C348" t="s">
        <v>2604</v>
      </c>
      <c r="D348" t="s">
        <v>3596</v>
      </c>
      <c r="E348" t="s">
        <v>3253</v>
      </c>
      <c r="F348" s="3">
        <v>0.45054945054945</v>
      </c>
      <c r="G348">
        <v>31</v>
      </c>
      <c r="H348" t="str">
        <f t="shared" si="5"/>
        <v>4.Mayor a 20 P</v>
      </c>
    </row>
    <row r="349" spans="1:8" x14ac:dyDescent="0.25">
      <c r="A349" t="s">
        <v>3597</v>
      </c>
      <c r="B349">
        <v>2020</v>
      </c>
      <c r="C349" t="s">
        <v>3598</v>
      </c>
      <c r="D349" t="s">
        <v>3599</v>
      </c>
      <c r="E349" t="s">
        <v>3253</v>
      </c>
      <c r="F349" s="3">
        <v>0.45054945054945</v>
      </c>
      <c r="G349">
        <v>20</v>
      </c>
      <c r="H349" t="str">
        <f t="shared" si="5"/>
        <v>4.Mayor a 20 P</v>
      </c>
    </row>
    <row r="350" spans="1:8" x14ac:dyDescent="0.25">
      <c r="A350" t="s">
        <v>3600</v>
      </c>
      <c r="B350">
        <v>2020</v>
      </c>
      <c r="C350" t="s">
        <v>3601</v>
      </c>
      <c r="D350" t="s">
        <v>3602</v>
      </c>
      <c r="E350" t="s">
        <v>3253</v>
      </c>
      <c r="F350" s="3">
        <v>0.45054945054945</v>
      </c>
      <c r="G350">
        <v>6</v>
      </c>
      <c r="H350" t="str">
        <f t="shared" si="5"/>
        <v>2.Menor a 10 P</v>
      </c>
    </row>
    <row r="351" spans="1:8" x14ac:dyDescent="0.25">
      <c r="A351" t="s">
        <v>3603</v>
      </c>
      <c r="B351">
        <v>2020</v>
      </c>
      <c r="C351" t="s">
        <v>3604</v>
      </c>
      <c r="D351" t="s">
        <v>3605</v>
      </c>
      <c r="E351" t="s">
        <v>3253</v>
      </c>
      <c r="F351" s="3">
        <v>0.45054945054945</v>
      </c>
      <c r="G351">
        <v>5</v>
      </c>
      <c r="H351" t="str">
        <f t="shared" si="5"/>
        <v>2.Menor a 10 P</v>
      </c>
    </row>
    <row r="352" spans="1:8" x14ac:dyDescent="0.25">
      <c r="A352" t="s">
        <v>3606</v>
      </c>
      <c r="B352">
        <v>2021</v>
      </c>
      <c r="C352" t="s">
        <v>3607</v>
      </c>
      <c r="D352" t="s">
        <v>3608</v>
      </c>
      <c r="E352" t="s">
        <v>3253</v>
      </c>
      <c r="F352" s="3">
        <v>0.45054945054945</v>
      </c>
      <c r="G352">
        <v>9</v>
      </c>
      <c r="H352" t="str">
        <f t="shared" si="5"/>
        <v>2.Menor a 10 P</v>
      </c>
    </row>
    <row r="353" spans="1:8" x14ac:dyDescent="0.25">
      <c r="A353" t="s">
        <v>3609</v>
      </c>
      <c r="B353">
        <v>2020</v>
      </c>
      <c r="C353" t="s">
        <v>3610</v>
      </c>
      <c r="D353" t="s">
        <v>3611</v>
      </c>
      <c r="E353" t="s">
        <v>3253</v>
      </c>
      <c r="F353" s="3">
        <v>0.45054945054945</v>
      </c>
      <c r="G353">
        <v>18</v>
      </c>
      <c r="H353" t="str">
        <f t="shared" si="5"/>
        <v>3.Mayor a 10 P</v>
      </c>
    </row>
    <row r="354" spans="1:8" x14ac:dyDescent="0.25">
      <c r="A354" t="s">
        <v>3612</v>
      </c>
      <c r="B354">
        <v>2020</v>
      </c>
      <c r="C354" t="s">
        <v>3613</v>
      </c>
      <c r="D354" t="s">
        <v>3614</v>
      </c>
      <c r="E354" t="s">
        <v>3253</v>
      </c>
      <c r="F354" s="3">
        <v>0.45054945054945</v>
      </c>
      <c r="G354">
        <v>1</v>
      </c>
      <c r="H354" t="str">
        <f t="shared" si="5"/>
        <v>2.Menor a 10 P</v>
      </c>
    </row>
    <row r="355" spans="1:8" x14ac:dyDescent="0.25">
      <c r="A355" t="s">
        <v>3615</v>
      </c>
      <c r="B355">
        <v>2020</v>
      </c>
      <c r="C355" t="s">
        <v>3616</v>
      </c>
      <c r="D355" t="s">
        <v>3617</v>
      </c>
      <c r="E355" t="s">
        <v>3253</v>
      </c>
      <c r="F355" s="3">
        <v>0.45054945054945</v>
      </c>
      <c r="G355">
        <v>11</v>
      </c>
      <c r="H355" t="str">
        <f t="shared" si="5"/>
        <v>3.Mayor a 10 P</v>
      </c>
    </row>
    <row r="356" spans="1:8" x14ac:dyDescent="0.25">
      <c r="A356" t="s">
        <v>3618</v>
      </c>
      <c r="B356">
        <v>2018</v>
      </c>
      <c r="C356" t="s">
        <v>3619</v>
      </c>
      <c r="D356" t="s">
        <v>3620</v>
      </c>
      <c r="E356" t="s">
        <v>3253</v>
      </c>
      <c r="F356" s="3">
        <v>0.45054945054945</v>
      </c>
      <c r="G356">
        <v>2</v>
      </c>
      <c r="H356" t="str">
        <f t="shared" si="5"/>
        <v>2.Menor a 10 P</v>
      </c>
    </row>
    <row r="357" spans="1:8" x14ac:dyDescent="0.25">
      <c r="A357" t="s">
        <v>3621</v>
      </c>
      <c r="B357">
        <v>2018</v>
      </c>
      <c r="C357" t="s">
        <v>3622</v>
      </c>
      <c r="D357" t="s">
        <v>3623</v>
      </c>
      <c r="E357" t="s">
        <v>3253</v>
      </c>
      <c r="F357" s="3">
        <v>0.45054945054945</v>
      </c>
      <c r="G357">
        <v>7</v>
      </c>
      <c r="H357" t="str">
        <f t="shared" si="5"/>
        <v>2.Menor a 10 P</v>
      </c>
    </row>
    <row r="358" spans="1:8" x14ac:dyDescent="0.25">
      <c r="A358" t="s">
        <v>3624</v>
      </c>
      <c r="B358">
        <v>2018</v>
      </c>
      <c r="C358" t="s">
        <v>3625</v>
      </c>
      <c r="D358" t="s">
        <v>3626</v>
      </c>
      <c r="E358" t="s">
        <v>3253</v>
      </c>
      <c r="F358" s="3">
        <v>0.45054945054945</v>
      </c>
      <c r="G358">
        <v>6</v>
      </c>
      <c r="H358" t="str">
        <f t="shared" si="5"/>
        <v>2.Menor a 10 P</v>
      </c>
    </row>
    <row r="359" spans="1:8" x14ac:dyDescent="0.25">
      <c r="A359" t="s">
        <v>3627</v>
      </c>
      <c r="B359">
        <v>2018</v>
      </c>
      <c r="C359" t="s">
        <v>3628</v>
      </c>
      <c r="D359" t="s">
        <v>3629</v>
      </c>
      <c r="E359" t="s">
        <v>3253</v>
      </c>
      <c r="F359" s="3">
        <v>0.45054945054945</v>
      </c>
      <c r="G359">
        <v>14</v>
      </c>
      <c r="H359" t="str">
        <f t="shared" si="5"/>
        <v>3.Mayor a 10 P</v>
      </c>
    </row>
    <row r="360" spans="1:8" x14ac:dyDescent="0.25">
      <c r="A360" t="s">
        <v>3630</v>
      </c>
      <c r="B360">
        <v>2018</v>
      </c>
      <c r="C360" t="s">
        <v>3631</v>
      </c>
      <c r="D360" t="s">
        <v>3632</v>
      </c>
      <c r="E360" t="s">
        <v>3253</v>
      </c>
      <c r="F360" s="3">
        <v>0.45054945054945</v>
      </c>
      <c r="G360">
        <v>2</v>
      </c>
      <c r="H360" t="str">
        <f t="shared" si="5"/>
        <v>2.Menor a 10 P</v>
      </c>
    </row>
    <row r="361" spans="1:8" x14ac:dyDescent="0.25">
      <c r="A361" t="s">
        <v>3633</v>
      </c>
      <c r="B361">
        <v>2020</v>
      </c>
      <c r="C361" t="s">
        <v>3634</v>
      </c>
      <c r="D361" t="s">
        <v>3635</v>
      </c>
      <c r="E361" t="s">
        <v>3253</v>
      </c>
      <c r="F361" s="3">
        <v>0.45054945054945</v>
      </c>
      <c r="G361">
        <v>10</v>
      </c>
      <c r="H361" t="str">
        <f t="shared" si="5"/>
        <v>3.Mayor a 10 P</v>
      </c>
    </row>
    <row r="362" spans="1:8" x14ac:dyDescent="0.25">
      <c r="A362" t="s">
        <v>3636</v>
      </c>
      <c r="B362">
        <v>2024</v>
      </c>
      <c r="C362" t="s">
        <v>3637</v>
      </c>
      <c r="D362" t="s">
        <v>3638</v>
      </c>
      <c r="E362" t="s">
        <v>3253</v>
      </c>
      <c r="F362" s="3">
        <v>0.45054945054945</v>
      </c>
      <c r="G362">
        <v>16</v>
      </c>
      <c r="H362" t="str">
        <f t="shared" si="5"/>
        <v>3.Mayor a 10 P</v>
      </c>
    </row>
    <row r="363" spans="1:8" x14ac:dyDescent="0.25">
      <c r="A363" t="s">
        <v>3639</v>
      </c>
      <c r="B363">
        <v>2024</v>
      </c>
      <c r="C363" t="s">
        <v>2604</v>
      </c>
      <c r="D363" t="s">
        <v>3640</v>
      </c>
      <c r="E363" t="s">
        <v>3253</v>
      </c>
      <c r="F363" s="3">
        <v>0.45054945054945</v>
      </c>
      <c r="G363">
        <v>23</v>
      </c>
      <c r="H363" t="str">
        <f t="shared" si="5"/>
        <v>4.Mayor a 20 P</v>
      </c>
    </row>
    <row r="364" spans="1:8" x14ac:dyDescent="0.25">
      <c r="A364" t="s">
        <v>3641</v>
      </c>
      <c r="B364">
        <v>2024</v>
      </c>
      <c r="C364" t="s">
        <v>2604</v>
      </c>
      <c r="D364" t="s">
        <v>3642</v>
      </c>
      <c r="E364" t="s">
        <v>3253</v>
      </c>
      <c r="F364" s="3">
        <v>0.45054945054945</v>
      </c>
      <c r="G364">
        <v>4</v>
      </c>
      <c r="H364" t="str">
        <f t="shared" si="5"/>
        <v>2.Menor a 10 P</v>
      </c>
    </row>
    <row r="365" spans="1:8" x14ac:dyDescent="0.25">
      <c r="A365" t="s">
        <v>3643</v>
      </c>
      <c r="B365">
        <v>2024</v>
      </c>
      <c r="C365" t="s">
        <v>3644</v>
      </c>
      <c r="D365" t="s">
        <v>3645</v>
      </c>
      <c r="E365" t="s">
        <v>3253</v>
      </c>
      <c r="F365" s="3">
        <v>0.45054945054945</v>
      </c>
      <c r="G365">
        <v>6</v>
      </c>
      <c r="H365" t="str">
        <f t="shared" si="5"/>
        <v>2.Menor a 10 P</v>
      </c>
    </row>
    <row r="366" spans="1:8" x14ac:dyDescent="0.25">
      <c r="A366" t="s">
        <v>3646</v>
      </c>
      <c r="B366">
        <v>2024</v>
      </c>
      <c r="C366" t="s">
        <v>2604</v>
      </c>
      <c r="D366" t="s">
        <v>3647</v>
      </c>
      <c r="E366" t="s">
        <v>3253</v>
      </c>
      <c r="F366" s="3">
        <v>0.45054945054945</v>
      </c>
      <c r="G366">
        <v>1</v>
      </c>
      <c r="H366" t="str">
        <f t="shared" si="5"/>
        <v>2.Menor a 10 P</v>
      </c>
    </row>
    <row r="367" spans="1:8" x14ac:dyDescent="0.25">
      <c r="A367" t="s">
        <v>3648</v>
      </c>
      <c r="B367">
        <v>2024</v>
      </c>
      <c r="C367" t="s">
        <v>2604</v>
      </c>
      <c r="D367" t="s">
        <v>3649</v>
      </c>
      <c r="E367" t="s">
        <v>3253</v>
      </c>
      <c r="F367" s="3">
        <v>0.45054945054945</v>
      </c>
      <c r="G367">
        <v>32</v>
      </c>
      <c r="H367" t="str">
        <f t="shared" si="5"/>
        <v>4.Mayor a 20 P</v>
      </c>
    </row>
    <row r="368" spans="1:8" x14ac:dyDescent="0.25">
      <c r="A368" t="s">
        <v>3650</v>
      </c>
      <c r="B368">
        <v>2017</v>
      </c>
      <c r="C368" t="s">
        <v>2604</v>
      </c>
      <c r="D368" t="s">
        <v>3651</v>
      </c>
      <c r="E368" t="s">
        <v>3253</v>
      </c>
      <c r="F368" s="3">
        <v>0.45054945054945</v>
      </c>
      <c r="G368">
        <v>7</v>
      </c>
      <c r="H368" t="str">
        <f t="shared" si="5"/>
        <v>2.Menor a 10 P</v>
      </c>
    </row>
    <row r="369" spans="1:8" x14ac:dyDescent="0.25">
      <c r="A369" t="s">
        <v>3652</v>
      </c>
      <c r="B369">
        <v>2017</v>
      </c>
      <c r="C369" t="s">
        <v>3653</v>
      </c>
      <c r="D369" t="s">
        <v>3654</v>
      </c>
      <c r="E369" t="s">
        <v>3253</v>
      </c>
      <c r="F369" s="3">
        <v>0.45054945054945</v>
      </c>
      <c r="G369">
        <v>12</v>
      </c>
      <c r="H369" t="str">
        <f t="shared" si="5"/>
        <v>3.Mayor a 10 P</v>
      </c>
    </row>
    <row r="370" spans="1:8" x14ac:dyDescent="0.25">
      <c r="A370" t="s">
        <v>3655</v>
      </c>
      <c r="B370">
        <v>2022</v>
      </c>
      <c r="C370" t="s">
        <v>3656</v>
      </c>
      <c r="D370" t="s">
        <v>3657</v>
      </c>
      <c r="E370" t="s">
        <v>3253</v>
      </c>
      <c r="F370" s="3">
        <v>0.45054945054945</v>
      </c>
      <c r="G370">
        <v>9</v>
      </c>
      <c r="H370" t="str">
        <f t="shared" si="5"/>
        <v>2.Menor a 10 P</v>
      </c>
    </row>
    <row r="371" spans="1:8" x14ac:dyDescent="0.25">
      <c r="A371" t="s">
        <v>3658</v>
      </c>
      <c r="B371">
        <v>2025</v>
      </c>
      <c r="C371" t="s">
        <v>2604</v>
      </c>
      <c r="D371" t="s">
        <v>3659</v>
      </c>
      <c r="E371" t="s">
        <v>3253</v>
      </c>
      <c r="F371" s="3">
        <v>0.45054945054945</v>
      </c>
      <c r="G371">
        <v>6</v>
      </c>
      <c r="H371" t="str">
        <f t="shared" si="5"/>
        <v>2.Menor a 10 P</v>
      </c>
    </row>
    <row r="372" spans="1:8" x14ac:dyDescent="0.25">
      <c r="A372" t="s">
        <v>3660</v>
      </c>
      <c r="B372">
        <v>2025</v>
      </c>
      <c r="C372" t="s">
        <v>2604</v>
      </c>
      <c r="D372" t="s">
        <v>3661</v>
      </c>
      <c r="E372" t="s">
        <v>3253</v>
      </c>
      <c r="F372" s="3">
        <v>0.45054945054945</v>
      </c>
      <c r="G372">
        <v>3</v>
      </c>
      <c r="H372" t="str">
        <f t="shared" si="5"/>
        <v>2.Menor a 10 P</v>
      </c>
    </row>
    <row r="373" spans="1:8" x14ac:dyDescent="0.25">
      <c r="A373" t="s">
        <v>3662</v>
      </c>
      <c r="B373">
        <v>2025</v>
      </c>
      <c r="C373" t="s">
        <v>2604</v>
      </c>
      <c r="D373" t="s">
        <v>3663</v>
      </c>
      <c r="E373" t="s">
        <v>3253</v>
      </c>
      <c r="F373" s="3">
        <v>0.45054945054945</v>
      </c>
      <c r="G373">
        <v>10</v>
      </c>
      <c r="H373" t="str">
        <f t="shared" si="5"/>
        <v>3.Mayor a 10 P</v>
      </c>
    </row>
    <row r="374" spans="1:8" x14ac:dyDescent="0.25">
      <c r="A374" t="s">
        <v>3664</v>
      </c>
      <c r="B374">
        <v>2025</v>
      </c>
      <c r="C374" t="s">
        <v>2604</v>
      </c>
      <c r="D374" t="s">
        <v>3665</v>
      </c>
      <c r="E374" t="s">
        <v>3253</v>
      </c>
      <c r="F374" s="3">
        <v>0.45054945054945</v>
      </c>
      <c r="G374">
        <v>6</v>
      </c>
      <c r="H374" t="str">
        <f t="shared" si="5"/>
        <v>2.Menor a 10 P</v>
      </c>
    </row>
    <row r="375" spans="1:8" x14ac:dyDescent="0.25">
      <c r="A375" t="s">
        <v>3666</v>
      </c>
      <c r="B375">
        <v>2025</v>
      </c>
      <c r="C375" t="s">
        <v>3667</v>
      </c>
      <c r="D375" t="s">
        <v>3668</v>
      </c>
      <c r="E375" t="s">
        <v>3253</v>
      </c>
      <c r="F375" s="3">
        <v>0.45054945054945</v>
      </c>
      <c r="G375">
        <v>21</v>
      </c>
      <c r="H375" t="str">
        <f t="shared" si="5"/>
        <v>4.Mayor a 20 P</v>
      </c>
    </row>
    <row r="376" spans="1:8" x14ac:dyDescent="0.25">
      <c r="A376" t="s">
        <v>3669</v>
      </c>
      <c r="B376">
        <v>2025</v>
      </c>
      <c r="C376" t="s">
        <v>3670</v>
      </c>
      <c r="D376" t="s">
        <v>3671</v>
      </c>
      <c r="E376" t="s">
        <v>3253</v>
      </c>
      <c r="F376" s="3">
        <v>0.45054945054945</v>
      </c>
      <c r="G376">
        <v>12</v>
      </c>
      <c r="H376" t="str">
        <f t="shared" si="5"/>
        <v>3.Mayor a 10 P</v>
      </c>
    </row>
    <row r="377" spans="1:8" x14ac:dyDescent="0.25">
      <c r="A377" t="s">
        <v>3672</v>
      </c>
      <c r="B377">
        <v>2025</v>
      </c>
      <c r="C377" t="s">
        <v>3673</v>
      </c>
      <c r="D377" t="s">
        <v>3674</v>
      </c>
      <c r="E377" t="s">
        <v>3253</v>
      </c>
      <c r="F377" s="3">
        <v>0.45054945054945</v>
      </c>
      <c r="G377">
        <v>6</v>
      </c>
      <c r="H377" t="str">
        <f t="shared" si="5"/>
        <v>2.Menor a 10 P</v>
      </c>
    </row>
    <row r="378" spans="1:8" x14ac:dyDescent="0.25">
      <c r="A378" t="s">
        <v>3675</v>
      </c>
      <c r="B378">
        <v>2025</v>
      </c>
      <c r="C378" t="s">
        <v>2604</v>
      </c>
      <c r="D378" t="s">
        <v>3676</v>
      </c>
      <c r="E378" t="s">
        <v>3253</v>
      </c>
      <c r="F378" s="3">
        <v>0.45054945054945</v>
      </c>
      <c r="G378">
        <v>5</v>
      </c>
      <c r="H378" t="str">
        <f t="shared" si="5"/>
        <v>2.Menor a 10 P</v>
      </c>
    </row>
    <row r="379" spans="1:8" x14ac:dyDescent="0.25">
      <c r="A379" t="s">
        <v>3677</v>
      </c>
      <c r="B379">
        <v>2017</v>
      </c>
      <c r="C379" t="s">
        <v>3678</v>
      </c>
      <c r="D379" t="s">
        <v>3679</v>
      </c>
      <c r="E379" t="s">
        <v>3253</v>
      </c>
      <c r="F379" s="3">
        <v>0.45054945054945</v>
      </c>
      <c r="G379">
        <v>27</v>
      </c>
      <c r="H379" t="str">
        <f t="shared" si="5"/>
        <v>4.Mayor a 20 P</v>
      </c>
    </row>
    <row r="380" spans="1:8" x14ac:dyDescent="0.25">
      <c r="A380" t="s">
        <v>3680</v>
      </c>
      <c r="B380">
        <v>2024</v>
      </c>
      <c r="C380" t="s">
        <v>2604</v>
      </c>
      <c r="D380" t="s">
        <v>3681</v>
      </c>
      <c r="E380" t="s">
        <v>3253</v>
      </c>
      <c r="F380" s="3">
        <v>0.45054945054945</v>
      </c>
      <c r="G380">
        <v>7</v>
      </c>
      <c r="H380" t="str">
        <f t="shared" si="5"/>
        <v>2.Menor a 10 P</v>
      </c>
    </row>
    <row r="381" spans="1:8" x14ac:dyDescent="0.25">
      <c r="A381" t="s">
        <v>3682</v>
      </c>
      <c r="B381">
        <v>2024</v>
      </c>
      <c r="C381" t="s">
        <v>2604</v>
      </c>
      <c r="D381" t="s">
        <v>3683</v>
      </c>
      <c r="E381" t="s">
        <v>3253</v>
      </c>
      <c r="F381" s="3">
        <v>0.45054945054945</v>
      </c>
      <c r="G381">
        <v>10</v>
      </c>
      <c r="H381" t="str">
        <f t="shared" si="5"/>
        <v>3.Mayor a 10 P</v>
      </c>
    </row>
    <row r="382" spans="1:8" x14ac:dyDescent="0.25">
      <c r="A382" t="s">
        <v>3684</v>
      </c>
      <c r="B382">
        <v>2024</v>
      </c>
      <c r="C382" t="s">
        <v>3685</v>
      </c>
      <c r="D382" t="s">
        <v>3686</v>
      </c>
      <c r="E382" t="s">
        <v>3253</v>
      </c>
      <c r="F382" s="3">
        <v>0.45054945054945</v>
      </c>
      <c r="G382">
        <v>22</v>
      </c>
      <c r="H382" t="str">
        <f t="shared" si="5"/>
        <v>4.Mayor a 20 P</v>
      </c>
    </row>
    <row r="383" spans="1:8" x14ac:dyDescent="0.25">
      <c r="A383" t="s">
        <v>3687</v>
      </c>
      <c r="B383">
        <v>2024</v>
      </c>
      <c r="C383" t="s">
        <v>3688</v>
      </c>
      <c r="D383" t="s">
        <v>3689</v>
      </c>
      <c r="E383" t="s">
        <v>3253</v>
      </c>
      <c r="F383" s="3">
        <v>0.45054945054945</v>
      </c>
      <c r="G383">
        <v>2</v>
      </c>
      <c r="H383" t="str">
        <f t="shared" si="5"/>
        <v>2.Menor a 10 P</v>
      </c>
    </row>
    <row r="384" spans="1:8" x14ac:dyDescent="0.25">
      <c r="A384" t="s">
        <v>3690</v>
      </c>
      <c r="B384">
        <v>2024</v>
      </c>
      <c r="C384" t="s">
        <v>3691</v>
      </c>
      <c r="D384" t="s">
        <v>3692</v>
      </c>
      <c r="E384" t="s">
        <v>3253</v>
      </c>
      <c r="F384" s="3">
        <v>0.45054945054945</v>
      </c>
      <c r="G384">
        <v>5</v>
      </c>
      <c r="H384" t="str">
        <f t="shared" si="5"/>
        <v>2.Menor a 10 P</v>
      </c>
    </row>
    <row r="385" spans="1:8" x14ac:dyDescent="0.25">
      <c r="A385" t="s">
        <v>2609</v>
      </c>
      <c r="B385">
        <v>2024</v>
      </c>
      <c r="C385" t="s">
        <v>2604</v>
      </c>
      <c r="D385" t="s">
        <v>3693</v>
      </c>
      <c r="E385" t="s">
        <v>3253</v>
      </c>
      <c r="F385" s="3">
        <v>0.45054945054945</v>
      </c>
      <c r="G385">
        <v>5</v>
      </c>
      <c r="H385" t="str">
        <f t="shared" si="5"/>
        <v>2.Menor a 10 P</v>
      </c>
    </row>
    <row r="386" spans="1:8" x14ac:dyDescent="0.25">
      <c r="A386" t="s">
        <v>3694</v>
      </c>
      <c r="B386">
        <v>2024</v>
      </c>
      <c r="C386" t="s">
        <v>3695</v>
      </c>
      <c r="D386" t="s">
        <v>3696</v>
      </c>
      <c r="E386" t="s">
        <v>3253</v>
      </c>
      <c r="F386" s="3">
        <v>0.45054945054945</v>
      </c>
      <c r="G386">
        <v>15</v>
      </c>
      <c r="H386" t="str">
        <f t="shared" si="5"/>
        <v>3.Mayor a 10 P</v>
      </c>
    </row>
    <row r="387" spans="1:8" x14ac:dyDescent="0.25">
      <c r="A387" t="s">
        <v>3697</v>
      </c>
      <c r="B387">
        <v>2024</v>
      </c>
      <c r="C387" t="s">
        <v>2604</v>
      </c>
      <c r="D387" t="s">
        <v>3698</v>
      </c>
      <c r="E387" t="s">
        <v>3253</v>
      </c>
      <c r="F387" s="3">
        <v>0.45054945054945</v>
      </c>
      <c r="G387">
        <v>1</v>
      </c>
      <c r="H387" t="str">
        <f t="shared" ref="H387:H450" si="6">+IF(G387&gt;=100,"7.Mayor a 100 P",+IF(G387&gt;=70,"6.Mayor a 70 P",+IF(G387&gt;=40,"5.Mayor a 40 P",+IF(G387&gt;=20,"4.Mayor a 20 P",+IF(G387&gt;=10,"3.Mayor a 10 P",+IF(G387&lt;10,"2.Menor a 10 P",+IF(G387=0,"1.Sin Propiedades","Revsar")))))))</f>
        <v>2.Menor a 10 P</v>
      </c>
    </row>
    <row r="388" spans="1:8" x14ac:dyDescent="0.25">
      <c r="A388" t="s">
        <v>3699</v>
      </c>
      <c r="B388">
        <v>2024</v>
      </c>
      <c r="C388" t="s">
        <v>2604</v>
      </c>
      <c r="D388" t="s">
        <v>3700</v>
      </c>
      <c r="E388" t="s">
        <v>3253</v>
      </c>
      <c r="F388" s="3">
        <v>0.45054945054945</v>
      </c>
      <c r="G388">
        <v>7</v>
      </c>
      <c r="H388" t="str">
        <f t="shared" si="6"/>
        <v>2.Menor a 10 P</v>
      </c>
    </row>
    <row r="389" spans="1:8" x14ac:dyDescent="0.25">
      <c r="A389" t="s">
        <v>3701</v>
      </c>
      <c r="B389">
        <v>2025</v>
      </c>
      <c r="C389" t="s">
        <v>3702</v>
      </c>
      <c r="D389" t="s">
        <v>3703</v>
      </c>
      <c r="E389" t="s">
        <v>3253</v>
      </c>
      <c r="F389" s="3">
        <v>0.45054945054945</v>
      </c>
      <c r="G389">
        <v>3</v>
      </c>
      <c r="H389" t="str">
        <f t="shared" si="6"/>
        <v>2.Menor a 10 P</v>
      </c>
    </row>
    <row r="390" spans="1:8" x14ac:dyDescent="0.25">
      <c r="A390" t="s">
        <v>3704</v>
      </c>
      <c r="B390">
        <v>2025</v>
      </c>
      <c r="C390" t="s">
        <v>3705</v>
      </c>
      <c r="D390" t="s">
        <v>3706</v>
      </c>
      <c r="E390" t="s">
        <v>3253</v>
      </c>
      <c r="F390" s="3">
        <v>0.45054945054945</v>
      </c>
      <c r="G390">
        <v>45</v>
      </c>
      <c r="H390" t="str">
        <f t="shared" si="6"/>
        <v>5.Mayor a 40 P</v>
      </c>
    </row>
    <row r="391" spans="1:8" x14ac:dyDescent="0.25">
      <c r="A391" t="s">
        <v>3707</v>
      </c>
      <c r="B391">
        <v>2025</v>
      </c>
      <c r="C391" t="s">
        <v>3708</v>
      </c>
      <c r="D391" t="s">
        <v>3709</v>
      </c>
      <c r="E391" t="s">
        <v>3253</v>
      </c>
      <c r="F391" s="3">
        <v>0.45054945054945</v>
      </c>
      <c r="G391">
        <v>21</v>
      </c>
      <c r="H391" t="str">
        <f t="shared" si="6"/>
        <v>4.Mayor a 20 P</v>
      </c>
    </row>
    <row r="392" spans="1:8" x14ac:dyDescent="0.25">
      <c r="A392" t="s">
        <v>3710</v>
      </c>
      <c r="B392">
        <v>2024</v>
      </c>
      <c r="C392" t="s">
        <v>2604</v>
      </c>
      <c r="D392" t="s">
        <v>3711</v>
      </c>
      <c r="E392" t="s">
        <v>3253</v>
      </c>
      <c r="F392" s="3">
        <v>0.45054945054945</v>
      </c>
      <c r="G392">
        <v>12</v>
      </c>
      <c r="H392" t="str">
        <f t="shared" si="6"/>
        <v>3.Mayor a 10 P</v>
      </c>
    </row>
    <row r="393" spans="1:8" x14ac:dyDescent="0.25">
      <c r="A393" t="s">
        <v>3712</v>
      </c>
      <c r="B393">
        <v>2024</v>
      </c>
      <c r="C393" t="s">
        <v>3713</v>
      </c>
      <c r="D393" t="s">
        <v>3714</v>
      </c>
      <c r="E393" t="s">
        <v>3253</v>
      </c>
      <c r="F393" s="3">
        <v>0.45054945054945</v>
      </c>
      <c r="G393">
        <v>12</v>
      </c>
      <c r="H393" t="str">
        <f t="shared" si="6"/>
        <v>3.Mayor a 10 P</v>
      </c>
    </row>
    <row r="394" spans="1:8" x14ac:dyDescent="0.25">
      <c r="A394" t="s">
        <v>3715</v>
      </c>
      <c r="B394">
        <v>2024</v>
      </c>
      <c r="C394" t="s">
        <v>3716</v>
      </c>
      <c r="D394" t="s">
        <v>3717</v>
      </c>
      <c r="E394" t="s">
        <v>3253</v>
      </c>
      <c r="F394" s="3">
        <v>0.45054945054945</v>
      </c>
      <c r="G394">
        <v>29</v>
      </c>
      <c r="H394" t="str">
        <f t="shared" si="6"/>
        <v>4.Mayor a 20 P</v>
      </c>
    </row>
    <row r="395" spans="1:8" x14ac:dyDescent="0.25">
      <c r="A395" t="s">
        <v>3718</v>
      </c>
      <c r="B395">
        <v>2024</v>
      </c>
      <c r="C395" t="s">
        <v>3719</v>
      </c>
      <c r="D395" t="s">
        <v>3720</v>
      </c>
      <c r="E395" t="s">
        <v>3253</v>
      </c>
      <c r="F395" s="3">
        <v>0.45054945054945</v>
      </c>
      <c r="G395">
        <v>2</v>
      </c>
      <c r="H395" t="str">
        <f t="shared" si="6"/>
        <v>2.Menor a 10 P</v>
      </c>
    </row>
    <row r="396" spans="1:8" x14ac:dyDescent="0.25">
      <c r="A396" t="s">
        <v>3721</v>
      </c>
      <c r="B396">
        <v>2024</v>
      </c>
      <c r="C396" t="s">
        <v>2604</v>
      </c>
      <c r="D396" t="s">
        <v>3722</v>
      </c>
      <c r="E396" t="s">
        <v>3253</v>
      </c>
      <c r="F396" s="3">
        <v>0.45054945054945</v>
      </c>
      <c r="G396">
        <v>4</v>
      </c>
      <c r="H396" t="str">
        <f t="shared" si="6"/>
        <v>2.Menor a 10 P</v>
      </c>
    </row>
    <row r="397" spans="1:8" x14ac:dyDescent="0.25">
      <c r="A397" t="s">
        <v>2609</v>
      </c>
      <c r="B397">
        <v>2025</v>
      </c>
      <c r="C397" t="s">
        <v>2604</v>
      </c>
      <c r="D397" t="s">
        <v>3723</v>
      </c>
      <c r="E397" t="s">
        <v>3253</v>
      </c>
      <c r="F397" s="3">
        <v>0.45054945054945</v>
      </c>
      <c r="G397">
        <v>1</v>
      </c>
      <c r="H397" t="str">
        <f t="shared" si="6"/>
        <v>2.Menor a 10 P</v>
      </c>
    </row>
    <row r="398" spans="1:8" x14ac:dyDescent="0.25">
      <c r="A398" t="s">
        <v>3724</v>
      </c>
      <c r="B398">
        <v>2018</v>
      </c>
      <c r="C398" t="s">
        <v>3725</v>
      </c>
      <c r="D398" t="s">
        <v>3726</v>
      </c>
      <c r="E398" t="s">
        <v>3253</v>
      </c>
      <c r="F398" s="3">
        <v>0.45054945054945</v>
      </c>
      <c r="G398">
        <v>29</v>
      </c>
      <c r="H398" t="str">
        <f t="shared" si="6"/>
        <v>4.Mayor a 20 P</v>
      </c>
    </row>
    <row r="399" spans="1:8" x14ac:dyDescent="0.25">
      <c r="A399" t="s">
        <v>3727</v>
      </c>
      <c r="B399">
        <v>2016</v>
      </c>
      <c r="C399" t="s">
        <v>3728</v>
      </c>
      <c r="D399" t="s">
        <v>3729</v>
      </c>
      <c r="E399" t="s">
        <v>3253</v>
      </c>
      <c r="F399" s="3">
        <v>0.45054945054945</v>
      </c>
      <c r="G399">
        <v>9</v>
      </c>
      <c r="H399" t="str">
        <f t="shared" si="6"/>
        <v>2.Menor a 10 P</v>
      </c>
    </row>
    <row r="400" spans="1:8" x14ac:dyDescent="0.25">
      <c r="A400" t="s">
        <v>3730</v>
      </c>
      <c r="B400">
        <v>2016</v>
      </c>
      <c r="C400" t="s">
        <v>2604</v>
      </c>
      <c r="D400" t="s">
        <v>3731</v>
      </c>
      <c r="E400" t="s">
        <v>3253</v>
      </c>
      <c r="F400" s="3">
        <v>0.45054945054945</v>
      </c>
      <c r="G400">
        <v>2</v>
      </c>
      <c r="H400" t="str">
        <f t="shared" si="6"/>
        <v>2.Menor a 10 P</v>
      </c>
    </row>
    <row r="401" spans="1:8" x14ac:dyDescent="0.25">
      <c r="A401" t="s">
        <v>3732</v>
      </c>
      <c r="B401">
        <v>2017</v>
      </c>
      <c r="C401" t="s">
        <v>3733</v>
      </c>
      <c r="D401" t="s">
        <v>3734</v>
      </c>
      <c r="E401" t="s">
        <v>3253</v>
      </c>
      <c r="F401" s="3">
        <v>0.45054945054945</v>
      </c>
      <c r="G401">
        <v>15</v>
      </c>
      <c r="H401" t="str">
        <f t="shared" si="6"/>
        <v>3.Mayor a 10 P</v>
      </c>
    </row>
    <row r="402" spans="1:8" x14ac:dyDescent="0.25">
      <c r="A402" t="s">
        <v>3735</v>
      </c>
      <c r="B402">
        <v>2017</v>
      </c>
      <c r="C402" t="s">
        <v>2604</v>
      </c>
      <c r="D402" t="s">
        <v>3736</v>
      </c>
      <c r="E402" t="s">
        <v>3253</v>
      </c>
      <c r="F402" s="3">
        <v>0.45054945054945</v>
      </c>
      <c r="G402">
        <v>7</v>
      </c>
      <c r="H402" t="str">
        <f t="shared" si="6"/>
        <v>2.Menor a 10 P</v>
      </c>
    </row>
    <row r="403" spans="1:8" x14ac:dyDescent="0.25">
      <c r="A403" t="s">
        <v>3737</v>
      </c>
      <c r="B403">
        <v>2017</v>
      </c>
      <c r="C403" t="s">
        <v>3738</v>
      </c>
      <c r="D403" t="s">
        <v>3739</v>
      </c>
      <c r="E403" t="s">
        <v>3253</v>
      </c>
      <c r="F403" s="3">
        <v>0.45054945054945</v>
      </c>
      <c r="G403">
        <v>6</v>
      </c>
      <c r="H403" t="str">
        <f t="shared" si="6"/>
        <v>2.Menor a 10 P</v>
      </c>
    </row>
    <row r="404" spans="1:8" x14ac:dyDescent="0.25">
      <c r="A404" t="s">
        <v>3740</v>
      </c>
      <c r="B404">
        <v>2017</v>
      </c>
      <c r="C404" t="s">
        <v>3741</v>
      </c>
      <c r="D404" t="s">
        <v>3742</v>
      </c>
      <c r="E404" t="s">
        <v>3253</v>
      </c>
      <c r="F404" s="3">
        <v>0.45054945054945</v>
      </c>
      <c r="G404">
        <v>9</v>
      </c>
      <c r="H404" t="str">
        <f t="shared" si="6"/>
        <v>2.Menor a 10 P</v>
      </c>
    </row>
    <row r="405" spans="1:8" x14ac:dyDescent="0.25">
      <c r="A405" t="s">
        <v>3743</v>
      </c>
      <c r="B405">
        <v>2016</v>
      </c>
      <c r="C405" t="s">
        <v>3744</v>
      </c>
      <c r="D405" t="s">
        <v>3745</v>
      </c>
      <c r="E405" t="s">
        <v>3253</v>
      </c>
      <c r="F405" s="3">
        <v>0.45054945054945</v>
      </c>
      <c r="G405">
        <v>12</v>
      </c>
      <c r="H405" t="str">
        <f t="shared" si="6"/>
        <v>3.Mayor a 10 P</v>
      </c>
    </row>
    <row r="406" spans="1:8" x14ac:dyDescent="0.25">
      <c r="A406" t="s">
        <v>3746</v>
      </c>
      <c r="B406">
        <v>2025</v>
      </c>
      <c r="C406" t="s">
        <v>3747</v>
      </c>
      <c r="D406" t="s">
        <v>3748</v>
      </c>
      <c r="E406" t="s">
        <v>3253</v>
      </c>
      <c r="F406" s="3">
        <v>0.45054945054945</v>
      </c>
      <c r="G406">
        <v>9</v>
      </c>
      <c r="H406" t="str">
        <f t="shared" si="6"/>
        <v>2.Menor a 10 P</v>
      </c>
    </row>
    <row r="407" spans="1:8" x14ac:dyDescent="0.25">
      <c r="A407" t="s">
        <v>3749</v>
      </c>
      <c r="B407">
        <v>2017</v>
      </c>
      <c r="C407" t="s">
        <v>3750</v>
      </c>
      <c r="D407" t="s">
        <v>3751</v>
      </c>
      <c r="E407" t="s">
        <v>3253</v>
      </c>
      <c r="F407" s="3">
        <v>0.45054945054945</v>
      </c>
      <c r="G407">
        <v>22</v>
      </c>
      <c r="H407" t="str">
        <f t="shared" si="6"/>
        <v>4.Mayor a 20 P</v>
      </c>
    </row>
    <row r="408" spans="1:8" x14ac:dyDescent="0.25">
      <c r="A408" t="s">
        <v>3752</v>
      </c>
      <c r="B408">
        <v>2025</v>
      </c>
      <c r="C408" t="s">
        <v>2604</v>
      </c>
      <c r="D408" t="s">
        <v>3753</v>
      </c>
      <c r="E408" t="s">
        <v>3253</v>
      </c>
      <c r="F408" s="3">
        <v>0.45054945054945</v>
      </c>
      <c r="G408">
        <v>8</v>
      </c>
      <c r="H408" t="str">
        <f t="shared" si="6"/>
        <v>2.Menor a 10 P</v>
      </c>
    </row>
    <row r="409" spans="1:8" x14ac:dyDescent="0.25">
      <c r="A409" t="s">
        <v>3754</v>
      </c>
      <c r="B409">
        <v>2025</v>
      </c>
      <c r="C409" t="s">
        <v>2604</v>
      </c>
      <c r="D409" t="s">
        <v>3755</v>
      </c>
      <c r="E409" t="s">
        <v>3253</v>
      </c>
      <c r="F409" s="3">
        <v>0.45054945054945</v>
      </c>
      <c r="G409">
        <v>2</v>
      </c>
      <c r="H409" t="str">
        <f t="shared" si="6"/>
        <v>2.Menor a 10 P</v>
      </c>
    </row>
    <row r="410" spans="1:8" x14ac:dyDescent="0.25">
      <c r="A410" t="s">
        <v>3756</v>
      </c>
      <c r="B410">
        <v>2025</v>
      </c>
      <c r="C410" t="s">
        <v>3757</v>
      </c>
      <c r="D410" t="s">
        <v>3758</v>
      </c>
      <c r="E410" t="s">
        <v>3253</v>
      </c>
      <c r="F410" s="3">
        <v>0.45054945054945</v>
      </c>
      <c r="G410">
        <v>44</v>
      </c>
      <c r="H410" t="str">
        <f t="shared" si="6"/>
        <v>5.Mayor a 40 P</v>
      </c>
    </row>
    <row r="411" spans="1:8" x14ac:dyDescent="0.25">
      <c r="A411" t="s">
        <v>3759</v>
      </c>
      <c r="B411">
        <v>2025</v>
      </c>
      <c r="C411" t="s">
        <v>3760</v>
      </c>
      <c r="D411" t="s">
        <v>3761</v>
      </c>
      <c r="E411" t="s">
        <v>3253</v>
      </c>
      <c r="F411" s="3">
        <v>0.45054945054945</v>
      </c>
      <c r="G411">
        <v>4</v>
      </c>
      <c r="H411" t="str">
        <f t="shared" si="6"/>
        <v>2.Menor a 10 P</v>
      </c>
    </row>
    <row r="412" spans="1:8" x14ac:dyDescent="0.25">
      <c r="A412" t="s">
        <v>3762</v>
      </c>
      <c r="B412">
        <v>2025</v>
      </c>
      <c r="C412" t="s">
        <v>2604</v>
      </c>
      <c r="D412" t="s">
        <v>3763</v>
      </c>
      <c r="E412" t="s">
        <v>3253</v>
      </c>
      <c r="F412" s="3">
        <v>0.45054945054945</v>
      </c>
      <c r="G412">
        <v>3</v>
      </c>
      <c r="H412" t="str">
        <f t="shared" si="6"/>
        <v>2.Menor a 10 P</v>
      </c>
    </row>
    <row r="413" spans="1:8" x14ac:dyDescent="0.25">
      <c r="A413" t="s">
        <v>3764</v>
      </c>
      <c r="B413">
        <v>2024</v>
      </c>
      <c r="C413" t="s">
        <v>3765</v>
      </c>
      <c r="D413" t="s">
        <v>3766</v>
      </c>
      <c r="E413" t="s">
        <v>3253</v>
      </c>
      <c r="F413" s="3">
        <v>0.45054945054945</v>
      </c>
      <c r="G413">
        <v>173</v>
      </c>
      <c r="H413" t="str">
        <f t="shared" si="6"/>
        <v>7.Mayor a 100 P</v>
      </c>
    </row>
    <row r="414" spans="1:8" x14ac:dyDescent="0.25">
      <c r="A414" t="s">
        <v>3767</v>
      </c>
      <c r="B414">
        <v>2024</v>
      </c>
      <c r="C414" t="s">
        <v>3768</v>
      </c>
      <c r="D414" t="s">
        <v>3769</v>
      </c>
      <c r="E414" t="s">
        <v>3253</v>
      </c>
      <c r="F414" s="3">
        <v>0.45054945054945</v>
      </c>
      <c r="G414">
        <v>26</v>
      </c>
      <c r="H414" t="str">
        <f t="shared" si="6"/>
        <v>4.Mayor a 20 P</v>
      </c>
    </row>
    <row r="415" spans="1:8" x14ac:dyDescent="0.25">
      <c r="A415" t="s">
        <v>3770</v>
      </c>
      <c r="B415">
        <v>2017</v>
      </c>
      <c r="C415" t="s">
        <v>3771</v>
      </c>
      <c r="D415" t="s">
        <v>3772</v>
      </c>
      <c r="E415" t="s">
        <v>3253</v>
      </c>
      <c r="F415" s="3">
        <v>0.45054945054945</v>
      </c>
      <c r="G415">
        <v>14</v>
      </c>
      <c r="H415" t="str">
        <f t="shared" si="6"/>
        <v>3.Mayor a 10 P</v>
      </c>
    </row>
    <row r="416" spans="1:8" x14ac:dyDescent="0.25">
      <c r="A416" t="s">
        <v>3773</v>
      </c>
      <c r="B416">
        <v>2025</v>
      </c>
      <c r="C416" t="s">
        <v>2604</v>
      </c>
      <c r="D416" t="s">
        <v>3774</v>
      </c>
      <c r="E416" t="s">
        <v>3253</v>
      </c>
      <c r="F416" s="3">
        <v>0.45054945054945</v>
      </c>
      <c r="G416">
        <v>9</v>
      </c>
      <c r="H416" t="str">
        <f t="shared" si="6"/>
        <v>2.Menor a 10 P</v>
      </c>
    </row>
    <row r="417" spans="1:8" x14ac:dyDescent="0.25">
      <c r="A417" t="s">
        <v>3775</v>
      </c>
      <c r="B417">
        <v>2025</v>
      </c>
      <c r="C417" t="s">
        <v>2604</v>
      </c>
      <c r="D417" t="s">
        <v>3776</v>
      </c>
      <c r="E417" t="s">
        <v>3253</v>
      </c>
      <c r="F417" s="3">
        <v>0.45054945054945</v>
      </c>
      <c r="G417">
        <v>3</v>
      </c>
      <c r="H417" t="str">
        <f t="shared" si="6"/>
        <v>2.Menor a 10 P</v>
      </c>
    </row>
    <row r="418" spans="1:8" x14ac:dyDescent="0.25">
      <c r="A418" t="s">
        <v>3777</v>
      </c>
      <c r="B418">
        <v>2025</v>
      </c>
      <c r="C418" t="s">
        <v>2604</v>
      </c>
      <c r="D418" t="s">
        <v>3778</v>
      </c>
      <c r="E418" t="s">
        <v>3253</v>
      </c>
      <c r="F418" s="3">
        <v>0.45054945054945</v>
      </c>
      <c r="G418">
        <v>3</v>
      </c>
      <c r="H418" t="str">
        <f t="shared" si="6"/>
        <v>2.Menor a 10 P</v>
      </c>
    </row>
    <row r="419" spans="1:8" x14ac:dyDescent="0.25">
      <c r="A419" t="s">
        <v>3779</v>
      </c>
      <c r="B419">
        <v>2025</v>
      </c>
      <c r="C419" t="s">
        <v>2604</v>
      </c>
      <c r="D419" t="s">
        <v>3780</v>
      </c>
      <c r="E419" t="s">
        <v>3253</v>
      </c>
      <c r="F419" s="3">
        <v>0.45054945054945</v>
      </c>
      <c r="G419">
        <v>6</v>
      </c>
      <c r="H419" t="str">
        <f t="shared" si="6"/>
        <v>2.Menor a 10 P</v>
      </c>
    </row>
    <row r="420" spans="1:8" x14ac:dyDescent="0.25">
      <c r="A420" t="s">
        <v>3781</v>
      </c>
      <c r="B420">
        <v>2016</v>
      </c>
      <c r="C420" t="s">
        <v>3782</v>
      </c>
      <c r="D420" t="s">
        <v>3783</v>
      </c>
      <c r="E420" t="s">
        <v>3253</v>
      </c>
      <c r="F420" s="3">
        <v>0.45054945054945</v>
      </c>
      <c r="G420">
        <v>7</v>
      </c>
      <c r="H420" t="str">
        <f t="shared" si="6"/>
        <v>2.Menor a 10 P</v>
      </c>
    </row>
    <row r="421" spans="1:8" x14ac:dyDescent="0.25">
      <c r="A421" t="s">
        <v>3784</v>
      </c>
      <c r="B421">
        <v>2024</v>
      </c>
      <c r="C421" t="s">
        <v>2604</v>
      </c>
      <c r="D421" t="s">
        <v>3785</v>
      </c>
      <c r="E421" t="s">
        <v>3253</v>
      </c>
      <c r="F421" s="3">
        <v>0.45054945054945</v>
      </c>
      <c r="G421">
        <v>7</v>
      </c>
      <c r="H421" t="str">
        <f t="shared" si="6"/>
        <v>2.Menor a 10 P</v>
      </c>
    </row>
    <row r="422" spans="1:8" x14ac:dyDescent="0.25">
      <c r="A422" t="s">
        <v>3786</v>
      </c>
      <c r="B422">
        <v>2024</v>
      </c>
      <c r="C422" t="s">
        <v>2604</v>
      </c>
      <c r="D422" t="s">
        <v>3787</v>
      </c>
      <c r="E422" t="s">
        <v>3253</v>
      </c>
      <c r="F422" s="3">
        <v>0.45054945054945</v>
      </c>
      <c r="G422">
        <v>7</v>
      </c>
      <c r="H422" t="str">
        <f t="shared" si="6"/>
        <v>2.Menor a 10 P</v>
      </c>
    </row>
    <row r="423" spans="1:8" x14ac:dyDescent="0.25">
      <c r="A423" t="s">
        <v>3788</v>
      </c>
      <c r="B423">
        <v>2024</v>
      </c>
      <c r="C423" t="s">
        <v>2604</v>
      </c>
      <c r="D423" t="s">
        <v>3789</v>
      </c>
      <c r="E423" t="s">
        <v>3253</v>
      </c>
      <c r="F423" s="3">
        <v>0.45054945054945</v>
      </c>
      <c r="G423">
        <v>1</v>
      </c>
      <c r="H423" t="str">
        <f t="shared" si="6"/>
        <v>2.Menor a 10 P</v>
      </c>
    </row>
    <row r="424" spans="1:8" x14ac:dyDescent="0.25">
      <c r="A424" t="s">
        <v>3790</v>
      </c>
      <c r="B424">
        <v>2018</v>
      </c>
      <c r="C424" t="s">
        <v>3791</v>
      </c>
      <c r="D424" t="s">
        <v>3792</v>
      </c>
      <c r="E424" t="s">
        <v>3253</v>
      </c>
      <c r="F424" s="3">
        <v>0.45054945054945</v>
      </c>
      <c r="G424">
        <v>57</v>
      </c>
      <c r="H424" t="str">
        <f t="shared" si="6"/>
        <v>5.Mayor a 40 P</v>
      </c>
    </row>
    <row r="425" spans="1:8" x14ac:dyDescent="0.25">
      <c r="A425" t="s">
        <v>3793</v>
      </c>
      <c r="B425">
        <v>2024</v>
      </c>
      <c r="C425" t="s">
        <v>3794</v>
      </c>
      <c r="D425" t="s">
        <v>3795</v>
      </c>
      <c r="E425" t="s">
        <v>3253</v>
      </c>
      <c r="F425" s="3">
        <v>0.45054945054945</v>
      </c>
      <c r="G425">
        <v>13</v>
      </c>
      <c r="H425" t="str">
        <f t="shared" si="6"/>
        <v>3.Mayor a 10 P</v>
      </c>
    </row>
    <row r="426" spans="1:8" x14ac:dyDescent="0.25">
      <c r="A426" t="s">
        <v>3796</v>
      </c>
      <c r="B426">
        <v>2024</v>
      </c>
      <c r="C426" t="s">
        <v>3797</v>
      </c>
      <c r="D426" t="s">
        <v>3798</v>
      </c>
      <c r="E426" t="s">
        <v>3253</v>
      </c>
      <c r="F426" s="3">
        <v>0.45054945054945</v>
      </c>
      <c r="G426">
        <v>11</v>
      </c>
      <c r="H426" t="str">
        <f t="shared" si="6"/>
        <v>3.Mayor a 10 P</v>
      </c>
    </row>
    <row r="427" spans="1:8" x14ac:dyDescent="0.25">
      <c r="A427" t="s">
        <v>3799</v>
      </c>
      <c r="B427">
        <v>2024</v>
      </c>
      <c r="C427" t="s">
        <v>2604</v>
      </c>
      <c r="D427" t="s">
        <v>3800</v>
      </c>
      <c r="E427" t="s">
        <v>3253</v>
      </c>
      <c r="F427" s="3">
        <v>0.45054945054945</v>
      </c>
      <c r="G427">
        <v>8</v>
      </c>
      <c r="H427" t="str">
        <f t="shared" si="6"/>
        <v>2.Menor a 10 P</v>
      </c>
    </row>
    <row r="428" spans="1:8" x14ac:dyDescent="0.25">
      <c r="A428" t="s">
        <v>3801</v>
      </c>
      <c r="B428">
        <v>2018</v>
      </c>
      <c r="C428" t="s">
        <v>3802</v>
      </c>
      <c r="D428" t="s">
        <v>3803</v>
      </c>
      <c r="E428" t="s">
        <v>3253</v>
      </c>
      <c r="F428" s="3">
        <v>0.45054945054945</v>
      </c>
      <c r="G428">
        <v>17</v>
      </c>
      <c r="H428" t="str">
        <f t="shared" si="6"/>
        <v>3.Mayor a 10 P</v>
      </c>
    </row>
    <row r="429" spans="1:8" x14ac:dyDescent="0.25">
      <c r="A429" t="s">
        <v>3804</v>
      </c>
      <c r="B429">
        <v>2025</v>
      </c>
      <c r="C429" t="s">
        <v>3805</v>
      </c>
      <c r="D429" t="s">
        <v>3806</v>
      </c>
      <c r="E429" t="s">
        <v>3253</v>
      </c>
      <c r="F429" s="3">
        <v>0.45054945054945</v>
      </c>
      <c r="G429">
        <v>4</v>
      </c>
      <c r="H429" t="str">
        <f t="shared" si="6"/>
        <v>2.Menor a 10 P</v>
      </c>
    </row>
    <row r="430" spans="1:8" x14ac:dyDescent="0.25">
      <c r="A430" t="s">
        <v>3807</v>
      </c>
      <c r="B430">
        <v>2025</v>
      </c>
      <c r="C430" t="s">
        <v>3808</v>
      </c>
      <c r="D430" t="s">
        <v>3809</v>
      </c>
      <c r="E430" t="s">
        <v>3253</v>
      </c>
      <c r="F430" s="3">
        <v>0.45054945054945</v>
      </c>
      <c r="G430">
        <v>14</v>
      </c>
      <c r="H430" t="str">
        <f t="shared" si="6"/>
        <v>3.Mayor a 10 P</v>
      </c>
    </row>
    <row r="431" spans="1:8" x14ac:dyDescent="0.25">
      <c r="A431" t="s">
        <v>3810</v>
      </c>
      <c r="B431">
        <v>2018</v>
      </c>
      <c r="C431" t="s">
        <v>3811</v>
      </c>
      <c r="D431" t="s">
        <v>3812</v>
      </c>
      <c r="E431" t="s">
        <v>3253</v>
      </c>
      <c r="F431" s="3">
        <v>0.45054945054945</v>
      </c>
      <c r="G431">
        <v>3</v>
      </c>
      <c r="H431" t="str">
        <f t="shared" si="6"/>
        <v>2.Menor a 10 P</v>
      </c>
    </row>
    <row r="432" spans="1:8" x14ac:dyDescent="0.25">
      <c r="A432" t="s">
        <v>3813</v>
      </c>
      <c r="B432">
        <v>2018</v>
      </c>
      <c r="C432" t="s">
        <v>3814</v>
      </c>
      <c r="D432" t="s">
        <v>3815</v>
      </c>
      <c r="E432" t="s">
        <v>3253</v>
      </c>
      <c r="F432" s="3">
        <v>0.45054945054945</v>
      </c>
      <c r="G432">
        <v>26</v>
      </c>
      <c r="H432" t="str">
        <f t="shared" si="6"/>
        <v>4.Mayor a 20 P</v>
      </c>
    </row>
    <row r="433" spans="1:8" x14ac:dyDescent="0.25">
      <c r="A433" t="s">
        <v>3816</v>
      </c>
      <c r="B433">
        <v>2024</v>
      </c>
      <c r="C433" t="s">
        <v>2604</v>
      </c>
      <c r="D433" t="s">
        <v>3817</v>
      </c>
      <c r="E433" t="s">
        <v>3253</v>
      </c>
      <c r="F433" s="3">
        <v>0.45054945054945</v>
      </c>
      <c r="G433">
        <v>16</v>
      </c>
      <c r="H433" t="str">
        <f t="shared" si="6"/>
        <v>3.Mayor a 10 P</v>
      </c>
    </row>
    <row r="434" spans="1:8" x14ac:dyDescent="0.25">
      <c r="A434" t="s">
        <v>3818</v>
      </c>
      <c r="B434">
        <v>2023</v>
      </c>
      <c r="C434" t="s">
        <v>3819</v>
      </c>
      <c r="D434" t="s">
        <v>3820</v>
      </c>
      <c r="E434" t="s">
        <v>3253</v>
      </c>
      <c r="F434" s="3">
        <v>0.45054945054945</v>
      </c>
      <c r="G434">
        <v>13</v>
      </c>
      <c r="H434" t="str">
        <f t="shared" si="6"/>
        <v>3.Mayor a 10 P</v>
      </c>
    </row>
    <row r="435" spans="1:8" x14ac:dyDescent="0.25">
      <c r="A435" t="s">
        <v>3821</v>
      </c>
      <c r="B435">
        <v>2023</v>
      </c>
      <c r="C435" t="s">
        <v>3822</v>
      </c>
      <c r="D435" t="s">
        <v>3823</v>
      </c>
      <c r="E435" t="s">
        <v>3253</v>
      </c>
      <c r="F435" s="3">
        <v>0.45054945054945</v>
      </c>
      <c r="G435">
        <v>16</v>
      </c>
      <c r="H435" t="str">
        <f t="shared" si="6"/>
        <v>3.Mayor a 10 P</v>
      </c>
    </row>
    <row r="436" spans="1:8" x14ac:dyDescent="0.25">
      <c r="A436" t="s">
        <v>3824</v>
      </c>
      <c r="B436">
        <v>2023</v>
      </c>
      <c r="C436" t="s">
        <v>2604</v>
      </c>
      <c r="D436" t="s">
        <v>3825</v>
      </c>
      <c r="E436" t="s">
        <v>3253</v>
      </c>
      <c r="F436" s="3">
        <v>0.45054945054945</v>
      </c>
      <c r="G436">
        <v>8</v>
      </c>
      <c r="H436" t="str">
        <f t="shared" si="6"/>
        <v>2.Menor a 10 P</v>
      </c>
    </row>
    <row r="437" spans="1:8" x14ac:dyDescent="0.25">
      <c r="A437" t="s">
        <v>3826</v>
      </c>
      <c r="B437">
        <v>2023</v>
      </c>
      <c r="C437" t="s">
        <v>3827</v>
      </c>
      <c r="D437" t="s">
        <v>3828</v>
      </c>
      <c r="E437" t="s">
        <v>3253</v>
      </c>
      <c r="F437" s="3">
        <v>0.45054945054945</v>
      </c>
      <c r="G437">
        <v>45</v>
      </c>
      <c r="H437" t="str">
        <f t="shared" si="6"/>
        <v>5.Mayor a 40 P</v>
      </c>
    </row>
    <row r="438" spans="1:8" x14ac:dyDescent="0.25">
      <c r="A438" t="s">
        <v>3829</v>
      </c>
      <c r="B438">
        <v>2023</v>
      </c>
      <c r="C438" t="s">
        <v>2604</v>
      </c>
      <c r="D438" t="s">
        <v>3830</v>
      </c>
      <c r="E438" t="s">
        <v>3253</v>
      </c>
      <c r="F438" s="3">
        <v>0.45054945054945</v>
      </c>
      <c r="G438">
        <v>2</v>
      </c>
      <c r="H438" t="str">
        <f t="shared" si="6"/>
        <v>2.Menor a 10 P</v>
      </c>
    </row>
    <row r="439" spans="1:8" x14ac:dyDescent="0.25">
      <c r="A439" t="s">
        <v>3831</v>
      </c>
      <c r="B439">
        <v>2023</v>
      </c>
      <c r="C439" t="s">
        <v>2604</v>
      </c>
      <c r="D439" t="s">
        <v>3832</v>
      </c>
      <c r="E439" t="s">
        <v>3253</v>
      </c>
      <c r="F439" s="3">
        <v>0.45054945054945</v>
      </c>
      <c r="G439">
        <v>22</v>
      </c>
      <c r="H439" t="str">
        <f t="shared" si="6"/>
        <v>4.Mayor a 20 P</v>
      </c>
    </row>
    <row r="440" spans="1:8" x14ac:dyDescent="0.25">
      <c r="A440" t="s">
        <v>3833</v>
      </c>
      <c r="B440">
        <v>2023</v>
      </c>
      <c r="C440" t="s">
        <v>3834</v>
      </c>
      <c r="D440" t="s">
        <v>3835</v>
      </c>
      <c r="E440" t="s">
        <v>3253</v>
      </c>
      <c r="F440" s="3">
        <v>0.45054945054945</v>
      </c>
      <c r="G440">
        <v>83</v>
      </c>
      <c r="H440" t="str">
        <f t="shared" si="6"/>
        <v>6.Mayor a 70 P</v>
      </c>
    </row>
    <row r="441" spans="1:8" x14ac:dyDescent="0.25">
      <c r="A441" t="s">
        <v>3836</v>
      </c>
      <c r="B441">
        <v>2023</v>
      </c>
      <c r="C441" t="s">
        <v>2604</v>
      </c>
      <c r="D441" t="s">
        <v>3837</v>
      </c>
      <c r="E441" t="s">
        <v>3253</v>
      </c>
      <c r="F441" s="3">
        <v>0.45054945054945</v>
      </c>
      <c r="G441">
        <v>4</v>
      </c>
      <c r="H441" t="str">
        <f t="shared" si="6"/>
        <v>2.Menor a 10 P</v>
      </c>
    </row>
    <row r="442" spans="1:8" x14ac:dyDescent="0.25">
      <c r="A442" t="s">
        <v>3838</v>
      </c>
      <c r="B442">
        <v>2024</v>
      </c>
      <c r="C442" t="s">
        <v>3839</v>
      </c>
      <c r="D442" t="s">
        <v>3840</v>
      </c>
      <c r="E442" t="s">
        <v>3253</v>
      </c>
      <c r="F442" s="3">
        <v>0.45054945054945</v>
      </c>
      <c r="G442">
        <v>30</v>
      </c>
      <c r="H442" t="str">
        <f t="shared" si="6"/>
        <v>4.Mayor a 20 P</v>
      </c>
    </row>
    <row r="443" spans="1:8" x14ac:dyDescent="0.25">
      <c r="A443" t="s">
        <v>3841</v>
      </c>
      <c r="B443">
        <v>2023</v>
      </c>
      <c r="C443" t="s">
        <v>2604</v>
      </c>
      <c r="D443" t="s">
        <v>3842</v>
      </c>
      <c r="E443" t="s">
        <v>3253</v>
      </c>
      <c r="F443" s="3">
        <v>0.45054945054945</v>
      </c>
      <c r="G443">
        <v>5</v>
      </c>
      <c r="H443" t="str">
        <f t="shared" si="6"/>
        <v>2.Menor a 10 P</v>
      </c>
    </row>
    <row r="444" spans="1:8" x14ac:dyDescent="0.25">
      <c r="A444" t="s">
        <v>3843</v>
      </c>
      <c r="B444">
        <v>2023</v>
      </c>
      <c r="C444" t="s">
        <v>2604</v>
      </c>
      <c r="D444" t="s">
        <v>3844</v>
      </c>
      <c r="E444" t="s">
        <v>3253</v>
      </c>
      <c r="F444" s="3">
        <v>0.45054945054945</v>
      </c>
      <c r="G444">
        <v>51</v>
      </c>
      <c r="H444" t="str">
        <f t="shared" si="6"/>
        <v>5.Mayor a 40 P</v>
      </c>
    </row>
    <row r="445" spans="1:8" x14ac:dyDescent="0.25">
      <c r="A445" t="s">
        <v>3845</v>
      </c>
      <c r="B445">
        <v>2023</v>
      </c>
      <c r="C445" t="s">
        <v>2604</v>
      </c>
      <c r="D445" t="s">
        <v>3846</v>
      </c>
      <c r="E445" t="s">
        <v>3253</v>
      </c>
      <c r="F445" s="3">
        <v>0.45054945054945</v>
      </c>
      <c r="G445">
        <v>23</v>
      </c>
      <c r="H445" t="str">
        <f t="shared" si="6"/>
        <v>4.Mayor a 20 P</v>
      </c>
    </row>
    <row r="446" spans="1:8" x14ac:dyDescent="0.25">
      <c r="A446" t="s">
        <v>3847</v>
      </c>
      <c r="B446">
        <v>2023</v>
      </c>
      <c r="C446" t="s">
        <v>3848</v>
      </c>
      <c r="D446" t="s">
        <v>3849</v>
      </c>
      <c r="E446" t="s">
        <v>3253</v>
      </c>
      <c r="F446" s="3">
        <v>0.45054945054945</v>
      </c>
      <c r="G446">
        <v>41</v>
      </c>
      <c r="H446" t="str">
        <f t="shared" si="6"/>
        <v>5.Mayor a 40 P</v>
      </c>
    </row>
    <row r="447" spans="1:8" x14ac:dyDescent="0.25">
      <c r="A447" t="s">
        <v>3850</v>
      </c>
      <c r="B447">
        <v>2023</v>
      </c>
      <c r="C447" t="s">
        <v>3851</v>
      </c>
      <c r="D447" t="s">
        <v>3852</v>
      </c>
      <c r="E447" t="s">
        <v>3253</v>
      </c>
      <c r="F447" s="3">
        <v>0.45054945054945</v>
      </c>
      <c r="G447">
        <v>17</v>
      </c>
      <c r="H447" t="str">
        <f t="shared" si="6"/>
        <v>3.Mayor a 10 P</v>
      </c>
    </row>
    <row r="448" spans="1:8" x14ac:dyDescent="0.25">
      <c r="A448" t="s">
        <v>3853</v>
      </c>
      <c r="B448">
        <v>2023</v>
      </c>
      <c r="C448" t="s">
        <v>3854</v>
      </c>
      <c r="D448" t="s">
        <v>3855</v>
      </c>
      <c r="E448" t="s">
        <v>3253</v>
      </c>
      <c r="F448" s="3">
        <v>0.45054945054945</v>
      </c>
      <c r="G448">
        <v>4</v>
      </c>
      <c r="H448" t="str">
        <f t="shared" si="6"/>
        <v>2.Menor a 10 P</v>
      </c>
    </row>
    <row r="449" spans="1:8" x14ac:dyDescent="0.25">
      <c r="A449" t="s">
        <v>3856</v>
      </c>
      <c r="B449">
        <v>2023</v>
      </c>
      <c r="C449" t="s">
        <v>2604</v>
      </c>
      <c r="D449" t="s">
        <v>3857</v>
      </c>
      <c r="E449" t="s">
        <v>3253</v>
      </c>
      <c r="F449" s="3">
        <v>0.45054945054945</v>
      </c>
      <c r="G449">
        <v>21</v>
      </c>
      <c r="H449" t="str">
        <f t="shared" si="6"/>
        <v>4.Mayor a 20 P</v>
      </c>
    </row>
    <row r="450" spans="1:8" x14ac:dyDescent="0.25">
      <c r="A450" t="s">
        <v>3858</v>
      </c>
      <c r="B450">
        <v>2023</v>
      </c>
      <c r="C450" t="s">
        <v>3859</v>
      </c>
      <c r="D450" t="s">
        <v>3860</v>
      </c>
      <c r="E450" t="s">
        <v>3253</v>
      </c>
      <c r="F450" s="3">
        <v>0.45054945054945</v>
      </c>
      <c r="G450">
        <v>4</v>
      </c>
      <c r="H450" t="str">
        <f t="shared" si="6"/>
        <v>2.Menor a 10 P</v>
      </c>
    </row>
    <row r="451" spans="1:8" x14ac:dyDescent="0.25">
      <c r="A451" t="s">
        <v>3861</v>
      </c>
      <c r="B451">
        <v>2023</v>
      </c>
      <c r="C451" t="s">
        <v>3862</v>
      </c>
      <c r="D451" t="s">
        <v>3863</v>
      </c>
      <c r="E451" t="s">
        <v>3253</v>
      </c>
      <c r="F451" s="3">
        <v>0.45054945054945</v>
      </c>
      <c r="G451">
        <v>130</v>
      </c>
      <c r="H451" t="str">
        <f t="shared" ref="H451:H514" si="7">+IF(G451&gt;=100,"7.Mayor a 100 P",+IF(G451&gt;=70,"6.Mayor a 70 P",+IF(G451&gt;=40,"5.Mayor a 40 P",+IF(G451&gt;=20,"4.Mayor a 20 P",+IF(G451&gt;=10,"3.Mayor a 10 P",+IF(G451&lt;10,"2.Menor a 10 P",+IF(G451=0,"1.Sin Propiedades","Revsar")))))))</f>
        <v>7.Mayor a 100 P</v>
      </c>
    </row>
    <row r="452" spans="1:8" x14ac:dyDescent="0.25">
      <c r="A452" t="s">
        <v>3864</v>
      </c>
      <c r="B452">
        <v>2024</v>
      </c>
      <c r="C452" t="s">
        <v>3865</v>
      </c>
      <c r="D452" t="s">
        <v>3866</v>
      </c>
      <c r="E452" t="s">
        <v>3253</v>
      </c>
      <c r="F452" s="3">
        <v>0.45054945054945</v>
      </c>
      <c r="G452">
        <v>15</v>
      </c>
      <c r="H452" t="str">
        <f t="shared" si="7"/>
        <v>3.Mayor a 10 P</v>
      </c>
    </row>
    <row r="453" spans="1:8" x14ac:dyDescent="0.25">
      <c r="A453" t="s">
        <v>3867</v>
      </c>
      <c r="B453">
        <v>2023</v>
      </c>
      <c r="C453" t="s">
        <v>2604</v>
      </c>
      <c r="D453" t="s">
        <v>3868</v>
      </c>
      <c r="E453" t="s">
        <v>3253</v>
      </c>
      <c r="F453" s="3">
        <v>0.45054945054945</v>
      </c>
      <c r="G453">
        <v>3</v>
      </c>
      <c r="H453" t="str">
        <f t="shared" si="7"/>
        <v>2.Menor a 10 P</v>
      </c>
    </row>
    <row r="454" spans="1:8" x14ac:dyDescent="0.25">
      <c r="A454" t="s">
        <v>3869</v>
      </c>
      <c r="B454">
        <v>2023</v>
      </c>
      <c r="C454" t="s">
        <v>3870</v>
      </c>
      <c r="D454" t="s">
        <v>3871</v>
      </c>
      <c r="E454" t="s">
        <v>3253</v>
      </c>
      <c r="F454" s="3">
        <v>0.45054945054945</v>
      </c>
      <c r="G454">
        <v>50</v>
      </c>
      <c r="H454" t="str">
        <f t="shared" si="7"/>
        <v>5.Mayor a 40 P</v>
      </c>
    </row>
    <row r="455" spans="1:8" x14ac:dyDescent="0.25">
      <c r="A455" t="s">
        <v>3872</v>
      </c>
      <c r="B455">
        <v>2023</v>
      </c>
      <c r="C455" t="s">
        <v>3873</v>
      </c>
      <c r="D455" t="s">
        <v>3874</v>
      </c>
      <c r="E455" t="s">
        <v>3253</v>
      </c>
      <c r="F455" s="3">
        <v>0.45054945054945</v>
      </c>
      <c r="G455">
        <v>59</v>
      </c>
      <c r="H455" t="str">
        <f t="shared" si="7"/>
        <v>5.Mayor a 40 P</v>
      </c>
    </row>
    <row r="456" spans="1:8" x14ac:dyDescent="0.25">
      <c r="A456" t="s">
        <v>3875</v>
      </c>
      <c r="B456">
        <v>2023</v>
      </c>
      <c r="C456" t="s">
        <v>2604</v>
      </c>
      <c r="D456" t="s">
        <v>3876</v>
      </c>
      <c r="E456" t="s">
        <v>3253</v>
      </c>
      <c r="F456" s="3">
        <v>0.45054945054945</v>
      </c>
      <c r="G456">
        <v>19</v>
      </c>
      <c r="H456" t="str">
        <f t="shared" si="7"/>
        <v>3.Mayor a 10 P</v>
      </c>
    </row>
    <row r="457" spans="1:8" x14ac:dyDescent="0.25">
      <c r="A457" t="s">
        <v>3877</v>
      </c>
      <c r="B457">
        <v>2023</v>
      </c>
      <c r="C457" t="s">
        <v>3878</v>
      </c>
      <c r="D457" t="s">
        <v>3879</v>
      </c>
      <c r="E457" t="s">
        <v>3253</v>
      </c>
      <c r="F457" s="3">
        <v>0.45054945054945</v>
      </c>
      <c r="G457">
        <v>46</v>
      </c>
      <c r="H457" t="str">
        <f t="shared" si="7"/>
        <v>5.Mayor a 40 P</v>
      </c>
    </row>
    <row r="458" spans="1:8" x14ac:dyDescent="0.25">
      <c r="A458" t="s">
        <v>3880</v>
      </c>
      <c r="B458">
        <v>2023</v>
      </c>
      <c r="C458" t="s">
        <v>3881</v>
      </c>
      <c r="D458" t="s">
        <v>3882</v>
      </c>
      <c r="E458" t="s">
        <v>3253</v>
      </c>
      <c r="F458" s="3">
        <v>0.45054945054945</v>
      </c>
      <c r="G458">
        <v>27</v>
      </c>
      <c r="H458" t="str">
        <f t="shared" si="7"/>
        <v>4.Mayor a 20 P</v>
      </c>
    </row>
    <row r="459" spans="1:8" x14ac:dyDescent="0.25">
      <c r="A459" t="s">
        <v>3883</v>
      </c>
      <c r="B459">
        <v>2023</v>
      </c>
      <c r="C459" t="s">
        <v>2604</v>
      </c>
      <c r="D459" t="s">
        <v>3884</v>
      </c>
      <c r="E459" t="s">
        <v>3253</v>
      </c>
      <c r="F459" s="3">
        <v>0.45054945054945</v>
      </c>
      <c r="G459">
        <v>1</v>
      </c>
      <c r="H459" t="str">
        <f t="shared" si="7"/>
        <v>2.Menor a 10 P</v>
      </c>
    </row>
    <row r="460" spans="1:8" x14ac:dyDescent="0.25">
      <c r="A460" t="s">
        <v>3885</v>
      </c>
      <c r="B460">
        <v>2023</v>
      </c>
      <c r="C460" t="s">
        <v>3886</v>
      </c>
      <c r="D460" t="s">
        <v>3887</v>
      </c>
      <c r="E460" t="s">
        <v>3253</v>
      </c>
      <c r="F460" s="3">
        <v>0.45054945054945</v>
      </c>
      <c r="G460">
        <v>5</v>
      </c>
      <c r="H460" t="str">
        <f t="shared" si="7"/>
        <v>2.Menor a 10 P</v>
      </c>
    </row>
    <row r="461" spans="1:8" x14ac:dyDescent="0.25">
      <c r="A461" t="s">
        <v>3888</v>
      </c>
      <c r="B461">
        <v>2022</v>
      </c>
      <c r="C461" t="s">
        <v>2604</v>
      </c>
      <c r="D461" t="s">
        <v>3889</v>
      </c>
      <c r="E461" t="s">
        <v>3253</v>
      </c>
      <c r="F461" s="3">
        <v>0.45054945054945</v>
      </c>
      <c r="G461">
        <v>10</v>
      </c>
      <c r="H461" t="str">
        <f t="shared" si="7"/>
        <v>3.Mayor a 10 P</v>
      </c>
    </row>
    <row r="462" spans="1:8" x14ac:dyDescent="0.25">
      <c r="A462" t="s">
        <v>3890</v>
      </c>
      <c r="B462">
        <v>2022</v>
      </c>
      <c r="C462" t="s">
        <v>2604</v>
      </c>
      <c r="D462" t="s">
        <v>3891</v>
      </c>
      <c r="E462" t="s">
        <v>3253</v>
      </c>
      <c r="F462" s="3">
        <v>0.45054945054945</v>
      </c>
      <c r="G462">
        <v>7</v>
      </c>
      <c r="H462" t="str">
        <f t="shared" si="7"/>
        <v>2.Menor a 10 P</v>
      </c>
    </row>
    <row r="463" spans="1:8" x14ac:dyDescent="0.25">
      <c r="A463" t="s">
        <v>3892</v>
      </c>
      <c r="B463">
        <v>2022</v>
      </c>
      <c r="C463" t="s">
        <v>3893</v>
      </c>
      <c r="D463" t="s">
        <v>3894</v>
      </c>
      <c r="E463" t="s">
        <v>3253</v>
      </c>
      <c r="F463" s="3">
        <v>0.45054945054945</v>
      </c>
      <c r="G463">
        <v>151</v>
      </c>
      <c r="H463" t="str">
        <f t="shared" si="7"/>
        <v>7.Mayor a 100 P</v>
      </c>
    </row>
    <row r="464" spans="1:8" x14ac:dyDescent="0.25">
      <c r="A464" t="s">
        <v>3895</v>
      </c>
      <c r="B464">
        <v>2022</v>
      </c>
      <c r="C464" t="s">
        <v>2604</v>
      </c>
      <c r="D464" t="s">
        <v>3896</v>
      </c>
      <c r="E464" t="s">
        <v>3253</v>
      </c>
      <c r="F464" s="3">
        <v>0.45054945054945</v>
      </c>
      <c r="G464">
        <v>5</v>
      </c>
      <c r="H464" t="str">
        <f t="shared" si="7"/>
        <v>2.Menor a 10 P</v>
      </c>
    </row>
    <row r="465" spans="1:8" x14ac:dyDescent="0.25">
      <c r="A465" t="s">
        <v>3897</v>
      </c>
      <c r="B465">
        <v>2022</v>
      </c>
      <c r="C465" t="s">
        <v>3898</v>
      </c>
      <c r="D465" t="s">
        <v>3899</v>
      </c>
      <c r="E465" t="s">
        <v>3253</v>
      </c>
      <c r="F465" s="3">
        <v>0.45054945054945</v>
      </c>
      <c r="G465">
        <v>22</v>
      </c>
      <c r="H465" t="str">
        <f t="shared" si="7"/>
        <v>4.Mayor a 20 P</v>
      </c>
    </row>
    <row r="466" spans="1:8" x14ac:dyDescent="0.25">
      <c r="A466" t="s">
        <v>3900</v>
      </c>
      <c r="B466">
        <v>2022</v>
      </c>
      <c r="C466" t="s">
        <v>2604</v>
      </c>
      <c r="D466" t="s">
        <v>3901</v>
      </c>
      <c r="E466" t="s">
        <v>3253</v>
      </c>
      <c r="F466" s="3">
        <v>0.45054945054945</v>
      </c>
      <c r="G466">
        <v>3</v>
      </c>
      <c r="H466" t="str">
        <f t="shared" si="7"/>
        <v>2.Menor a 10 P</v>
      </c>
    </row>
    <row r="467" spans="1:8" x14ac:dyDescent="0.25">
      <c r="A467" t="s">
        <v>3902</v>
      </c>
      <c r="B467">
        <v>2022</v>
      </c>
      <c r="C467" t="s">
        <v>2604</v>
      </c>
      <c r="D467" t="s">
        <v>3903</v>
      </c>
      <c r="E467" t="s">
        <v>3253</v>
      </c>
      <c r="F467" s="3">
        <v>0.45054945054945</v>
      </c>
      <c r="G467">
        <v>5</v>
      </c>
      <c r="H467" t="str">
        <f t="shared" si="7"/>
        <v>2.Menor a 10 P</v>
      </c>
    </row>
    <row r="468" spans="1:8" x14ac:dyDescent="0.25">
      <c r="A468" t="s">
        <v>3904</v>
      </c>
      <c r="B468">
        <v>2022</v>
      </c>
      <c r="C468" t="s">
        <v>3905</v>
      </c>
      <c r="D468" t="s">
        <v>3906</v>
      </c>
      <c r="E468" t="s">
        <v>3253</v>
      </c>
      <c r="F468" s="3">
        <v>0.45054945054945</v>
      </c>
      <c r="G468">
        <v>53</v>
      </c>
      <c r="H468" t="str">
        <f t="shared" si="7"/>
        <v>5.Mayor a 40 P</v>
      </c>
    </row>
    <row r="469" spans="1:8" x14ac:dyDescent="0.25">
      <c r="A469" t="s">
        <v>3907</v>
      </c>
      <c r="B469">
        <v>2022</v>
      </c>
      <c r="C469" t="s">
        <v>3908</v>
      </c>
      <c r="D469" t="s">
        <v>3909</v>
      </c>
      <c r="E469" t="s">
        <v>3253</v>
      </c>
      <c r="F469" s="3">
        <v>0.45054945054945</v>
      </c>
      <c r="G469">
        <v>12</v>
      </c>
      <c r="H469" t="str">
        <f t="shared" si="7"/>
        <v>3.Mayor a 10 P</v>
      </c>
    </row>
    <row r="470" spans="1:8" x14ac:dyDescent="0.25">
      <c r="A470" t="s">
        <v>3910</v>
      </c>
      <c r="B470">
        <v>2023</v>
      </c>
      <c r="C470" t="s">
        <v>2604</v>
      </c>
      <c r="D470" t="s">
        <v>3911</v>
      </c>
      <c r="E470" t="s">
        <v>3253</v>
      </c>
      <c r="F470" s="3">
        <v>0.45054945054945</v>
      </c>
      <c r="G470">
        <v>6</v>
      </c>
      <c r="H470" t="str">
        <f t="shared" si="7"/>
        <v>2.Menor a 10 P</v>
      </c>
    </row>
    <row r="471" spans="1:8" x14ac:dyDescent="0.25">
      <c r="A471" t="s">
        <v>3912</v>
      </c>
      <c r="B471">
        <v>2023</v>
      </c>
      <c r="C471" t="s">
        <v>3913</v>
      </c>
      <c r="D471" t="s">
        <v>3914</v>
      </c>
      <c r="E471" t="s">
        <v>3253</v>
      </c>
      <c r="F471" s="3">
        <v>0.45054945054945</v>
      </c>
      <c r="G471">
        <v>6</v>
      </c>
      <c r="H471" t="str">
        <f t="shared" si="7"/>
        <v>2.Menor a 10 P</v>
      </c>
    </row>
    <row r="472" spans="1:8" x14ac:dyDescent="0.25">
      <c r="A472" t="s">
        <v>3915</v>
      </c>
      <c r="B472">
        <v>2023</v>
      </c>
      <c r="C472" t="s">
        <v>3916</v>
      </c>
      <c r="D472" t="s">
        <v>3917</v>
      </c>
      <c r="E472" t="s">
        <v>3253</v>
      </c>
      <c r="F472" s="3">
        <v>0.45054945054945</v>
      </c>
      <c r="G472">
        <v>1</v>
      </c>
      <c r="H472" t="str">
        <f t="shared" si="7"/>
        <v>2.Menor a 10 P</v>
      </c>
    </row>
    <row r="473" spans="1:8" x14ac:dyDescent="0.25">
      <c r="A473" t="s">
        <v>3918</v>
      </c>
      <c r="B473">
        <v>2023</v>
      </c>
      <c r="C473" t="s">
        <v>3919</v>
      </c>
      <c r="D473" t="s">
        <v>3920</v>
      </c>
      <c r="E473" t="s">
        <v>3253</v>
      </c>
      <c r="F473" s="3">
        <v>0.45054945054945</v>
      </c>
      <c r="G473">
        <v>4</v>
      </c>
      <c r="H473" t="str">
        <f t="shared" si="7"/>
        <v>2.Menor a 10 P</v>
      </c>
    </row>
    <row r="474" spans="1:8" x14ac:dyDescent="0.25">
      <c r="A474" t="s">
        <v>3921</v>
      </c>
      <c r="B474">
        <v>2023</v>
      </c>
      <c r="C474" t="s">
        <v>2604</v>
      </c>
      <c r="D474" t="s">
        <v>3922</v>
      </c>
      <c r="E474" t="s">
        <v>3253</v>
      </c>
      <c r="F474" s="3">
        <v>0.45054945054945</v>
      </c>
      <c r="G474">
        <v>40</v>
      </c>
      <c r="H474" t="str">
        <f t="shared" si="7"/>
        <v>5.Mayor a 40 P</v>
      </c>
    </row>
    <row r="475" spans="1:8" x14ac:dyDescent="0.25">
      <c r="A475" t="s">
        <v>3923</v>
      </c>
      <c r="B475">
        <v>2023</v>
      </c>
      <c r="C475" t="s">
        <v>3924</v>
      </c>
      <c r="D475" t="s">
        <v>3925</v>
      </c>
      <c r="E475" t="s">
        <v>3253</v>
      </c>
      <c r="F475" s="3">
        <v>0.45054945054945</v>
      </c>
      <c r="G475">
        <v>6</v>
      </c>
      <c r="H475" t="str">
        <f t="shared" si="7"/>
        <v>2.Menor a 10 P</v>
      </c>
    </row>
    <row r="476" spans="1:8" x14ac:dyDescent="0.25">
      <c r="A476" t="s">
        <v>3926</v>
      </c>
      <c r="B476">
        <v>2023</v>
      </c>
      <c r="C476" t="s">
        <v>3927</v>
      </c>
      <c r="D476" t="s">
        <v>3928</v>
      </c>
      <c r="E476" t="s">
        <v>3253</v>
      </c>
      <c r="F476" s="3">
        <v>0.45054945054945</v>
      </c>
      <c r="G476">
        <v>55</v>
      </c>
      <c r="H476" t="str">
        <f t="shared" si="7"/>
        <v>5.Mayor a 40 P</v>
      </c>
    </row>
    <row r="477" spans="1:8" x14ac:dyDescent="0.25">
      <c r="A477" t="s">
        <v>3929</v>
      </c>
      <c r="B477">
        <v>2023</v>
      </c>
      <c r="C477" t="s">
        <v>3930</v>
      </c>
      <c r="D477" t="s">
        <v>3931</v>
      </c>
      <c r="E477" t="s">
        <v>3253</v>
      </c>
      <c r="F477" s="3">
        <v>0.45054945054945</v>
      </c>
      <c r="G477">
        <v>7</v>
      </c>
      <c r="H477" t="str">
        <f t="shared" si="7"/>
        <v>2.Menor a 10 P</v>
      </c>
    </row>
    <row r="478" spans="1:8" x14ac:dyDescent="0.25">
      <c r="A478" t="s">
        <v>3932</v>
      </c>
      <c r="B478">
        <v>2023</v>
      </c>
      <c r="C478" t="s">
        <v>3933</v>
      </c>
      <c r="D478" t="s">
        <v>3934</v>
      </c>
      <c r="E478" t="s">
        <v>3253</v>
      </c>
      <c r="F478" s="3">
        <v>0.45054945054945</v>
      </c>
      <c r="G478">
        <v>87</v>
      </c>
      <c r="H478" t="str">
        <f t="shared" si="7"/>
        <v>6.Mayor a 70 P</v>
      </c>
    </row>
    <row r="479" spans="1:8" x14ac:dyDescent="0.25">
      <c r="A479" t="s">
        <v>3935</v>
      </c>
      <c r="B479">
        <v>2023</v>
      </c>
      <c r="C479" t="s">
        <v>2604</v>
      </c>
      <c r="D479" t="s">
        <v>3936</v>
      </c>
      <c r="E479" t="s">
        <v>3253</v>
      </c>
      <c r="F479" s="3">
        <v>0.45054945054945</v>
      </c>
      <c r="G479">
        <v>36</v>
      </c>
      <c r="H479" t="str">
        <f t="shared" si="7"/>
        <v>4.Mayor a 20 P</v>
      </c>
    </row>
    <row r="480" spans="1:8" x14ac:dyDescent="0.25">
      <c r="A480" t="s">
        <v>3937</v>
      </c>
      <c r="B480">
        <v>2024</v>
      </c>
      <c r="C480" t="s">
        <v>3938</v>
      </c>
      <c r="D480" t="s">
        <v>3939</v>
      </c>
      <c r="E480" t="s">
        <v>3253</v>
      </c>
      <c r="F480" s="3">
        <v>0.45054945054945</v>
      </c>
      <c r="G480">
        <v>13</v>
      </c>
      <c r="H480" t="str">
        <f t="shared" si="7"/>
        <v>3.Mayor a 10 P</v>
      </c>
    </row>
    <row r="481" spans="1:8" x14ac:dyDescent="0.25">
      <c r="A481" t="s">
        <v>3940</v>
      </c>
      <c r="B481">
        <v>2024</v>
      </c>
      <c r="C481" t="s">
        <v>2604</v>
      </c>
      <c r="D481" t="s">
        <v>3941</v>
      </c>
      <c r="E481" t="s">
        <v>3253</v>
      </c>
      <c r="F481" s="3">
        <v>0.45054945054945</v>
      </c>
      <c r="G481">
        <v>20</v>
      </c>
      <c r="H481" t="str">
        <f t="shared" si="7"/>
        <v>4.Mayor a 20 P</v>
      </c>
    </row>
    <row r="482" spans="1:8" x14ac:dyDescent="0.25">
      <c r="A482" t="s">
        <v>3942</v>
      </c>
      <c r="B482">
        <v>2024</v>
      </c>
      <c r="C482" t="s">
        <v>2604</v>
      </c>
      <c r="D482" t="s">
        <v>3943</v>
      </c>
      <c r="E482" t="s">
        <v>3253</v>
      </c>
      <c r="F482" s="3">
        <v>0.45054945054945</v>
      </c>
      <c r="G482">
        <v>28</v>
      </c>
      <c r="H482" t="str">
        <f t="shared" si="7"/>
        <v>4.Mayor a 20 P</v>
      </c>
    </row>
    <row r="483" spans="1:8" x14ac:dyDescent="0.25">
      <c r="A483" t="s">
        <v>3944</v>
      </c>
      <c r="B483">
        <v>2024</v>
      </c>
      <c r="C483" t="s">
        <v>2604</v>
      </c>
      <c r="D483" t="s">
        <v>3945</v>
      </c>
      <c r="E483" t="s">
        <v>3253</v>
      </c>
      <c r="F483" s="3">
        <v>0.45054945054945</v>
      </c>
      <c r="G483">
        <v>28</v>
      </c>
      <c r="H483" t="str">
        <f t="shared" si="7"/>
        <v>4.Mayor a 20 P</v>
      </c>
    </row>
    <row r="484" spans="1:8" x14ac:dyDescent="0.25">
      <c r="A484" t="s">
        <v>3946</v>
      </c>
      <c r="B484">
        <v>2023</v>
      </c>
      <c r="C484" t="s">
        <v>3947</v>
      </c>
      <c r="D484" t="s">
        <v>3948</v>
      </c>
      <c r="E484" t="s">
        <v>3253</v>
      </c>
      <c r="F484" s="3">
        <v>0.45054945054945</v>
      </c>
      <c r="G484">
        <v>7</v>
      </c>
      <c r="H484" t="str">
        <f t="shared" si="7"/>
        <v>2.Menor a 10 P</v>
      </c>
    </row>
    <row r="485" spans="1:8" x14ac:dyDescent="0.25">
      <c r="A485" t="s">
        <v>3949</v>
      </c>
      <c r="B485">
        <v>2023</v>
      </c>
      <c r="C485" t="s">
        <v>2604</v>
      </c>
      <c r="D485" t="s">
        <v>3950</v>
      </c>
      <c r="E485" t="s">
        <v>3253</v>
      </c>
      <c r="F485" s="3">
        <v>0.45054945054945</v>
      </c>
      <c r="G485">
        <v>17</v>
      </c>
      <c r="H485" t="str">
        <f t="shared" si="7"/>
        <v>3.Mayor a 10 P</v>
      </c>
    </row>
    <row r="486" spans="1:8" x14ac:dyDescent="0.25">
      <c r="A486" t="s">
        <v>3951</v>
      </c>
      <c r="B486">
        <v>2024</v>
      </c>
      <c r="C486" t="s">
        <v>2604</v>
      </c>
      <c r="D486" t="s">
        <v>3952</v>
      </c>
      <c r="E486" t="s">
        <v>3253</v>
      </c>
      <c r="F486" s="3">
        <v>0.45054945054945</v>
      </c>
      <c r="G486">
        <v>46</v>
      </c>
      <c r="H486" t="str">
        <f t="shared" si="7"/>
        <v>5.Mayor a 40 P</v>
      </c>
    </row>
    <row r="487" spans="1:8" x14ac:dyDescent="0.25">
      <c r="A487" t="s">
        <v>3953</v>
      </c>
      <c r="B487">
        <v>2023</v>
      </c>
      <c r="C487" t="s">
        <v>2604</v>
      </c>
      <c r="D487" t="s">
        <v>3954</v>
      </c>
      <c r="E487" t="s">
        <v>3253</v>
      </c>
      <c r="F487" s="3">
        <v>0.45054945054945</v>
      </c>
      <c r="G487">
        <v>18</v>
      </c>
      <c r="H487" t="str">
        <f t="shared" si="7"/>
        <v>3.Mayor a 10 P</v>
      </c>
    </row>
    <row r="488" spans="1:8" x14ac:dyDescent="0.25">
      <c r="A488" t="s">
        <v>3955</v>
      </c>
      <c r="B488">
        <v>2023</v>
      </c>
      <c r="C488" t="s">
        <v>3956</v>
      </c>
      <c r="D488" t="s">
        <v>3957</v>
      </c>
      <c r="E488" t="s">
        <v>3253</v>
      </c>
      <c r="F488" s="3">
        <v>0.45054945054945</v>
      </c>
      <c r="G488">
        <v>14</v>
      </c>
      <c r="H488" t="str">
        <f t="shared" si="7"/>
        <v>3.Mayor a 10 P</v>
      </c>
    </row>
    <row r="489" spans="1:8" x14ac:dyDescent="0.25">
      <c r="A489" t="s">
        <v>3958</v>
      </c>
      <c r="B489">
        <v>2023</v>
      </c>
      <c r="C489" t="s">
        <v>3959</v>
      </c>
      <c r="D489" t="s">
        <v>3960</v>
      </c>
      <c r="E489" t="s">
        <v>3253</v>
      </c>
      <c r="F489" s="3">
        <v>0.45054945054945</v>
      </c>
      <c r="G489">
        <v>8</v>
      </c>
      <c r="H489" t="str">
        <f t="shared" si="7"/>
        <v>2.Menor a 10 P</v>
      </c>
    </row>
    <row r="490" spans="1:8" x14ac:dyDescent="0.25">
      <c r="A490" t="s">
        <v>3961</v>
      </c>
      <c r="B490">
        <v>2023</v>
      </c>
      <c r="C490" t="s">
        <v>2604</v>
      </c>
      <c r="D490" t="s">
        <v>3962</v>
      </c>
      <c r="E490" t="s">
        <v>3253</v>
      </c>
      <c r="F490" s="3">
        <v>0.45054945054945</v>
      </c>
      <c r="G490">
        <v>4</v>
      </c>
      <c r="H490" t="str">
        <f t="shared" si="7"/>
        <v>2.Menor a 10 P</v>
      </c>
    </row>
    <row r="491" spans="1:8" x14ac:dyDescent="0.25">
      <c r="A491" t="s">
        <v>3963</v>
      </c>
      <c r="B491">
        <v>2023</v>
      </c>
      <c r="C491" t="s">
        <v>2604</v>
      </c>
      <c r="D491" t="s">
        <v>3964</v>
      </c>
      <c r="E491" t="s">
        <v>3253</v>
      </c>
      <c r="F491" s="3">
        <v>0.45054945054945</v>
      </c>
      <c r="G491">
        <v>5</v>
      </c>
      <c r="H491" t="str">
        <f t="shared" si="7"/>
        <v>2.Menor a 10 P</v>
      </c>
    </row>
    <row r="492" spans="1:8" x14ac:dyDescent="0.25">
      <c r="A492" t="s">
        <v>3965</v>
      </c>
      <c r="B492">
        <v>2023</v>
      </c>
      <c r="C492" t="s">
        <v>3966</v>
      </c>
      <c r="D492" t="s">
        <v>3967</v>
      </c>
      <c r="E492" t="s">
        <v>3253</v>
      </c>
      <c r="F492" s="3">
        <v>0.45054945054945</v>
      </c>
      <c r="G492">
        <v>6</v>
      </c>
      <c r="H492" t="str">
        <f t="shared" si="7"/>
        <v>2.Menor a 10 P</v>
      </c>
    </row>
    <row r="493" spans="1:8" x14ac:dyDescent="0.25">
      <c r="A493" t="s">
        <v>3968</v>
      </c>
      <c r="B493">
        <v>2023</v>
      </c>
      <c r="C493" t="s">
        <v>2604</v>
      </c>
      <c r="D493" t="s">
        <v>3969</v>
      </c>
      <c r="E493" t="s">
        <v>3253</v>
      </c>
      <c r="F493" s="3">
        <v>0.45054945054945</v>
      </c>
      <c r="G493">
        <v>18</v>
      </c>
      <c r="H493" t="str">
        <f t="shared" si="7"/>
        <v>3.Mayor a 10 P</v>
      </c>
    </row>
    <row r="494" spans="1:8" x14ac:dyDescent="0.25">
      <c r="A494" t="s">
        <v>3970</v>
      </c>
      <c r="B494">
        <v>2023</v>
      </c>
      <c r="C494" t="s">
        <v>3971</v>
      </c>
      <c r="D494" t="s">
        <v>3972</v>
      </c>
      <c r="E494" t="s">
        <v>3253</v>
      </c>
      <c r="F494" s="3">
        <v>0.45054945054945</v>
      </c>
      <c r="G494">
        <v>15</v>
      </c>
      <c r="H494" t="str">
        <f t="shared" si="7"/>
        <v>3.Mayor a 10 P</v>
      </c>
    </row>
    <row r="495" spans="1:8" x14ac:dyDescent="0.25">
      <c r="A495" t="s">
        <v>3973</v>
      </c>
      <c r="B495">
        <v>2023</v>
      </c>
      <c r="C495" t="s">
        <v>3974</v>
      </c>
      <c r="D495" t="s">
        <v>3975</v>
      </c>
      <c r="E495" t="s">
        <v>3253</v>
      </c>
      <c r="F495" s="3">
        <v>0.45054945054945</v>
      </c>
      <c r="G495">
        <v>18</v>
      </c>
      <c r="H495" t="str">
        <f t="shared" si="7"/>
        <v>3.Mayor a 10 P</v>
      </c>
    </row>
    <row r="496" spans="1:8" x14ac:dyDescent="0.25">
      <c r="A496" t="s">
        <v>3976</v>
      </c>
      <c r="B496">
        <v>2023</v>
      </c>
      <c r="C496" t="s">
        <v>2604</v>
      </c>
      <c r="D496" t="s">
        <v>3977</v>
      </c>
      <c r="E496" t="s">
        <v>3253</v>
      </c>
      <c r="F496" s="3">
        <v>0.45054945054945</v>
      </c>
      <c r="G496">
        <v>9</v>
      </c>
      <c r="H496" t="str">
        <f t="shared" si="7"/>
        <v>2.Menor a 10 P</v>
      </c>
    </row>
    <row r="497" spans="1:8" x14ac:dyDescent="0.25">
      <c r="A497" t="s">
        <v>3978</v>
      </c>
      <c r="B497">
        <v>2023</v>
      </c>
      <c r="C497" t="s">
        <v>2604</v>
      </c>
      <c r="D497" t="s">
        <v>3979</v>
      </c>
      <c r="E497" t="s">
        <v>3253</v>
      </c>
      <c r="F497" s="3">
        <v>0.45054945054945</v>
      </c>
      <c r="G497">
        <v>19</v>
      </c>
      <c r="H497" t="str">
        <f t="shared" si="7"/>
        <v>3.Mayor a 10 P</v>
      </c>
    </row>
    <row r="498" spans="1:8" x14ac:dyDescent="0.25">
      <c r="A498" t="s">
        <v>3980</v>
      </c>
      <c r="B498">
        <v>2023</v>
      </c>
      <c r="C498" t="s">
        <v>2604</v>
      </c>
      <c r="D498" t="s">
        <v>3981</v>
      </c>
      <c r="E498" t="s">
        <v>3253</v>
      </c>
      <c r="F498" s="3">
        <v>0.45054945054945</v>
      </c>
      <c r="G498">
        <v>18</v>
      </c>
      <c r="H498" t="str">
        <f t="shared" si="7"/>
        <v>3.Mayor a 10 P</v>
      </c>
    </row>
    <row r="499" spans="1:8" x14ac:dyDescent="0.25">
      <c r="A499" t="s">
        <v>3982</v>
      </c>
      <c r="B499">
        <v>2023</v>
      </c>
      <c r="C499" t="s">
        <v>3983</v>
      </c>
      <c r="D499" t="s">
        <v>3984</v>
      </c>
      <c r="E499" t="s">
        <v>3253</v>
      </c>
      <c r="F499" s="3">
        <v>0.45054945054945</v>
      </c>
      <c r="G499">
        <v>33</v>
      </c>
      <c r="H499" t="str">
        <f t="shared" si="7"/>
        <v>4.Mayor a 20 P</v>
      </c>
    </row>
    <row r="500" spans="1:8" x14ac:dyDescent="0.25">
      <c r="A500" t="s">
        <v>3985</v>
      </c>
      <c r="B500">
        <v>2023</v>
      </c>
      <c r="C500" t="s">
        <v>2604</v>
      </c>
      <c r="D500" t="s">
        <v>3986</v>
      </c>
      <c r="E500" t="s">
        <v>3253</v>
      </c>
      <c r="F500" s="3">
        <v>0.45054945054945</v>
      </c>
      <c r="G500">
        <v>63</v>
      </c>
      <c r="H500" t="str">
        <f t="shared" si="7"/>
        <v>5.Mayor a 40 P</v>
      </c>
    </row>
    <row r="501" spans="1:8" x14ac:dyDescent="0.25">
      <c r="A501" t="s">
        <v>3987</v>
      </c>
      <c r="B501">
        <v>2023</v>
      </c>
      <c r="C501" t="s">
        <v>3988</v>
      </c>
      <c r="D501" t="s">
        <v>3989</v>
      </c>
      <c r="E501" t="s">
        <v>3253</v>
      </c>
      <c r="F501" s="3">
        <v>0.45054945054945</v>
      </c>
      <c r="G501">
        <v>14</v>
      </c>
      <c r="H501" t="str">
        <f t="shared" si="7"/>
        <v>3.Mayor a 10 P</v>
      </c>
    </row>
    <row r="502" spans="1:8" x14ac:dyDescent="0.25">
      <c r="A502" t="s">
        <v>3990</v>
      </c>
      <c r="B502">
        <v>2023</v>
      </c>
      <c r="C502" t="s">
        <v>2604</v>
      </c>
      <c r="D502" t="s">
        <v>3991</v>
      </c>
      <c r="E502" t="s">
        <v>3253</v>
      </c>
      <c r="F502" s="3">
        <v>0.45054945054945</v>
      </c>
      <c r="G502">
        <v>20</v>
      </c>
      <c r="H502" t="str">
        <f t="shared" si="7"/>
        <v>4.Mayor a 20 P</v>
      </c>
    </row>
    <row r="503" spans="1:8" x14ac:dyDescent="0.25">
      <c r="A503" t="s">
        <v>3992</v>
      </c>
      <c r="B503">
        <v>2023</v>
      </c>
      <c r="C503" t="s">
        <v>3993</v>
      </c>
      <c r="D503" t="s">
        <v>3994</v>
      </c>
      <c r="E503" t="s">
        <v>3253</v>
      </c>
      <c r="F503" s="3">
        <v>0.45054945054945</v>
      </c>
      <c r="G503">
        <v>10</v>
      </c>
      <c r="H503" t="str">
        <f t="shared" si="7"/>
        <v>3.Mayor a 10 P</v>
      </c>
    </row>
    <row r="504" spans="1:8" x14ac:dyDescent="0.25">
      <c r="A504" t="s">
        <v>3995</v>
      </c>
      <c r="B504">
        <v>2023</v>
      </c>
      <c r="C504" t="s">
        <v>2604</v>
      </c>
      <c r="D504" t="s">
        <v>3996</v>
      </c>
      <c r="E504" t="s">
        <v>3253</v>
      </c>
      <c r="F504" s="3">
        <v>0.45054945054945</v>
      </c>
      <c r="G504">
        <v>18</v>
      </c>
      <c r="H504" t="str">
        <f t="shared" si="7"/>
        <v>3.Mayor a 10 P</v>
      </c>
    </row>
    <row r="505" spans="1:8" x14ac:dyDescent="0.25">
      <c r="A505" t="s">
        <v>3997</v>
      </c>
      <c r="B505">
        <v>2023</v>
      </c>
      <c r="C505" t="s">
        <v>3998</v>
      </c>
      <c r="D505" t="s">
        <v>3999</v>
      </c>
      <c r="E505" t="s">
        <v>3253</v>
      </c>
      <c r="F505" s="3">
        <v>0.45054945054945</v>
      </c>
      <c r="G505">
        <v>4</v>
      </c>
      <c r="H505" t="str">
        <f t="shared" si="7"/>
        <v>2.Menor a 10 P</v>
      </c>
    </row>
    <row r="506" spans="1:8" x14ac:dyDescent="0.25">
      <c r="A506" t="s">
        <v>4000</v>
      </c>
      <c r="B506">
        <v>2023</v>
      </c>
      <c r="C506" t="s">
        <v>4001</v>
      </c>
      <c r="D506" t="s">
        <v>4002</v>
      </c>
      <c r="E506" t="s">
        <v>3253</v>
      </c>
      <c r="F506" s="3">
        <v>0.45054945054945</v>
      </c>
      <c r="G506">
        <v>3</v>
      </c>
      <c r="H506" t="str">
        <f t="shared" si="7"/>
        <v>2.Menor a 10 P</v>
      </c>
    </row>
    <row r="507" spans="1:8" x14ac:dyDescent="0.25">
      <c r="A507" t="s">
        <v>4003</v>
      </c>
      <c r="B507">
        <v>2018</v>
      </c>
      <c r="C507" t="s">
        <v>4004</v>
      </c>
      <c r="D507" t="s">
        <v>4005</v>
      </c>
      <c r="E507" t="s">
        <v>3253</v>
      </c>
      <c r="F507" s="3">
        <v>0.45054945054945</v>
      </c>
      <c r="G507">
        <v>33</v>
      </c>
      <c r="H507" t="str">
        <f t="shared" si="7"/>
        <v>4.Mayor a 20 P</v>
      </c>
    </row>
    <row r="508" spans="1:8" x14ac:dyDescent="0.25">
      <c r="A508" t="s">
        <v>4006</v>
      </c>
      <c r="B508">
        <v>2018</v>
      </c>
      <c r="C508" t="s">
        <v>4007</v>
      </c>
      <c r="D508" t="s">
        <v>4008</v>
      </c>
      <c r="E508" t="s">
        <v>3253</v>
      </c>
      <c r="F508" s="3">
        <v>0.45054945054945</v>
      </c>
      <c r="G508">
        <v>22</v>
      </c>
      <c r="H508" t="str">
        <f t="shared" si="7"/>
        <v>4.Mayor a 20 P</v>
      </c>
    </row>
    <row r="509" spans="1:8" x14ac:dyDescent="0.25">
      <c r="A509" t="s">
        <v>4009</v>
      </c>
      <c r="B509">
        <v>2018</v>
      </c>
      <c r="C509" t="s">
        <v>4010</v>
      </c>
      <c r="D509" t="s">
        <v>4011</v>
      </c>
      <c r="E509" t="s">
        <v>3253</v>
      </c>
      <c r="F509" s="3">
        <v>0.45054945054945</v>
      </c>
      <c r="G509">
        <v>31</v>
      </c>
      <c r="H509" t="str">
        <f t="shared" si="7"/>
        <v>4.Mayor a 20 P</v>
      </c>
    </row>
    <row r="510" spans="1:8" x14ac:dyDescent="0.25">
      <c r="A510" t="s">
        <v>4012</v>
      </c>
      <c r="B510">
        <v>2018</v>
      </c>
      <c r="C510" t="s">
        <v>4013</v>
      </c>
      <c r="D510" t="s">
        <v>4014</v>
      </c>
      <c r="E510" t="s">
        <v>3253</v>
      </c>
      <c r="F510" s="3">
        <v>0.45054945054945</v>
      </c>
      <c r="G510">
        <v>9</v>
      </c>
      <c r="H510" t="str">
        <f t="shared" si="7"/>
        <v>2.Menor a 10 P</v>
      </c>
    </row>
    <row r="511" spans="1:8" x14ac:dyDescent="0.25">
      <c r="A511" t="s">
        <v>4015</v>
      </c>
      <c r="B511">
        <v>2019</v>
      </c>
      <c r="C511" t="s">
        <v>4016</v>
      </c>
      <c r="D511" t="s">
        <v>4017</v>
      </c>
      <c r="E511" t="s">
        <v>3253</v>
      </c>
      <c r="F511" s="3">
        <v>0.45054945054945</v>
      </c>
      <c r="G511">
        <v>3</v>
      </c>
      <c r="H511" t="str">
        <f t="shared" si="7"/>
        <v>2.Menor a 10 P</v>
      </c>
    </row>
    <row r="512" spans="1:8" x14ac:dyDescent="0.25">
      <c r="A512" t="s">
        <v>4018</v>
      </c>
      <c r="B512">
        <v>2019</v>
      </c>
      <c r="C512" t="s">
        <v>2604</v>
      </c>
      <c r="D512" t="s">
        <v>4019</v>
      </c>
      <c r="E512" t="s">
        <v>3253</v>
      </c>
      <c r="F512" s="3">
        <v>0.45054945054945</v>
      </c>
      <c r="G512">
        <v>3</v>
      </c>
      <c r="H512" t="str">
        <f t="shared" si="7"/>
        <v>2.Menor a 10 P</v>
      </c>
    </row>
    <row r="513" spans="1:8" x14ac:dyDescent="0.25">
      <c r="A513" t="s">
        <v>4020</v>
      </c>
      <c r="B513">
        <v>2018</v>
      </c>
      <c r="C513" t="s">
        <v>4021</v>
      </c>
      <c r="D513" t="s">
        <v>4022</v>
      </c>
      <c r="E513" t="s">
        <v>3253</v>
      </c>
      <c r="F513" s="3">
        <v>0.45054945054945</v>
      </c>
      <c r="G513">
        <v>11</v>
      </c>
      <c r="H513" t="str">
        <f t="shared" si="7"/>
        <v>3.Mayor a 10 P</v>
      </c>
    </row>
    <row r="514" spans="1:8" x14ac:dyDescent="0.25">
      <c r="A514" t="s">
        <v>4023</v>
      </c>
      <c r="B514">
        <v>2018</v>
      </c>
      <c r="C514" t="s">
        <v>4024</v>
      </c>
      <c r="D514" t="s">
        <v>4025</v>
      </c>
      <c r="E514" t="s">
        <v>3253</v>
      </c>
      <c r="F514" s="3">
        <v>0.45054945054945</v>
      </c>
      <c r="G514">
        <v>6</v>
      </c>
      <c r="H514" t="str">
        <f t="shared" si="7"/>
        <v>2.Menor a 10 P</v>
      </c>
    </row>
    <row r="515" spans="1:8" x14ac:dyDescent="0.25">
      <c r="A515" t="s">
        <v>4026</v>
      </c>
      <c r="B515">
        <v>2024</v>
      </c>
      <c r="C515" t="s">
        <v>2604</v>
      </c>
      <c r="D515" t="s">
        <v>4027</v>
      </c>
      <c r="E515" t="s">
        <v>3253</v>
      </c>
      <c r="F515" s="3">
        <v>0.45054945054945</v>
      </c>
      <c r="G515">
        <v>74</v>
      </c>
      <c r="H515" t="str">
        <f t="shared" ref="H515:H578" si="8">+IF(G515&gt;=100,"7.Mayor a 100 P",+IF(G515&gt;=70,"6.Mayor a 70 P",+IF(G515&gt;=40,"5.Mayor a 40 P",+IF(G515&gt;=20,"4.Mayor a 20 P",+IF(G515&gt;=10,"3.Mayor a 10 P",+IF(G515&lt;10,"2.Menor a 10 P",+IF(G515=0,"1.Sin Propiedades","Revsar")))))))</f>
        <v>6.Mayor a 70 P</v>
      </c>
    </row>
    <row r="516" spans="1:8" x14ac:dyDescent="0.25">
      <c r="A516" t="s">
        <v>4028</v>
      </c>
      <c r="B516">
        <v>2019</v>
      </c>
      <c r="C516" t="s">
        <v>4029</v>
      </c>
      <c r="D516" t="s">
        <v>4030</v>
      </c>
      <c r="E516" t="s">
        <v>3253</v>
      </c>
      <c r="F516" s="3">
        <v>0.45054945054945</v>
      </c>
      <c r="G516">
        <v>2</v>
      </c>
      <c r="H516" t="str">
        <f t="shared" si="8"/>
        <v>2.Menor a 10 P</v>
      </c>
    </row>
    <row r="517" spans="1:8" x14ac:dyDescent="0.25">
      <c r="A517" t="s">
        <v>4031</v>
      </c>
      <c r="B517">
        <v>2019</v>
      </c>
      <c r="C517" t="s">
        <v>4032</v>
      </c>
      <c r="D517" t="s">
        <v>4033</v>
      </c>
      <c r="E517" t="s">
        <v>3253</v>
      </c>
      <c r="F517" s="3">
        <v>0.45054945054945</v>
      </c>
      <c r="G517">
        <v>3</v>
      </c>
      <c r="H517" t="str">
        <f t="shared" si="8"/>
        <v>2.Menor a 10 P</v>
      </c>
    </row>
    <row r="518" spans="1:8" x14ac:dyDescent="0.25">
      <c r="A518" t="s">
        <v>4034</v>
      </c>
      <c r="B518">
        <v>2019</v>
      </c>
      <c r="C518" t="s">
        <v>4035</v>
      </c>
      <c r="D518" t="s">
        <v>4036</v>
      </c>
      <c r="E518" t="s">
        <v>3253</v>
      </c>
      <c r="F518" s="3">
        <v>0.45054945054945</v>
      </c>
      <c r="G518">
        <v>106</v>
      </c>
      <c r="H518" t="str">
        <f t="shared" si="8"/>
        <v>7.Mayor a 100 P</v>
      </c>
    </row>
    <row r="519" spans="1:8" x14ac:dyDescent="0.25">
      <c r="A519" t="s">
        <v>4037</v>
      </c>
      <c r="B519">
        <v>2019</v>
      </c>
      <c r="C519" t="s">
        <v>2604</v>
      </c>
      <c r="D519" t="s">
        <v>4038</v>
      </c>
      <c r="E519" t="s">
        <v>3253</v>
      </c>
      <c r="F519" s="3">
        <v>0.45054945054945</v>
      </c>
      <c r="G519">
        <v>3</v>
      </c>
      <c r="H519" t="str">
        <f t="shared" si="8"/>
        <v>2.Menor a 10 P</v>
      </c>
    </row>
    <row r="520" spans="1:8" x14ac:dyDescent="0.25">
      <c r="A520" t="s">
        <v>4039</v>
      </c>
      <c r="B520">
        <v>2019</v>
      </c>
      <c r="C520" t="s">
        <v>4040</v>
      </c>
      <c r="D520" t="s">
        <v>4041</v>
      </c>
      <c r="E520" t="s">
        <v>3253</v>
      </c>
      <c r="F520" s="3">
        <v>0.45054945054945</v>
      </c>
      <c r="G520">
        <v>6</v>
      </c>
      <c r="H520" t="str">
        <f t="shared" si="8"/>
        <v>2.Menor a 10 P</v>
      </c>
    </row>
    <row r="521" spans="1:8" x14ac:dyDescent="0.25">
      <c r="A521" t="s">
        <v>4042</v>
      </c>
      <c r="B521">
        <v>2019</v>
      </c>
      <c r="C521" t="s">
        <v>4043</v>
      </c>
      <c r="D521" t="s">
        <v>4044</v>
      </c>
      <c r="E521" t="s">
        <v>2924</v>
      </c>
      <c r="F521" s="3">
        <v>0.45054945054945</v>
      </c>
      <c r="G521">
        <v>44</v>
      </c>
      <c r="H521" t="str">
        <f t="shared" si="8"/>
        <v>5.Mayor a 40 P</v>
      </c>
    </row>
    <row r="522" spans="1:8" x14ac:dyDescent="0.25">
      <c r="A522" t="s">
        <v>4045</v>
      </c>
      <c r="B522">
        <v>2019</v>
      </c>
      <c r="C522" t="s">
        <v>4046</v>
      </c>
      <c r="D522" t="s">
        <v>4047</v>
      </c>
      <c r="E522" t="s">
        <v>3253</v>
      </c>
      <c r="F522" s="3">
        <v>0.45054945054945</v>
      </c>
      <c r="G522">
        <v>2</v>
      </c>
      <c r="H522" t="str">
        <f t="shared" si="8"/>
        <v>2.Menor a 10 P</v>
      </c>
    </row>
    <row r="523" spans="1:8" x14ac:dyDescent="0.25">
      <c r="A523" t="s">
        <v>4048</v>
      </c>
      <c r="B523">
        <v>2019</v>
      </c>
      <c r="C523" t="s">
        <v>4049</v>
      </c>
      <c r="D523" t="s">
        <v>4050</v>
      </c>
      <c r="E523" t="s">
        <v>3253</v>
      </c>
      <c r="F523" s="3">
        <v>0.45054945054945</v>
      </c>
      <c r="G523">
        <v>3</v>
      </c>
      <c r="H523" t="str">
        <f t="shared" si="8"/>
        <v>2.Menor a 10 P</v>
      </c>
    </row>
    <row r="524" spans="1:8" x14ac:dyDescent="0.25">
      <c r="A524" t="s">
        <v>4051</v>
      </c>
      <c r="B524">
        <v>2018</v>
      </c>
      <c r="C524" t="s">
        <v>4052</v>
      </c>
      <c r="D524" t="s">
        <v>4053</v>
      </c>
      <c r="E524" t="s">
        <v>3253</v>
      </c>
      <c r="F524" s="3">
        <v>0.45054945054945</v>
      </c>
      <c r="G524">
        <v>36</v>
      </c>
      <c r="H524" t="str">
        <f t="shared" si="8"/>
        <v>4.Mayor a 20 P</v>
      </c>
    </row>
    <row r="525" spans="1:8" x14ac:dyDescent="0.25">
      <c r="A525" t="s">
        <v>4054</v>
      </c>
      <c r="B525">
        <v>2018</v>
      </c>
      <c r="C525" t="s">
        <v>4055</v>
      </c>
      <c r="D525" t="s">
        <v>4056</v>
      </c>
      <c r="E525" t="s">
        <v>3253</v>
      </c>
      <c r="F525" s="3">
        <v>0.45054945054945</v>
      </c>
      <c r="G525">
        <v>25</v>
      </c>
      <c r="H525" t="str">
        <f t="shared" si="8"/>
        <v>4.Mayor a 20 P</v>
      </c>
    </row>
    <row r="526" spans="1:8" x14ac:dyDescent="0.25">
      <c r="A526" t="s">
        <v>4057</v>
      </c>
      <c r="B526">
        <v>2018</v>
      </c>
      <c r="C526" t="s">
        <v>4058</v>
      </c>
      <c r="D526" t="s">
        <v>4059</v>
      </c>
      <c r="E526" t="s">
        <v>3253</v>
      </c>
      <c r="F526" s="3">
        <v>0.45054945054945</v>
      </c>
      <c r="G526">
        <v>11</v>
      </c>
      <c r="H526" t="str">
        <f t="shared" si="8"/>
        <v>3.Mayor a 10 P</v>
      </c>
    </row>
    <row r="527" spans="1:8" x14ac:dyDescent="0.25">
      <c r="A527" t="s">
        <v>4060</v>
      </c>
      <c r="B527">
        <v>2018</v>
      </c>
      <c r="C527" t="s">
        <v>4061</v>
      </c>
      <c r="D527" t="s">
        <v>4062</v>
      </c>
      <c r="E527" t="s">
        <v>3253</v>
      </c>
      <c r="F527" s="3">
        <v>0.45054945054945</v>
      </c>
      <c r="G527">
        <v>31</v>
      </c>
      <c r="H527" t="str">
        <f t="shared" si="8"/>
        <v>4.Mayor a 20 P</v>
      </c>
    </row>
    <row r="528" spans="1:8" x14ac:dyDescent="0.25">
      <c r="A528" t="s">
        <v>4063</v>
      </c>
      <c r="B528">
        <v>2018</v>
      </c>
      <c r="C528" t="s">
        <v>4064</v>
      </c>
      <c r="D528" t="s">
        <v>4065</v>
      </c>
      <c r="E528" t="s">
        <v>3253</v>
      </c>
      <c r="F528" s="3">
        <v>0.45054945054945</v>
      </c>
      <c r="G528">
        <v>5</v>
      </c>
      <c r="H528" t="str">
        <f t="shared" si="8"/>
        <v>2.Menor a 10 P</v>
      </c>
    </row>
    <row r="529" spans="1:8" x14ac:dyDescent="0.25">
      <c r="A529" t="s">
        <v>4066</v>
      </c>
      <c r="B529">
        <v>2018</v>
      </c>
      <c r="C529" t="s">
        <v>4067</v>
      </c>
      <c r="D529" t="s">
        <v>4068</v>
      </c>
      <c r="E529" t="s">
        <v>3253</v>
      </c>
      <c r="F529" s="3">
        <v>0.45054945054945</v>
      </c>
      <c r="G529">
        <v>10</v>
      </c>
      <c r="H529" t="str">
        <f t="shared" si="8"/>
        <v>3.Mayor a 10 P</v>
      </c>
    </row>
    <row r="530" spans="1:8" x14ac:dyDescent="0.25">
      <c r="A530" t="s">
        <v>4069</v>
      </c>
      <c r="B530">
        <v>2018</v>
      </c>
      <c r="C530" t="s">
        <v>4070</v>
      </c>
      <c r="D530" t="s">
        <v>4071</v>
      </c>
      <c r="E530" t="s">
        <v>3253</v>
      </c>
      <c r="F530" s="3">
        <v>0.45054945054945</v>
      </c>
      <c r="G530">
        <v>10</v>
      </c>
      <c r="H530" t="str">
        <f t="shared" si="8"/>
        <v>3.Mayor a 10 P</v>
      </c>
    </row>
    <row r="531" spans="1:8" x14ac:dyDescent="0.25">
      <c r="A531" t="s">
        <v>4072</v>
      </c>
      <c r="B531">
        <v>2018</v>
      </c>
      <c r="C531" t="s">
        <v>4073</v>
      </c>
      <c r="D531" t="s">
        <v>4074</v>
      </c>
      <c r="E531" t="s">
        <v>3253</v>
      </c>
      <c r="F531" s="3">
        <v>0.45054945054945</v>
      </c>
      <c r="G531">
        <v>9</v>
      </c>
      <c r="H531" t="str">
        <f t="shared" si="8"/>
        <v>2.Menor a 10 P</v>
      </c>
    </row>
    <row r="532" spans="1:8" x14ac:dyDescent="0.25">
      <c r="A532" t="s">
        <v>4075</v>
      </c>
      <c r="B532">
        <v>2018</v>
      </c>
      <c r="C532" t="s">
        <v>4076</v>
      </c>
      <c r="D532" t="s">
        <v>4077</v>
      </c>
      <c r="E532" t="s">
        <v>3253</v>
      </c>
      <c r="F532" s="3">
        <v>0.45054945054945</v>
      </c>
      <c r="G532">
        <v>22</v>
      </c>
      <c r="H532" t="str">
        <f t="shared" si="8"/>
        <v>4.Mayor a 20 P</v>
      </c>
    </row>
    <row r="533" spans="1:8" x14ac:dyDescent="0.25">
      <c r="A533" t="s">
        <v>4078</v>
      </c>
      <c r="B533">
        <v>2018</v>
      </c>
      <c r="C533" t="s">
        <v>4079</v>
      </c>
      <c r="D533" t="s">
        <v>4080</v>
      </c>
      <c r="E533" t="s">
        <v>3253</v>
      </c>
      <c r="F533" s="3">
        <v>0.45054945054945</v>
      </c>
      <c r="G533">
        <v>206</v>
      </c>
      <c r="H533" t="str">
        <f t="shared" si="8"/>
        <v>7.Mayor a 100 P</v>
      </c>
    </row>
    <row r="534" spans="1:8" x14ac:dyDescent="0.25">
      <c r="A534" t="s">
        <v>4081</v>
      </c>
      <c r="B534">
        <v>2018</v>
      </c>
      <c r="C534" t="s">
        <v>4082</v>
      </c>
      <c r="D534" t="s">
        <v>4083</v>
      </c>
      <c r="E534" t="s">
        <v>3253</v>
      </c>
      <c r="F534" s="3">
        <v>0.45054945054945</v>
      </c>
      <c r="G534">
        <v>12</v>
      </c>
      <c r="H534" t="str">
        <f t="shared" si="8"/>
        <v>3.Mayor a 10 P</v>
      </c>
    </row>
    <row r="535" spans="1:8" x14ac:dyDescent="0.25">
      <c r="A535" t="s">
        <v>4084</v>
      </c>
      <c r="B535">
        <v>2018</v>
      </c>
      <c r="C535" t="s">
        <v>4085</v>
      </c>
      <c r="D535" t="s">
        <v>4086</v>
      </c>
      <c r="E535" t="s">
        <v>3253</v>
      </c>
      <c r="F535" s="3">
        <v>0.45054945054945</v>
      </c>
      <c r="G535">
        <v>46</v>
      </c>
      <c r="H535" t="str">
        <f t="shared" si="8"/>
        <v>5.Mayor a 40 P</v>
      </c>
    </row>
    <row r="536" spans="1:8" x14ac:dyDescent="0.25">
      <c r="A536" t="s">
        <v>4087</v>
      </c>
      <c r="B536">
        <v>2018</v>
      </c>
      <c r="C536" t="s">
        <v>4088</v>
      </c>
      <c r="D536" t="s">
        <v>4089</v>
      </c>
      <c r="E536" t="s">
        <v>3253</v>
      </c>
      <c r="F536" s="3">
        <v>0.45054945054945</v>
      </c>
      <c r="G536">
        <v>16</v>
      </c>
      <c r="H536" t="str">
        <f t="shared" si="8"/>
        <v>3.Mayor a 10 P</v>
      </c>
    </row>
    <row r="537" spans="1:8" x14ac:dyDescent="0.25">
      <c r="A537" t="s">
        <v>4090</v>
      </c>
      <c r="B537">
        <v>2018</v>
      </c>
      <c r="C537" t="s">
        <v>4091</v>
      </c>
      <c r="D537" t="s">
        <v>4092</v>
      </c>
      <c r="E537" t="s">
        <v>3253</v>
      </c>
      <c r="F537" s="3">
        <v>0.45054945054945</v>
      </c>
      <c r="G537">
        <v>14</v>
      </c>
      <c r="H537" t="str">
        <f t="shared" si="8"/>
        <v>3.Mayor a 10 P</v>
      </c>
    </row>
    <row r="538" spans="1:8" x14ac:dyDescent="0.25">
      <c r="A538" t="s">
        <v>4093</v>
      </c>
      <c r="B538">
        <v>2018</v>
      </c>
      <c r="C538" t="s">
        <v>4094</v>
      </c>
      <c r="D538" t="s">
        <v>4095</v>
      </c>
      <c r="E538" t="s">
        <v>3253</v>
      </c>
      <c r="F538" s="3">
        <v>0.45054945054945</v>
      </c>
      <c r="G538">
        <v>154</v>
      </c>
      <c r="H538" t="str">
        <f t="shared" si="8"/>
        <v>7.Mayor a 100 P</v>
      </c>
    </row>
    <row r="539" spans="1:8" x14ac:dyDescent="0.25">
      <c r="A539" t="s">
        <v>4096</v>
      </c>
      <c r="B539">
        <v>2018</v>
      </c>
      <c r="C539" t="s">
        <v>4097</v>
      </c>
      <c r="D539" t="s">
        <v>4098</v>
      </c>
      <c r="E539" t="s">
        <v>3253</v>
      </c>
      <c r="F539" s="3">
        <v>0.45054945054945</v>
      </c>
      <c r="G539">
        <v>427</v>
      </c>
      <c r="H539" t="str">
        <f t="shared" si="8"/>
        <v>7.Mayor a 100 P</v>
      </c>
    </row>
    <row r="540" spans="1:8" x14ac:dyDescent="0.25">
      <c r="A540" t="s">
        <v>4099</v>
      </c>
      <c r="B540">
        <v>2018</v>
      </c>
      <c r="C540" t="s">
        <v>4100</v>
      </c>
      <c r="D540" t="s">
        <v>4101</v>
      </c>
      <c r="E540" t="s">
        <v>3253</v>
      </c>
      <c r="F540" s="3">
        <v>0.45054945054945</v>
      </c>
      <c r="G540">
        <v>18</v>
      </c>
      <c r="H540" t="str">
        <f t="shared" si="8"/>
        <v>3.Mayor a 10 P</v>
      </c>
    </row>
    <row r="541" spans="1:8" x14ac:dyDescent="0.25">
      <c r="A541" t="s">
        <v>4102</v>
      </c>
      <c r="B541">
        <v>2018</v>
      </c>
      <c r="C541" t="s">
        <v>4103</v>
      </c>
      <c r="D541" t="s">
        <v>4104</v>
      </c>
      <c r="E541" t="s">
        <v>3253</v>
      </c>
      <c r="F541" s="3">
        <v>0.45054945054945</v>
      </c>
      <c r="G541">
        <v>46</v>
      </c>
      <c r="H541" t="str">
        <f t="shared" si="8"/>
        <v>5.Mayor a 40 P</v>
      </c>
    </row>
    <row r="542" spans="1:8" x14ac:dyDescent="0.25">
      <c r="A542" t="s">
        <v>4105</v>
      </c>
      <c r="B542">
        <v>2018</v>
      </c>
      <c r="C542" t="s">
        <v>4106</v>
      </c>
      <c r="D542" t="s">
        <v>4107</v>
      </c>
      <c r="E542" t="s">
        <v>3253</v>
      </c>
      <c r="F542" s="3">
        <v>0.45054945054945</v>
      </c>
      <c r="G542">
        <v>155</v>
      </c>
      <c r="H542" t="str">
        <f t="shared" si="8"/>
        <v>7.Mayor a 100 P</v>
      </c>
    </row>
    <row r="543" spans="1:8" x14ac:dyDescent="0.25">
      <c r="A543" t="s">
        <v>4108</v>
      </c>
      <c r="B543">
        <v>2019</v>
      </c>
      <c r="C543" t="s">
        <v>4109</v>
      </c>
      <c r="D543" t="s">
        <v>4110</v>
      </c>
      <c r="E543" t="s">
        <v>3253</v>
      </c>
      <c r="F543" s="3">
        <v>0.45054945054945</v>
      </c>
      <c r="G543">
        <v>16</v>
      </c>
      <c r="H543" t="str">
        <f t="shared" si="8"/>
        <v>3.Mayor a 10 P</v>
      </c>
    </row>
    <row r="544" spans="1:8" x14ac:dyDescent="0.25">
      <c r="A544" t="s">
        <v>4111</v>
      </c>
      <c r="B544">
        <v>2019</v>
      </c>
      <c r="C544" t="s">
        <v>4112</v>
      </c>
      <c r="D544" t="s">
        <v>4113</v>
      </c>
      <c r="E544" t="s">
        <v>3253</v>
      </c>
      <c r="F544" s="3">
        <v>0.45054945054945</v>
      </c>
      <c r="G544">
        <v>8</v>
      </c>
      <c r="H544" t="str">
        <f t="shared" si="8"/>
        <v>2.Menor a 10 P</v>
      </c>
    </row>
    <row r="545" spans="1:8" x14ac:dyDescent="0.25">
      <c r="A545" t="s">
        <v>4114</v>
      </c>
      <c r="B545">
        <v>2019</v>
      </c>
      <c r="C545" t="s">
        <v>4115</v>
      </c>
      <c r="D545" t="s">
        <v>4116</v>
      </c>
      <c r="E545" t="s">
        <v>3253</v>
      </c>
      <c r="F545" s="3">
        <v>0.45054945054945</v>
      </c>
      <c r="G545">
        <v>24</v>
      </c>
      <c r="H545" t="str">
        <f t="shared" si="8"/>
        <v>4.Mayor a 20 P</v>
      </c>
    </row>
    <row r="546" spans="1:8" x14ac:dyDescent="0.25">
      <c r="A546" t="s">
        <v>4117</v>
      </c>
      <c r="B546">
        <v>2019</v>
      </c>
      <c r="C546" t="s">
        <v>4118</v>
      </c>
      <c r="D546" t="s">
        <v>4119</v>
      </c>
      <c r="E546" t="s">
        <v>3253</v>
      </c>
      <c r="F546" s="3">
        <v>0.45054945054945</v>
      </c>
      <c r="G546">
        <v>20</v>
      </c>
      <c r="H546" t="str">
        <f t="shared" si="8"/>
        <v>4.Mayor a 20 P</v>
      </c>
    </row>
    <row r="547" spans="1:8" x14ac:dyDescent="0.25">
      <c r="A547" t="s">
        <v>4120</v>
      </c>
      <c r="B547">
        <v>2019</v>
      </c>
      <c r="C547" t="s">
        <v>4121</v>
      </c>
      <c r="D547" t="s">
        <v>4122</v>
      </c>
      <c r="E547" t="s">
        <v>3253</v>
      </c>
      <c r="F547" s="3">
        <v>0.45054945054945</v>
      </c>
      <c r="G547">
        <v>8</v>
      </c>
      <c r="H547" t="str">
        <f t="shared" si="8"/>
        <v>2.Menor a 10 P</v>
      </c>
    </row>
    <row r="548" spans="1:8" x14ac:dyDescent="0.25">
      <c r="A548" t="s">
        <v>4123</v>
      </c>
      <c r="B548">
        <v>2018</v>
      </c>
      <c r="C548" t="s">
        <v>4124</v>
      </c>
      <c r="D548" t="s">
        <v>4125</v>
      </c>
      <c r="E548" t="s">
        <v>3253</v>
      </c>
      <c r="F548" s="3">
        <v>0.45054945054945</v>
      </c>
      <c r="G548">
        <v>84</v>
      </c>
      <c r="H548" t="str">
        <f t="shared" si="8"/>
        <v>6.Mayor a 70 P</v>
      </c>
    </row>
    <row r="549" spans="1:8" x14ac:dyDescent="0.25">
      <c r="A549" t="s">
        <v>4126</v>
      </c>
      <c r="B549">
        <v>2018</v>
      </c>
      <c r="C549" t="s">
        <v>4127</v>
      </c>
      <c r="D549" t="s">
        <v>4128</v>
      </c>
      <c r="E549" t="s">
        <v>3253</v>
      </c>
      <c r="F549" s="3">
        <v>0.45054945054945</v>
      </c>
      <c r="G549">
        <v>3</v>
      </c>
      <c r="H549" t="str">
        <f t="shared" si="8"/>
        <v>2.Menor a 10 P</v>
      </c>
    </row>
    <row r="550" spans="1:8" x14ac:dyDescent="0.25">
      <c r="A550" t="s">
        <v>4129</v>
      </c>
      <c r="B550">
        <v>2018</v>
      </c>
      <c r="C550" t="s">
        <v>4130</v>
      </c>
      <c r="D550" t="s">
        <v>4131</v>
      </c>
      <c r="E550" t="s">
        <v>3253</v>
      </c>
      <c r="F550" s="3">
        <v>0.45054945054945</v>
      </c>
      <c r="G550">
        <v>17</v>
      </c>
      <c r="H550" t="str">
        <f t="shared" si="8"/>
        <v>3.Mayor a 10 P</v>
      </c>
    </row>
    <row r="551" spans="1:8" x14ac:dyDescent="0.25">
      <c r="A551" t="s">
        <v>4132</v>
      </c>
      <c r="B551">
        <v>2019</v>
      </c>
      <c r="C551" t="s">
        <v>4133</v>
      </c>
      <c r="D551" t="s">
        <v>4134</v>
      </c>
      <c r="E551" t="s">
        <v>3253</v>
      </c>
      <c r="F551" s="3">
        <v>0.45054945054945</v>
      </c>
      <c r="G551">
        <v>8</v>
      </c>
      <c r="H551" t="str">
        <f t="shared" si="8"/>
        <v>2.Menor a 10 P</v>
      </c>
    </row>
    <row r="552" spans="1:8" x14ac:dyDescent="0.25">
      <c r="A552" t="s">
        <v>4135</v>
      </c>
      <c r="B552">
        <v>2019</v>
      </c>
      <c r="C552" t="s">
        <v>4136</v>
      </c>
      <c r="D552" t="s">
        <v>4137</v>
      </c>
      <c r="E552" t="s">
        <v>3253</v>
      </c>
      <c r="F552" s="3">
        <v>0.45054945054945</v>
      </c>
      <c r="G552">
        <v>11</v>
      </c>
      <c r="H552" t="str">
        <f t="shared" si="8"/>
        <v>3.Mayor a 10 P</v>
      </c>
    </row>
    <row r="553" spans="1:8" x14ac:dyDescent="0.25">
      <c r="A553" t="s">
        <v>4138</v>
      </c>
      <c r="B553">
        <v>2019</v>
      </c>
      <c r="C553" t="s">
        <v>4139</v>
      </c>
      <c r="D553" t="s">
        <v>4140</v>
      </c>
      <c r="E553" t="s">
        <v>3253</v>
      </c>
      <c r="F553" s="3">
        <v>0.45054945054945</v>
      </c>
      <c r="G553">
        <v>5</v>
      </c>
      <c r="H553" t="str">
        <f t="shared" si="8"/>
        <v>2.Menor a 10 P</v>
      </c>
    </row>
    <row r="554" spans="1:8" x14ac:dyDescent="0.25">
      <c r="A554" t="s">
        <v>4141</v>
      </c>
      <c r="B554">
        <v>2019</v>
      </c>
      <c r="C554" t="s">
        <v>4142</v>
      </c>
      <c r="D554" t="s">
        <v>4143</v>
      </c>
      <c r="E554" t="s">
        <v>3253</v>
      </c>
      <c r="F554" s="3">
        <v>0.45054945054945</v>
      </c>
      <c r="G554">
        <v>1</v>
      </c>
      <c r="H554" t="str">
        <f t="shared" si="8"/>
        <v>2.Menor a 10 P</v>
      </c>
    </row>
    <row r="555" spans="1:8" x14ac:dyDescent="0.25">
      <c r="A555" t="s">
        <v>4144</v>
      </c>
      <c r="B555">
        <v>2019</v>
      </c>
      <c r="C555" t="s">
        <v>4145</v>
      </c>
      <c r="D555" t="s">
        <v>4146</v>
      </c>
      <c r="E555" t="s">
        <v>3253</v>
      </c>
      <c r="F555" s="3">
        <v>0.45054945054945</v>
      </c>
      <c r="G555">
        <v>5</v>
      </c>
      <c r="H555" t="str">
        <f t="shared" si="8"/>
        <v>2.Menor a 10 P</v>
      </c>
    </row>
    <row r="556" spans="1:8" x14ac:dyDescent="0.25">
      <c r="A556" t="s">
        <v>4147</v>
      </c>
      <c r="B556">
        <v>2019</v>
      </c>
      <c r="C556" t="s">
        <v>2604</v>
      </c>
      <c r="D556" t="s">
        <v>4148</v>
      </c>
      <c r="E556" t="s">
        <v>3253</v>
      </c>
      <c r="F556" s="3">
        <v>0.45054945054945</v>
      </c>
      <c r="G556">
        <v>25</v>
      </c>
      <c r="H556" t="str">
        <f t="shared" si="8"/>
        <v>4.Mayor a 20 P</v>
      </c>
    </row>
    <row r="557" spans="1:8" x14ac:dyDescent="0.25">
      <c r="A557" t="s">
        <v>4149</v>
      </c>
      <c r="B557">
        <v>2019</v>
      </c>
      <c r="C557" t="s">
        <v>4150</v>
      </c>
      <c r="D557" t="s">
        <v>4151</v>
      </c>
      <c r="E557" t="s">
        <v>3253</v>
      </c>
      <c r="F557" s="3">
        <v>0.45054945054945</v>
      </c>
      <c r="G557">
        <v>12</v>
      </c>
      <c r="H557" t="str">
        <f t="shared" si="8"/>
        <v>3.Mayor a 10 P</v>
      </c>
    </row>
    <row r="558" spans="1:8" x14ac:dyDescent="0.25">
      <c r="A558" t="s">
        <v>4152</v>
      </c>
      <c r="B558">
        <v>2019</v>
      </c>
      <c r="C558" t="s">
        <v>4153</v>
      </c>
      <c r="D558" t="s">
        <v>4154</v>
      </c>
      <c r="E558" t="s">
        <v>3253</v>
      </c>
      <c r="F558" s="3">
        <v>0.45054945054945</v>
      </c>
      <c r="G558">
        <v>8</v>
      </c>
      <c r="H558" t="str">
        <f t="shared" si="8"/>
        <v>2.Menor a 10 P</v>
      </c>
    </row>
    <row r="559" spans="1:8" x14ac:dyDescent="0.25">
      <c r="A559" t="s">
        <v>4155</v>
      </c>
      <c r="B559">
        <v>2019</v>
      </c>
      <c r="C559" t="s">
        <v>4156</v>
      </c>
      <c r="D559" t="s">
        <v>4157</v>
      </c>
      <c r="E559" t="s">
        <v>3253</v>
      </c>
      <c r="F559" s="3">
        <v>0.45054945054945</v>
      </c>
      <c r="G559">
        <v>5</v>
      </c>
      <c r="H559" t="str">
        <f t="shared" si="8"/>
        <v>2.Menor a 10 P</v>
      </c>
    </row>
    <row r="560" spans="1:8" x14ac:dyDescent="0.25">
      <c r="A560" t="s">
        <v>4158</v>
      </c>
      <c r="B560">
        <v>2019</v>
      </c>
      <c r="C560" t="s">
        <v>4159</v>
      </c>
      <c r="D560" t="s">
        <v>4160</v>
      </c>
      <c r="E560" t="s">
        <v>3253</v>
      </c>
      <c r="F560" s="3">
        <v>0.45054945054945</v>
      </c>
      <c r="G560">
        <v>16</v>
      </c>
      <c r="H560" t="str">
        <f t="shared" si="8"/>
        <v>3.Mayor a 10 P</v>
      </c>
    </row>
    <row r="561" spans="1:8" x14ac:dyDescent="0.25">
      <c r="A561" t="s">
        <v>4161</v>
      </c>
      <c r="B561">
        <v>2019</v>
      </c>
      <c r="C561" t="s">
        <v>4162</v>
      </c>
      <c r="D561" t="s">
        <v>4163</v>
      </c>
      <c r="E561" t="s">
        <v>3253</v>
      </c>
      <c r="F561" s="3">
        <v>0.45054945054945</v>
      </c>
      <c r="G561">
        <v>13</v>
      </c>
      <c r="H561" t="str">
        <f t="shared" si="8"/>
        <v>3.Mayor a 10 P</v>
      </c>
    </row>
    <row r="562" spans="1:8" x14ac:dyDescent="0.25">
      <c r="A562" t="s">
        <v>4164</v>
      </c>
      <c r="B562">
        <v>2019</v>
      </c>
      <c r="C562" t="s">
        <v>4165</v>
      </c>
      <c r="D562" t="s">
        <v>4166</v>
      </c>
      <c r="E562" t="s">
        <v>3253</v>
      </c>
      <c r="F562" s="3">
        <v>0.45054945054945</v>
      </c>
      <c r="G562">
        <v>9</v>
      </c>
      <c r="H562" t="str">
        <f t="shared" si="8"/>
        <v>2.Menor a 10 P</v>
      </c>
    </row>
    <row r="563" spans="1:8" x14ac:dyDescent="0.25">
      <c r="A563" t="s">
        <v>4167</v>
      </c>
      <c r="B563">
        <v>2019</v>
      </c>
      <c r="C563" t="s">
        <v>4168</v>
      </c>
      <c r="D563" t="s">
        <v>4169</v>
      </c>
      <c r="E563" t="s">
        <v>3253</v>
      </c>
      <c r="F563" s="3">
        <v>0.45054945054945</v>
      </c>
      <c r="G563">
        <v>80</v>
      </c>
      <c r="H563" t="str">
        <f t="shared" si="8"/>
        <v>6.Mayor a 70 P</v>
      </c>
    </row>
    <row r="564" spans="1:8" x14ac:dyDescent="0.25">
      <c r="A564" t="s">
        <v>4170</v>
      </c>
      <c r="B564">
        <v>2025</v>
      </c>
      <c r="C564" t="s">
        <v>4171</v>
      </c>
      <c r="D564" t="s">
        <v>4172</v>
      </c>
      <c r="E564" t="s">
        <v>3253</v>
      </c>
      <c r="F564" s="3">
        <v>0.45054945054945</v>
      </c>
      <c r="G564">
        <v>5</v>
      </c>
      <c r="H564" t="str">
        <f t="shared" si="8"/>
        <v>2.Menor a 10 P</v>
      </c>
    </row>
    <row r="565" spans="1:8" x14ac:dyDescent="0.25">
      <c r="A565" t="s">
        <v>2609</v>
      </c>
      <c r="B565">
        <v>2025</v>
      </c>
      <c r="C565" t="s">
        <v>4173</v>
      </c>
      <c r="D565" t="s">
        <v>4174</v>
      </c>
      <c r="E565" t="s">
        <v>3253</v>
      </c>
      <c r="F565" s="3">
        <v>0.45054945054945</v>
      </c>
      <c r="G565">
        <v>14</v>
      </c>
      <c r="H565" t="str">
        <f t="shared" si="8"/>
        <v>3.Mayor a 10 P</v>
      </c>
    </row>
    <row r="566" spans="1:8" x14ac:dyDescent="0.25">
      <c r="A566" t="s">
        <v>4175</v>
      </c>
      <c r="B566">
        <v>2018</v>
      </c>
      <c r="C566" t="s">
        <v>4176</v>
      </c>
      <c r="D566" t="s">
        <v>4177</v>
      </c>
      <c r="E566" t="s">
        <v>3253</v>
      </c>
      <c r="F566" s="3">
        <v>0.45054945054945</v>
      </c>
      <c r="G566">
        <v>84</v>
      </c>
      <c r="H566" t="str">
        <f t="shared" si="8"/>
        <v>6.Mayor a 70 P</v>
      </c>
    </row>
    <row r="567" spans="1:8" x14ac:dyDescent="0.25">
      <c r="A567" t="s">
        <v>4178</v>
      </c>
      <c r="B567">
        <v>2018</v>
      </c>
      <c r="C567" t="s">
        <v>4179</v>
      </c>
      <c r="D567" t="s">
        <v>4180</v>
      </c>
      <c r="E567" t="s">
        <v>3253</v>
      </c>
      <c r="F567" s="3">
        <v>0.45054945054945</v>
      </c>
      <c r="G567">
        <v>27</v>
      </c>
      <c r="H567" t="str">
        <f t="shared" si="8"/>
        <v>4.Mayor a 20 P</v>
      </c>
    </row>
    <row r="568" spans="1:8" x14ac:dyDescent="0.25">
      <c r="A568" t="s">
        <v>4181</v>
      </c>
      <c r="B568">
        <v>2019</v>
      </c>
      <c r="C568" t="s">
        <v>4182</v>
      </c>
      <c r="D568" t="s">
        <v>4183</v>
      </c>
      <c r="E568" t="s">
        <v>3253</v>
      </c>
      <c r="F568" s="3">
        <v>0.45054945054945</v>
      </c>
      <c r="G568">
        <v>3</v>
      </c>
      <c r="H568" t="str">
        <f t="shared" si="8"/>
        <v>2.Menor a 10 P</v>
      </c>
    </row>
    <row r="569" spans="1:8" x14ac:dyDescent="0.25">
      <c r="A569" t="s">
        <v>4184</v>
      </c>
      <c r="B569">
        <v>2019</v>
      </c>
      <c r="C569" t="s">
        <v>4185</v>
      </c>
      <c r="D569" t="s">
        <v>4186</v>
      </c>
      <c r="E569" t="s">
        <v>3253</v>
      </c>
      <c r="F569" s="3">
        <v>0.45054945054945</v>
      </c>
      <c r="G569">
        <v>10</v>
      </c>
      <c r="H569" t="str">
        <f t="shared" si="8"/>
        <v>3.Mayor a 10 P</v>
      </c>
    </row>
    <row r="570" spans="1:8" x14ac:dyDescent="0.25">
      <c r="A570" t="s">
        <v>4187</v>
      </c>
      <c r="B570">
        <v>2019</v>
      </c>
      <c r="C570" t="s">
        <v>4188</v>
      </c>
      <c r="D570" t="s">
        <v>4189</v>
      </c>
      <c r="E570" t="s">
        <v>3253</v>
      </c>
      <c r="F570" s="3">
        <v>0.45054945054945</v>
      </c>
      <c r="G570">
        <v>11</v>
      </c>
      <c r="H570" t="str">
        <f t="shared" si="8"/>
        <v>3.Mayor a 10 P</v>
      </c>
    </row>
    <row r="571" spans="1:8" x14ac:dyDescent="0.25">
      <c r="A571" t="s">
        <v>4190</v>
      </c>
      <c r="B571">
        <v>2019</v>
      </c>
      <c r="C571" t="s">
        <v>4191</v>
      </c>
      <c r="D571" t="s">
        <v>4192</v>
      </c>
      <c r="E571" t="s">
        <v>3253</v>
      </c>
      <c r="F571" s="3">
        <v>0.45054945054945</v>
      </c>
      <c r="G571">
        <v>40</v>
      </c>
      <c r="H571" t="str">
        <f t="shared" si="8"/>
        <v>5.Mayor a 40 P</v>
      </c>
    </row>
    <row r="572" spans="1:8" x14ac:dyDescent="0.25">
      <c r="A572" t="s">
        <v>4193</v>
      </c>
      <c r="B572">
        <v>2019</v>
      </c>
      <c r="C572" t="s">
        <v>4194</v>
      </c>
      <c r="D572" t="s">
        <v>4195</v>
      </c>
      <c r="E572" t="s">
        <v>3253</v>
      </c>
      <c r="F572" s="3">
        <v>0.45054945054945</v>
      </c>
      <c r="G572">
        <v>151</v>
      </c>
      <c r="H572" t="str">
        <f t="shared" si="8"/>
        <v>7.Mayor a 100 P</v>
      </c>
    </row>
    <row r="573" spans="1:8" x14ac:dyDescent="0.25">
      <c r="A573" t="s">
        <v>4196</v>
      </c>
      <c r="B573">
        <v>2019</v>
      </c>
      <c r="C573" t="s">
        <v>4197</v>
      </c>
      <c r="D573" t="s">
        <v>4198</v>
      </c>
      <c r="E573" t="s">
        <v>3253</v>
      </c>
      <c r="F573" s="3">
        <v>0.45054945054945</v>
      </c>
      <c r="G573">
        <v>92</v>
      </c>
      <c r="H573" t="str">
        <f t="shared" si="8"/>
        <v>6.Mayor a 70 P</v>
      </c>
    </row>
    <row r="574" spans="1:8" x14ac:dyDescent="0.25">
      <c r="A574" t="s">
        <v>4199</v>
      </c>
      <c r="B574">
        <v>2019</v>
      </c>
      <c r="C574" t="s">
        <v>4200</v>
      </c>
      <c r="D574" t="s">
        <v>4201</v>
      </c>
      <c r="E574" t="s">
        <v>3253</v>
      </c>
      <c r="F574" s="3">
        <v>0.45054945054945</v>
      </c>
      <c r="G574">
        <v>10</v>
      </c>
      <c r="H574" t="str">
        <f t="shared" si="8"/>
        <v>3.Mayor a 10 P</v>
      </c>
    </row>
    <row r="575" spans="1:8" x14ac:dyDescent="0.25">
      <c r="A575" t="s">
        <v>4202</v>
      </c>
      <c r="B575">
        <v>2019</v>
      </c>
      <c r="C575" t="s">
        <v>4203</v>
      </c>
      <c r="D575" t="s">
        <v>4204</v>
      </c>
      <c r="E575" t="s">
        <v>3253</v>
      </c>
      <c r="F575" s="3">
        <v>0.45054945054945</v>
      </c>
      <c r="G575">
        <v>10</v>
      </c>
      <c r="H575" t="str">
        <f t="shared" si="8"/>
        <v>3.Mayor a 10 P</v>
      </c>
    </row>
    <row r="576" spans="1:8" x14ac:dyDescent="0.25">
      <c r="A576" t="s">
        <v>4205</v>
      </c>
      <c r="B576">
        <v>2019</v>
      </c>
      <c r="C576" t="s">
        <v>4206</v>
      </c>
      <c r="D576" t="s">
        <v>4207</v>
      </c>
      <c r="E576" t="s">
        <v>3253</v>
      </c>
      <c r="F576" s="3">
        <v>0.45054945054945</v>
      </c>
      <c r="G576">
        <v>40</v>
      </c>
      <c r="H576" t="str">
        <f t="shared" si="8"/>
        <v>5.Mayor a 40 P</v>
      </c>
    </row>
    <row r="577" spans="1:8" x14ac:dyDescent="0.25">
      <c r="A577" t="s">
        <v>4208</v>
      </c>
      <c r="B577">
        <v>2019</v>
      </c>
      <c r="C577" t="s">
        <v>4209</v>
      </c>
      <c r="D577" t="s">
        <v>4210</v>
      </c>
      <c r="E577" t="s">
        <v>3253</v>
      </c>
      <c r="F577" s="3">
        <v>0.45054945054945</v>
      </c>
      <c r="G577">
        <v>6</v>
      </c>
      <c r="H577" t="str">
        <f t="shared" si="8"/>
        <v>2.Menor a 10 P</v>
      </c>
    </row>
    <row r="578" spans="1:8" x14ac:dyDescent="0.25">
      <c r="A578" t="s">
        <v>4211</v>
      </c>
      <c r="B578">
        <v>2019</v>
      </c>
      <c r="C578" t="s">
        <v>4212</v>
      </c>
      <c r="D578" t="s">
        <v>4213</v>
      </c>
      <c r="E578" t="s">
        <v>3253</v>
      </c>
      <c r="F578" s="3">
        <v>0.45054945054945</v>
      </c>
      <c r="G578">
        <v>6</v>
      </c>
      <c r="H578" t="str">
        <f t="shared" si="8"/>
        <v>2.Menor a 10 P</v>
      </c>
    </row>
    <row r="579" spans="1:8" x14ac:dyDescent="0.25">
      <c r="A579" t="s">
        <v>4214</v>
      </c>
      <c r="B579">
        <v>2016</v>
      </c>
      <c r="C579" t="s">
        <v>4215</v>
      </c>
      <c r="D579" t="s">
        <v>4216</v>
      </c>
      <c r="E579" t="s">
        <v>3253</v>
      </c>
      <c r="F579" s="3">
        <v>0.45054945054945</v>
      </c>
      <c r="G579">
        <v>76</v>
      </c>
      <c r="H579" t="str">
        <f t="shared" ref="H579:H642" si="9">+IF(G579&gt;=100,"7.Mayor a 100 P",+IF(G579&gt;=70,"6.Mayor a 70 P",+IF(G579&gt;=40,"5.Mayor a 40 P",+IF(G579&gt;=20,"4.Mayor a 20 P",+IF(G579&gt;=10,"3.Mayor a 10 P",+IF(G579&lt;10,"2.Menor a 10 P",+IF(G579=0,"1.Sin Propiedades","Revsar")))))))</f>
        <v>6.Mayor a 70 P</v>
      </c>
    </row>
    <row r="580" spans="1:8" x14ac:dyDescent="0.25">
      <c r="A580" t="s">
        <v>4217</v>
      </c>
      <c r="B580">
        <v>2016</v>
      </c>
      <c r="C580" t="s">
        <v>4218</v>
      </c>
      <c r="D580" t="s">
        <v>4219</v>
      </c>
      <c r="E580" t="s">
        <v>3253</v>
      </c>
      <c r="F580" s="3">
        <v>0.45054945054945</v>
      </c>
      <c r="G580">
        <v>11</v>
      </c>
      <c r="H580" t="str">
        <f t="shared" si="9"/>
        <v>3.Mayor a 10 P</v>
      </c>
    </row>
    <row r="581" spans="1:8" x14ac:dyDescent="0.25">
      <c r="A581" t="s">
        <v>4220</v>
      </c>
      <c r="B581">
        <v>2025</v>
      </c>
      <c r="C581" t="s">
        <v>2604</v>
      </c>
      <c r="D581" t="s">
        <v>4221</v>
      </c>
      <c r="E581" t="s">
        <v>3253</v>
      </c>
      <c r="F581" s="3">
        <v>0.45054945054945</v>
      </c>
      <c r="G581">
        <v>4</v>
      </c>
      <c r="H581" t="str">
        <f t="shared" si="9"/>
        <v>2.Menor a 10 P</v>
      </c>
    </row>
    <row r="582" spans="1:8" x14ac:dyDescent="0.25">
      <c r="A582" t="s">
        <v>4222</v>
      </c>
      <c r="B582">
        <v>2025</v>
      </c>
      <c r="C582" t="s">
        <v>2604</v>
      </c>
      <c r="D582" t="s">
        <v>4223</v>
      </c>
      <c r="E582" t="s">
        <v>3253</v>
      </c>
      <c r="F582" s="3">
        <v>0.45054945054945</v>
      </c>
      <c r="G582">
        <v>4</v>
      </c>
      <c r="H582" t="str">
        <f t="shared" si="9"/>
        <v>2.Menor a 10 P</v>
      </c>
    </row>
    <row r="583" spans="1:8" x14ac:dyDescent="0.25">
      <c r="A583" t="s">
        <v>4950</v>
      </c>
      <c r="B583">
        <v>2025</v>
      </c>
      <c r="C583" t="s">
        <v>2604</v>
      </c>
      <c r="D583" t="s">
        <v>4224</v>
      </c>
      <c r="E583" s="3" t="s">
        <v>4948</v>
      </c>
      <c r="F583" s="3">
        <v>0.45054945054945</v>
      </c>
      <c r="G583">
        <v>2</v>
      </c>
      <c r="H583" t="str">
        <f t="shared" si="9"/>
        <v>2.Menor a 10 P</v>
      </c>
    </row>
    <row r="584" spans="1:8" x14ac:dyDescent="0.25">
      <c r="A584" t="s">
        <v>4225</v>
      </c>
      <c r="B584">
        <v>2025</v>
      </c>
      <c r="C584" t="s">
        <v>4226</v>
      </c>
      <c r="D584" t="s">
        <v>4227</v>
      </c>
      <c r="E584" t="s">
        <v>3253</v>
      </c>
      <c r="F584" s="3">
        <v>0.45054945054945</v>
      </c>
      <c r="G584">
        <v>16</v>
      </c>
      <c r="H584" t="str">
        <f t="shared" si="9"/>
        <v>3.Mayor a 10 P</v>
      </c>
    </row>
    <row r="585" spans="1:8" x14ac:dyDescent="0.25">
      <c r="A585" t="s">
        <v>2609</v>
      </c>
      <c r="B585">
        <v>2025</v>
      </c>
      <c r="C585" t="s">
        <v>2604</v>
      </c>
      <c r="D585" t="s">
        <v>4228</v>
      </c>
      <c r="E585" t="s">
        <v>3253</v>
      </c>
      <c r="F585" s="3">
        <v>0.45054945054945</v>
      </c>
      <c r="G585">
        <v>2</v>
      </c>
      <c r="H585" t="str">
        <f t="shared" si="9"/>
        <v>2.Menor a 10 P</v>
      </c>
    </row>
    <row r="586" spans="1:8" x14ac:dyDescent="0.25">
      <c r="A586" t="s">
        <v>4229</v>
      </c>
      <c r="B586">
        <v>2025</v>
      </c>
      <c r="C586" t="s">
        <v>2604</v>
      </c>
      <c r="D586" t="s">
        <v>4230</v>
      </c>
      <c r="E586" t="s">
        <v>3253</v>
      </c>
      <c r="F586" s="3">
        <v>0.45054945054945</v>
      </c>
      <c r="G586">
        <v>2</v>
      </c>
      <c r="H586" t="str">
        <f t="shared" si="9"/>
        <v>2.Menor a 10 P</v>
      </c>
    </row>
    <row r="587" spans="1:8" x14ac:dyDescent="0.25">
      <c r="A587" t="s">
        <v>4231</v>
      </c>
      <c r="B587">
        <v>2018</v>
      </c>
      <c r="C587" t="s">
        <v>4232</v>
      </c>
      <c r="D587" t="s">
        <v>4233</v>
      </c>
      <c r="E587" t="s">
        <v>3253</v>
      </c>
      <c r="F587" s="3">
        <v>0.45054945054945</v>
      </c>
      <c r="G587">
        <v>4</v>
      </c>
      <c r="H587" t="str">
        <f t="shared" si="9"/>
        <v>2.Menor a 10 P</v>
      </c>
    </row>
    <row r="588" spans="1:8" x14ac:dyDescent="0.25">
      <c r="A588" t="s">
        <v>4234</v>
      </c>
      <c r="B588">
        <v>2024</v>
      </c>
      <c r="C588" t="s">
        <v>2604</v>
      </c>
      <c r="D588" t="s">
        <v>4235</v>
      </c>
      <c r="E588" t="s">
        <v>3253</v>
      </c>
      <c r="F588" s="3">
        <v>0.45054945054945</v>
      </c>
      <c r="G588">
        <v>12</v>
      </c>
      <c r="H588" t="str">
        <f t="shared" si="9"/>
        <v>3.Mayor a 10 P</v>
      </c>
    </row>
    <row r="589" spans="1:8" x14ac:dyDescent="0.25">
      <c r="A589" t="s">
        <v>4236</v>
      </c>
      <c r="B589">
        <v>2024</v>
      </c>
      <c r="C589" t="s">
        <v>2604</v>
      </c>
      <c r="D589" t="s">
        <v>4237</v>
      </c>
      <c r="E589" t="s">
        <v>3253</v>
      </c>
      <c r="F589" s="3">
        <v>0.45054945054945</v>
      </c>
      <c r="G589">
        <v>5</v>
      </c>
      <c r="H589" t="str">
        <f t="shared" si="9"/>
        <v>2.Menor a 10 P</v>
      </c>
    </row>
    <row r="590" spans="1:8" x14ac:dyDescent="0.25">
      <c r="A590" t="s">
        <v>4238</v>
      </c>
      <c r="B590">
        <v>2024</v>
      </c>
      <c r="C590" t="s">
        <v>2604</v>
      </c>
      <c r="D590" t="s">
        <v>4239</v>
      </c>
      <c r="E590" t="s">
        <v>3253</v>
      </c>
      <c r="F590" s="3">
        <v>0.45054945054945</v>
      </c>
      <c r="G590">
        <v>6</v>
      </c>
      <c r="H590" t="str">
        <f t="shared" si="9"/>
        <v>2.Menor a 10 P</v>
      </c>
    </row>
    <row r="591" spans="1:8" x14ac:dyDescent="0.25">
      <c r="A591" t="s">
        <v>4240</v>
      </c>
      <c r="B591">
        <v>2024</v>
      </c>
      <c r="C591" t="s">
        <v>2604</v>
      </c>
      <c r="D591" t="s">
        <v>4241</v>
      </c>
      <c r="E591" t="s">
        <v>3253</v>
      </c>
      <c r="F591" s="3">
        <v>0.45054945054945</v>
      </c>
      <c r="G591">
        <v>2</v>
      </c>
      <c r="H591" t="str">
        <f t="shared" si="9"/>
        <v>2.Menor a 10 P</v>
      </c>
    </row>
    <row r="592" spans="1:8" x14ac:dyDescent="0.25">
      <c r="A592" t="s">
        <v>4242</v>
      </c>
      <c r="B592">
        <v>2024</v>
      </c>
      <c r="C592" t="s">
        <v>2604</v>
      </c>
      <c r="D592" t="s">
        <v>4243</v>
      </c>
      <c r="E592" t="s">
        <v>3253</v>
      </c>
      <c r="F592" s="3">
        <v>0.45054945054945</v>
      </c>
      <c r="G592">
        <v>29</v>
      </c>
      <c r="H592" t="str">
        <f t="shared" si="9"/>
        <v>4.Mayor a 20 P</v>
      </c>
    </row>
    <row r="593" spans="1:8" x14ac:dyDescent="0.25">
      <c r="A593" t="s">
        <v>4244</v>
      </c>
      <c r="B593">
        <v>2024</v>
      </c>
      <c r="C593" t="s">
        <v>4245</v>
      </c>
      <c r="D593" t="s">
        <v>4246</v>
      </c>
      <c r="E593" t="s">
        <v>3253</v>
      </c>
      <c r="F593" s="3">
        <v>0.45054945054945</v>
      </c>
      <c r="G593">
        <v>44</v>
      </c>
      <c r="H593" t="str">
        <f t="shared" si="9"/>
        <v>5.Mayor a 40 P</v>
      </c>
    </row>
    <row r="594" spans="1:8" x14ac:dyDescent="0.25">
      <c r="A594" t="s">
        <v>4247</v>
      </c>
      <c r="B594">
        <v>2024</v>
      </c>
      <c r="C594" t="s">
        <v>4248</v>
      </c>
      <c r="D594" t="s">
        <v>4249</v>
      </c>
      <c r="E594" t="s">
        <v>3253</v>
      </c>
      <c r="F594" s="3">
        <v>0.45054945054945</v>
      </c>
      <c r="G594">
        <v>18</v>
      </c>
      <c r="H594" t="str">
        <f t="shared" si="9"/>
        <v>3.Mayor a 10 P</v>
      </c>
    </row>
    <row r="595" spans="1:8" x14ac:dyDescent="0.25">
      <c r="A595" t="s">
        <v>4250</v>
      </c>
      <c r="B595">
        <v>2024</v>
      </c>
      <c r="C595" t="s">
        <v>4251</v>
      </c>
      <c r="D595" t="s">
        <v>4252</v>
      </c>
      <c r="E595" t="s">
        <v>3253</v>
      </c>
      <c r="F595" s="3">
        <v>0.45054945054945</v>
      </c>
      <c r="G595">
        <v>6</v>
      </c>
      <c r="H595" t="str">
        <f t="shared" si="9"/>
        <v>2.Menor a 10 P</v>
      </c>
    </row>
    <row r="596" spans="1:8" x14ac:dyDescent="0.25">
      <c r="A596" t="s">
        <v>4253</v>
      </c>
      <c r="B596">
        <v>2017</v>
      </c>
      <c r="C596" t="s">
        <v>4254</v>
      </c>
      <c r="D596" t="s">
        <v>4255</v>
      </c>
      <c r="E596" t="s">
        <v>3253</v>
      </c>
      <c r="F596" s="3">
        <v>0.45054945054945</v>
      </c>
      <c r="G596">
        <v>6</v>
      </c>
      <c r="H596" t="str">
        <f t="shared" si="9"/>
        <v>2.Menor a 10 P</v>
      </c>
    </row>
    <row r="597" spans="1:8" x14ac:dyDescent="0.25">
      <c r="A597" t="s">
        <v>4256</v>
      </c>
      <c r="B597">
        <v>2024</v>
      </c>
      <c r="C597" t="s">
        <v>2604</v>
      </c>
      <c r="D597" t="s">
        <v>4257</v>
      </c>
      <c r="E597" t="s">
        <v>3253</v>
      </c>
      <c r="F597" s="3">
        <v>0.45054945054945</v>
      </c>
      <c r="G597">
        <v>16</v>
      </c>
      <c r="H597" t="str">
        <f t="shared" si="9"/>
        <v>3.Mayor a 10 P</v>
      </c>
    </row>
    <row r="598" spans="1:8" x14ac:dyDescent="0.25">
      <c r="A598" t="s">
        <v>4258</v>
      </c>
      <c r="B598">
        <v>2024</v>
      </c>
      <c r="C598" t="s">
        <v>2604</v>
      </c>
      <c r="D598" t="s">
        <v>4259</v>
      </c>
      <c r="E598" t="s">
        <v>3253</v>
      </c>
      <c r="F598" s="3">
        <v>0.45054945054945</v>
      </c>
      <c r="G598">
        <v>2</v>
      </c>
      <c r="H598" t="str">
        <f t="shared" si="9"/>
        <v>2.Menor a 10 P</v>
      </c>
    </row>
    <row r="599" spans="1:8" x14ac:dyDescent="0.25">
      <c r="A599" t="s">
        <v>4260</v>
      </c>
      <c r="B599">
        <v>2016</v>
      </c>
      <c r="C599" t="s">
        <v>2604</v>
      </c>
      <c r="D599" t="s">
        <v>4261</v>
      </c>
      <c r="E599" t="s">
        <v>3253</v>
      </c>
      <c r="F599" s="3">
        <v>0.45054945054945</v>
      </c>
      <c r="G599">
        <v>6</v>
      </c>
      <c r="H599" t="str">
        <f t="shared" si="9"/>
        <v>2.Menor a 10 P</v>
      </c>
    </row>
    <row r="600" spans="1:8" x14ac:dyDescent="0.25">
      <c r="A600" t="s">
        <v>4262</v>
      </c>
      <c r="B600">
        <v>2017</v>
      </c>
      <c r="C600" t="s">
        <v>2604</v>
      </c>
      <c r="D600" t="s">
        <v>4263</v>
      </c>
      <c r="E600" t="s">
        <v>3253</v>
      </c>
      <c r="F600" s="3">
        <v>0.45054945054945</v>
      </c>
      <c r="G600">
        <v>15</v>
      </c>
      <c r="H600" t="str">
        <f t="shared" si="9"/>
        <v>3.Mayor a 10 P</v>
      </c>
    </row>
    <row r="601" spans="1:8" x14ac:dyDescent="0.25">
      <c r="A601" t="s">
        <v>4264</v>
      </c>
      <c r="B601">
        <v>2016</v>
      </c>
      <c r="C601" t="s">
        <v>2604</v>
      </c>
      <c r="D601" t="s">
        <v>4265</v>
      </c>
      <c r="E601" t="s">
        <v>3253</v>
      </c>
      <c r="F601" s="3">
        <v>0.45054945054945</v>
      </c>
      <c r="G601">
        <v>1</v>
      </c>
      <c r="H601" t="str">
        <f t="shared" si="9"/>
        <v>2.Menor a 10 P</v>
      </c>
    </row>
    <row r="602" spans="1:8" x14ac:dyDescent="0.25">
      <c r="A602" t="s">
        <v>4266</v>
      </c>
      <c r="B602">
        <v>2018</v>
      </c>
      <c r="C602" t="s">
        <v>4267</v>
      </c>
      <c r="D602" t="s">
        <v>4268</v>
      </c>
      <c r="E602" t="s">
        <v>3253</v>
      </c>
      <c r="F602" s="3">
        <v>0.45054945054945</v>
      </c>
      <c r="G602">
        <v>8</v>
      </c>
      <c r="H602" t="str">
        <f t="shared" si="9"/>
        <v>2.Menor a 10 P</v>
      </c>
    </row>
    <row r="603" spans="1:8" x14ac:dyDescent="0.25">
      <c r="A603" t="s">
        <v>4269</v>
      </c>
      <c r="B603">
        <v>2024</v>
      </c>
      <c r="C603" t="s">
        <v>4270</v>
      </c>
      <c r="D603" t="s">
        <v>4271</v>
      </c>
      <c r="E603" t="s">
        <v>3253</v>
      </c>
      <c r="F603" s="3">
        <v>0.45054945054945</v>
      </c>
      <c r="G603">
        <v>11</v>
      </c>
      <c r="H603" t="str">
        <f t="shared" si="9"/>
        <v>3.Mayor a 10 P</v>
      </c>
    </row>
    <row r="604" spans="1:8" x14ac:dyDescent="0.25">
      <c r="A604" t="s">
        <v>4272</v>
      </c>
      <c r="B604">
        <v>2024</v>
      </c>
      <c r="C604" t="s">
        <v>2604</v>
      </c>
      <c r="D604" t="s">
        <v>4273</v>
      </c>
      <c r="E604" t="s">
        <v>3253</v>
      </c>
      <c r="F604" s="3">
        <v>0.45054945054945</v>
      </c>
      <c r="G604">
        <v>11</v>
      </c>
      <c r="H604" t="str">
        <f t="shared" si="9"/>
        <v>3.Mayor a 10 P</v>
      </c>
    </row>
    <row r="605" spans="1:8" x14ac:dyDescent="0.25">
      <c r="A605" t="s">
        <v>4274</v>
      </c>
      <c r="B605">
        <v>2016</v>
      </c>
      <c r="C605" t="s">
        <v>4275</v>
      </c>
      <c r="D605" t="s">
        <v>4276</v>
      </c>
      <c r="E605" t="s">
        <v>3253</v>
      </c>
      <c r="F605" s="3">
        <v>0.45054945054945</v>
      </c>
      <c r="G605">
        <v>8</v>
      </c>
      <c r="H605" t="str">
        <f t="shared" si="9"/>
        <v>2.Menor a 10 P</v>
      </c>
    </row>
    <row r="606" spans="1:8" x14ac:dyDescent="0.25">
      <c r="A606" t="s">
        <v>4277</v>
      </c>
      <c r="B606">
        <v>2024</v>
      </c>
      <c r="C606" t="s">
        <v>4278</v>
      </c>
      <c r="D606" t="s">
        <v>4279</v>
      </c>
      <c r="E606" t="s">
        <v>3253</v>
      </c>
      <c r="F606" s="3">
        <v>0.45054945054945</v>
      </c>
      <c r="G606">
        <v>8</v>
      </c>
      <c r="H606" t="str">
        <f t="shared" si="9"/>
        <v>2.Menor a 10 P</v>
      </c>
    </row>
    <row r="607" spans="1:8" x14ac:dyDescent="0.25">
      <c r="A607" t="s">
        <v>4280</v>
      </c>
      <c r="B607">
        <v>2025</v>
      </c>
      <c r="C607" t="s">
        <v>2604</v>
      </c>
      <c r="D607" t="s">
        <v>4281</v>
      </c>
      <c r="E607" t="s">
        <v>3253</v>
      </c>
      <c r="F607" s="3">
        <v>0.45054945054945</v>
      </c>
      <c r="G607">
        <v>4</v>
      </c>
      <c r="H607" t="str">
        <f t="shared" si="9"/>
        <v>2.Menor a 10 P</v>
      </c>
    </row>
    <row r="608" spans="1:8" x14ac:dyDescent="0.25">
      <c r="A608" t="s">
        <v>4282</v>
      </c>
      <c r="B608">
        <v>2025</v>
      </c>
      <c r="C608" t="s">
        <v>2604</v>
      </c>
      <c r="D608" t="s">
        <v>4283</v>
      </c>
      <c r="E608" t="s">
        <v>3253</v>
      </c>
      <c r="F608" s="3">
        <v>0.45054945054945</v>
      </c>
      <c r="G608">
        <v>1</v>
      </c>
      <c r="H608" t="str">
        <f t="shared" si="9"/>
        <v>2.Menor a 10 P</v>
      </c>
    </row>
    <row r="609" spans="1:8" x14ac:dyDescent="0.25">
      <c r="A609" t="s">
        <v>4284</v>
      </c>
      <c r="B609">
        <v>2025</v>
      </c>
      <c r="C609" t="s">
        <v>4285</v>
      </c>
      <c r="D609" t="s">
        <v>4286</v>
      </c>
      <c r="E609" t="s">
        <v>3253</v>
      </c>
      <c r="F609" s="3">
        <v>0.45054945054945</v>
      </c>
      <c r="G609">
        <v>9</v>
      </c>
      <c r="H609" t="str">
        <f t="shared" si="9"/>
        <v>2.Menor a 10 P</v>
      </c>
    </row>
    <row r="610" spans="1:8" x14ac:dyDescent="0.25">
      <c r="A610" t="s">
        <v>4287</v>
      </c>
      <c r="B610">
        <v>2025</v>
      </c>
      <c r="C610" t="s">
        <v>4288</v>
      </c>
      <c r="D610" t="s">
        <v>4289</v>
      </c>
      <c r="E610" t="s">
        <v>3253</v>
      </c>
      <c r="F610" s="3">
        <v>0.45054945054945</v>
      </c>
      <c r="G610">
        <v>8</v>
      </c>
      <c r="H610" t="str">
        <f t="shared" si="9"/>
        <v>2.Menor a 10 P</v>
      </c>
    </row>
    <row r="611" spans="1:8" x14ac:dyDescent="0.25">
      <c r="A611" t="s">
        <v>4290</v>
      </c>
      <c r="B611">
        <v>2025</v>
      </c>
      <c r="C611" t="s">
        <v>4291</v>
      </c>
      <c r="D611" t="s">
        <v>4292</v>
      </c>
      <c r="E611" t="s">
        <v>3253</v>
      </c>
      <c r="F611" s="3">
        <v>0.45054945054945</v>
      </c>
      <c r="G611">
        <v>7</v>
      </c>
      <c r="H611" t="str">
        <f t="shared" si="9"/>
        <v>2.Menor a 10 P</v>
      </c>
    </row>
    <row r="612" spans="1:8" x14ac:dyDescent="0.25">
      <c r="A612" t="s">
        <v>4293</v>
      </c>
      <c r="B612">
        <v>2025</v>
      </c>
      <c r="C612" t="s">
        <v>2604</v>
      </c>
      <c r="D612" t="s">
        <v>4294</v>
      </c>
      <c r="E612" t="s">
        <v>3253</v>
      </c>
      <c r="F612" s="3">
        <v>0.45054945054945</v>
      </c>
      <c r="G612">
        <v>6</v>
      </c>
      <c r="H612" t="str">
        <f t="shared" si="9"/>
        <v>2.Menor a 10 P</v>
      </c>
    </row>
    <row r="613" spans="1:8" x14ac:dyDescent="0.25">
      <c r="A613" t="s">
        <v>4295</v>
      </c>
      <c r="B613">
        <v>2025</v>
      </c>
      <c r="C613" t="s">
        <v>2604</v>
      </c>
      <c r="D613" t="s">
        <v>4296</v>
      </c>
      <c r="E613" t="s">
        <v>3253</v>
      </c>
      <c r="F613" s="3">
        <v>0.45054945054945</v>
      </c>
      <c r="G613">
        <v>14</v>
      </c>
      <c r="H613" t="str">
        <f t="shared" si="9"/>
        <v>3.Mayor a 10 P</v>
      </c>
    </row>
    <row r="614" spans="1:8" x14ac:dyDescent="0.25">
      <c r="A614" t="s">
        <v>4297</v>
      </c>
      <c r="B614">
        <v>2024</v>
      </c>
      <c r="C614" t="s">
        <v>4298</v>
      </c>
      <c r="D614" t="s">
        <v>4299</v>
      </c>
      <c r="E614" t="s">
        <v>3253</v>
      </c>
      <c r="F614" s="3">
        <v>0.45054945054945</v>
      </c>
      <c r="G614">
        <v>13</v>
      </c>
      <c r="H614" t="str">
        <f t="shared" si="9"/>
        <v>3.Mayor a 10 P</v>
      </c>
    </row>
    <row r="615" spans="1:8" x14ac:dyDescent="0.25">
      <c r="A615" t="s">
        <v>4300</v>
      </c>
      <c r="B615">
        <v>2018</v>
      </c>
      <c r="C615" t="s">
        <v>4301</v>
      </c>
      <c r="D615" t="s">
        <v>4302</v>
      </c>
      <c r="E615" t="s">
        <v>3253</v>
      </c>
      <c r="F615" s="3">
        <v>0.45054945054945</v>
      </c>
      <c r="G615">
        <v>6</v>
      </c>
      <c r="H615" t="str">
        <f t="shared" si="9"/>
        <v>2.Menor a 10 P</v>
      </c>
    </row>
    <row r="616" spans="1:8" x14ac:dyDescent="0.25">
      <c r="A616" t="s">
        <v>4303</v>
      </c>
      <c r="B616">
        <v>2018</v>
      </c>
      <c r="C616" t="s">
        <v>4304</v>
      </c>
      <c r="D616" t="s">
        <v>4305</v>
      </c>
      <c r="E616" t="s">
        <v>3253</v>
      </c>
      <c r="F616" s="3">
        <v>0.45054945054945</v>
      </c>
      <c r="G616">
        <v>13</v>
      </c>
      <c r="H616" t="str">
        <f t="shared" si="9"/>
        <v>3.Mayor a 10 P</v>
      </c>
    </row>
    <row r="617" spans="1:8" x14ac:dyDescent="0.25">
      <c r="A617" t="s">
        <v>4306</v>
      </c>
      <c r="B617">
        <v>2018</v>
      </c>
      <c r="C617" t="s">
        <v>4307</v>
      </c>
      <c r="D617" t="s">
        <v>4308</v>
      </c>
      <c r="E617" t="s">
        <v>3253</v>
      </c>
      <c r="F617" s="3">
        <v>0.45054945054945</v>
      </c>
      <c r="G617">
        <v>16</v>
      </c>
      <c r="H617" t="str">
        <f t="shared" si="9"/>
        <v>3.Mayor a 10 P</v>
      </c>
    </row>
    <row r="618" spans="1:8" x14ac:dyDescent="0.25">
      <c r="A618" t="s">
        <v>4309</v>
      </c>
      <c r="B618">
        <v>2018</v>
      </c>
      <c r="C618" t="s">
        <v>2604</v>
      </c>
      <c r="D618" t="s">
        <v>4310</v>
      </c>
      <c r="E618" t="s">
        <v>3253</v>
      </c>
      <c r="F618" s="3">
        <v>0.45054945054945</v>
      </c>
      <c r="G618">
        <v>49</v>
      </c>
      <c r="H618" t="str">
        <f t="shared" si="9"/>
        <v>5.Mayor a 40 P</v>
      </c>
    </row>
    <row r="619" spans="1:8" x14ac:dyDescent="0.25">
      <c r="A619" t="s">
        <v>4311</v>
      </c>
      <c r="B619">
        <v>2018</v>
      </c>
      <c r="C619" t="s">
        <v>4312</v>
      </c>
      <c r="D619" t="s">
        <v>4313</v>
      </c>
      <c r="E619" t="s">
        <v>3253</v>
      </c>
      <c r="F619" s="3">
        <v>0.45054945054945</v>
      </c>
      <c r="G619">
        <v>6</v>
      </c>
      <c r="H619" t="str">
        <f t="shared" si="9"/>
        <v>2.Menor a 10 P</v>
      </c>
    </row>
    <row r="620" spans="1:8" x14ac:dyDescent="0.25">
      <c r="A620" t="s">
        <v>4314</v>
      </c>
      <c r="B620">
        <v>2018</v>
      </c>
      <c r="C620" t="s">
        <v>4315</v>
      </c>
      <c r="D620" t="s">
        <v>4316</v>
      </c>
      <c r="E620" t="s">
        <v>3253</v>
      </c>
      <c r="F620" s="3">
        <v>0.45054945054945</v>
      </c>
      <c r="G620">
        <v>177</v>
      </c>
      <c r="H620" t="str">
        <f t="shared" si="9"/>
        <v>7.Mayor a 100 P</v>
      </c>
    </row>
    <row r="621" spans="1:8" x14ac:dyDescent="0.25">
      <c r="A621" t="s">
        <v>4317</v>
      </c>
      <c r="B621">
        <v>2018</v>
      </c>
      <c r="C621" t="s">
        <v>4318</v>
      </c>
      <c r="D621" t="s">
        <v>4319</v>
      </c>
      <c r="E621" t="s">
        <v>3253</v>
      </c>
      <c r="F621" s="3">
        <v>0.45054945054945</v>
      </c>
      <c r="G621">
        <v>10</v>
      </c>
      <c r="H621" t="str">
        <f t="shared" si="9"/>
        <v>3.Mayor a 10 P</v>
      </c>
    </row>
    <row r="622" spans="1:8" x14ac:dyDescent="0.25">
      <c r="A622" t="s">
        <v>4320</v>
      </c>
      <c r="B622">
        <v>2018</v>
      </c>
      <c r="C622" t="s">
        <v>4321</v>
      </c>
      <c r="D622" t="s">
        <v>4322</v>
      </c>
      <c r="E622" t="s">
        <v>3253</v>
      </c>
      <c r="F622" s="3">
        <v>0.45054945054945</v>
      </c>
      <c r="G622">
        <v>8</v>
      </c>
      <c r="H622" t="str">
        <f t="shared" si="9"/>
        <v>2.Menor a 10 P</v>
      </c>
    </row>
    <row r="623" spans="1:8" x14ac:dyDescent="0.25">
      <c r="A623" t="s">
        <v>4323</v>
      </c>
      <c r="B623">
        <v>2024</v>
      </c>
      <c r="C623" t="s">
        <v>2604</v>
      </c>
      <c r="D623" t="s">
        <v>4324</v>
      </c>
      <c r="E623" t="s">
        <v>3253</v>
      </c>
      <c r="F623" s="3">
        <v>0.45054945054945</v>
      </c>
      <c r="G623">
        <v>2</v>
      </c>
      <c r="H623" t="str">
        <f t="shared" si="9"/>
        <v>2.Menor a 10 P</v>
      </c>
    </row>
    <row r="624" spans="1:8" x14ac:dyDescent="0.25">
      <c r="A624" t="s">
        <v>4325</v>
      </c>
      <c r="B624">
        <v>2018</v>
      </c>
      <c r="C624" t="s">
        <v>4326</v>
      </c>
      <c r="D624" t="s">
        <v>4327</v>
      </c>
      <c r="E624" t="s">
        <v>3253</v>
      </c>
      <c r="F624" s="3">
        <v>0.45054945054945</v>
      </c>
      <c r="G624">
        <v>42</v>
      </c>
      <c r="H624" t="str">
        <f t="shared" si="9"/>
        <v>5.Mayor a 40 P</v>
      </c>
    </row>
    <row r="625" spans="1:8" x14ac:dyDescent="0.25">
      <c r="A625" t="s">
        <v>2609</v>
      </c>
      <c r="B625">
        <v>2018</v>
      </c>
      <c r="C625" t="s">
        <v>2604</v>
      </c>
      <c r="D625" t="s">
        <v>4328</v>
      </c>
      <c r="E625" t="s">
        <v>3253</v>
      </c>
      <c r="F625" s="3">
        <v>0.45054945054945</v>
      </c>
      <c r="G625">
        <v>4</v>
      </c>
      <c r="H625" t="str">
        <f t="shared" si="9"/>
        <v>2.Menor a 10 P</v>
      </c>
    </row>
    <row r="626" spans="1:8" x14ac:dyDescent="0.25">
      <c r="A626" t="s">
        <v>4329</v>
      </c>
      <c r="B626">
        <v>2018</v>
      </c>
      <c r="C626" t="s">
        <v>4330</v>
      </c>
      <c r="D626" t="s">
        <v>4331</v>
      </c>
      <c r="E626" t="s">
        <v>3253</v>
      </c>
      <c r="F626" s="3">
        <v>0.45054945054945</v>
      </c>
      <c r="G626">
        <v>25</v>
      </c>
      <c r="H626" t="str">
        <f t="shared" si="9"/>
        <v>4.Mayor a 20 P</v>
      </c>
    </row>
    <row r="627" spans="1:8" x14ac:dyDescent="0.25">
      <c r="A627" t="s">
        <v>4332</v>
      </c>
      <c r="B627">
        <v>2018</v>
      </c>
      <c r="C627" t="s">
        <v>4333</v>
      </c>
      <c r="D627" t="s">
        <v>4334</v>
      </c>
      <c r="E627" t="s">
        <v>3253</v>
      </c>
      <c r="F627" s="3">
        <v>0.45054945054945</v>
      </c>
      <c r="G627">
        <v>14</v>
      </c>
      <c r="H627" t="str">
        <f t="shared" si="9"/>
        <v>3.Mayor a 10 P</v>
      </c>
    </row>
    <row r="628" spans="1:8" x14ac:dyDescent="0.25">
      <c r="A628" t="s">
        <v>4335</v>
      </c>
      <c r="B628">
        <v>2018</v>
      </c>
      <c r="C628" t="s">
        <v>4336</v>
      </c>
      <c r="D628" t="s">
        <v>4337</v>
      </c>
      <c r="E628" t="s">
        <v>3253</v>
      </c>
      <c r="F628" s="3">
        <v>0.45054945054945</v>
      </c>
      <c r="G628">
        <v>6</v>
      </c>
      <c r="H628" t="str">
        <f t="shared" si="9"/>
        <v>2.Menor a 10 P</v>
      </c>
    </row>
    <row r="629" spans="1:8" x14ac:dyDescent="0.25">
      <c r="A629" t="s">
        <v>4338</v>
      </c>
      <c r="B629">
        <v>2018</v>
      </c>
      <c r="C629" t="s">
        <v>4339</v>
      </c>
      <c r="D629" t="s">
        <v>4340</v>
      </c>
      <c r="E629" t="s">
        <v>3253</v>
      </c>
      <c r="F629" s="3">
        <v>0.45054945054945</v>
      </c>
      <c r="G629">
        <v>27</v>
      </c>
      <c r="H629" t="str">
        <f t="shared" si="9"/>
        <v>4.Mayor a 20 P</v>
      </c>
    </row>
    <row r="630" spans="1:8" x14ac:dyDescent="0.25">
      <c r="A630" t="s">
        <v>4341</v>
      </c>
      <c r="B630">
        <v>2018</v>
      </c>
      <c r="C630" t="s">
        <v>4342</v>
      </c>
      <c r="D630" t="s">
        <v>4343</v>
      </c>
      <c r="E630" t="s">
        <v>3253</v>
      </c>
      <c r="F630" s="3">
        <v>0.45054945054945</v>
      </c>
      <c r="G630">
        <v>27</v>
      </c>
      <c r="H630" t="str">
        <f t="shared" si="9"/>
        <v>4.Mayor a 20 P</v>
      </c>
    </row>
    <row r="631" spans="1:8" x14ac:dyDescent="0.25">
      <c r="A631" t="s">
        <v>4344</v>
      </c>
      <c r="B631">
        <v>2018</v>
      </c>
      <c r="C631" t="s">
        <v>4345</v>
      </c>
      <c r="D631" t="s">
        <v>4346</v>
      </c>
      <c r="E631" t="s">
        <v>3253</v>
      </c>
      <c r="F631" s="3">
        <v>0.45054945054945</v>
      </c>
      <c r="G631">
        <v>7</v>
      </c>
      <c r="H631" t="str">
        <f t="shared" si="9"/>
        <v>2.Menor a 10 P</v>
      </c>
    </row>
    <row r="632" spans="1:8" x14ac:dyDescent="0.25">
      <c r="A632" t="s">
        <v>4347</v>
      </c>
      <c r="B632">
        <v>2018</v>
      </c>
      <c r="C632" t="s">
        <v>4348</v>
      </c>
      <c r="D632" t="s">
        <v>4349</v>
      </c>
      <c r="E632" t="s">
        <v>3253</v>
      </c>
      <c r="F632" s="3">
        <v>0.45054945054945</v>
      </c>
      <c r="G632">
        <v>6</v>
      </c>
      <c r="H632" t="str">
        <f t="shared" si="9"/>
        <v>2.Menor a 10 P</v>
      </c>
    </row>
    <row r="633" spans="1:8" x14ac:dyDescent="0.25">
      <c r="A633" t="s">
        <v>4350</v>
      </c>
      <c r="B633">
        <v>2018</v>
      </c>
      <c r="C633" t="s">
        <v>4351</v>
      </c>
      <c r="D633" t="s">
        <v>4352</v>
      </c>
      <c r="E633" t="s">
        <v>3253</v>
      </c>
      <c r="F633" s="3">
        <v>0.45054945054945</v>
      </c>
      <c r="G633">
        <v>10</v>
      </c>
      <c r="H633" t="str">
        <f t="shared" si="9"/>
        <v>3.Mayor a 10 P</v>
      </c>
    </row>
    <row r="634" spans="1:8" x14ac:dyDescent="0.25">
      <c r="A634" t="s">
        <v>4353</v>
      </c>
      <c r="B634">
        <v>2018</v>
      </c>
      <c r="C634" t="s">
        <v>4354</v>
      </c>
      <c r="D634" t="s">
        <v>4355</v>
      </c>
      <c r="E634" t="s">
        <v>3253</v>
      </c>
      <c r="F634" s="3">
        <v>0.45054945054945</v>
      </c>
      <c r="G634">
        <v>9</v>
      </c>
      <c r="H634" t="str">
        <f t="shared" si="9"/>
        <v>2.Menor a 10 P</v>
      </c>
    </row>
    <row r="635" spans="1:8" x14ac:dyDescent="0.25">
      <c r="A635" t="s">
        <v>4356</v>
      </c>
      <c r="B635">
        <v>2018</v>
      </c>
      <c r="C635" t="s">
        <v>4357</v>
      </c>
      <c r="D635" t="s">
        <v>4358</v>
      </c>
      <c r="E635" t="s">
        <v>3253</v>
      </c>
      <c r="F635" s="3">
        <v>0.45054945054945</v>
      </c>
      <c r="G635">
        <v>18</v>
      </c>
      <c r="H635" t="str">
        <f t="shared" si="9"/>
        <v>3.Mayor a 10 P</v>
      </c>
    </row>
    <row r="636" spans="1:8" x14ac:dyDescent="0.25">
      <c r="A636" t="s">
        <v>4359</v>
      </c>
      <c r="B636">
        <v>2018</v>
      </c>
      <c r="C636" t="s">
        <v>4360</v>
      </c>
      <c r="D636" t="s">
        <v>4361</v>
      </c>
      <c r="E636" t="s">
        <v>3253</v>
      </c>
      <c r="F636" s="3">
        <v>0.45054945054945</v>
      </c>
      <c r="G636">
        <v>3</v>
      </c>
      <c r="H636" t="str">
        <f t="shared" si="9"/>
        <v>2.Menor a 10 P</v>
      </c>
    </row>
    <row r="637" spans="1:8" x14ac:dyDescent="0.25">
      <c r="A637" t="s">
        <v>4362</v>
      </c>
      <c r="B637">
        <v>2018</v>
      </c>
      <c r="C637" t="s">
        <v>4363</v>
      </c>
      <c r="D637" t="s">
        <v>4364</v>
      </c>
      <c r="E637" t="s">
        <v>3253</v>
      </c>
      <c r="F637" s="3">
        <v>0.45054945054945</v>
      </c>
      <c r="G637">
        <v>19</v>
      </c>
      <c r="H637" t="str">
        <f t="shared" si="9"/>
        <v>3.Mayor a 10 P</v>
      </c>
    </row>
    <row r="638" spans="1:8" x14ac:dyDescent="0.25">
      <c r="A638" t="s">
        <v>4365</v>
      </c>
      <c r="B638">
        <v>2018</v>
      </c>
      <c r="C638" t="s">
        <v>4366</v>
      </c>
      <c r="D638" t="s">
        <v>4367</v>
      </c>
      <c r="E638" t="s">
        <v>3253</v>
      </c>
      <c r="F638" s="3">
        <v>0.45054945054945</v>
      </c>
      <c r="G638">
        <v>70</v>
      </c>
      <c r="H638" t="str">
        <f t="shared" si="9"/>
        <v>6.Mayor a 70 P</v>
      </c>
    </row>
    <row r="639" spans="1:8" x14ac:dyDescent="0.25">
      <c r="A639" t="s">
        <v>4368</v>
      </c>
      <c r="B639">
        <v>2018</v>
      </c>
      <c r="C639" t="s">
        <v>4369</v>
      </c>
      <c r="D639" t="s">
        <v>4370</v>
      </c>
      <c r="E639" t="s">
        <v>3253</v>
      </c>
      <c r="F639" s="3">
        <v>0.45054945054945</v>
      </c>
      <c r="G639">
        <v>20</v>
      </c>
      <c r="H639" t="str">
        <f t="shared" si="9"/>
        <v>4.Mayor a 20 P</v>
      </c>
    </row>
    <row r="640" spans="1:8" x14ac:dyDescent="0.25">
      <c r="A640" t="s">
        <v>4371</v>
      </c>
      <c r="B640">
        <v>2018</v>
      </c>
      <c r="C640" t="s">
        <v>4372</v>
      </c>
      <c r="D640" t="s">
        <v>4373</v>
      </c>
      <c r="E640" t="s">
        <v>3253</v>
      </c>
      <c r="F640" s="3">
        <v>0.45054945054945</v>
      </c>
      <c r="G640">
        <v>6</v>
      </c>
      <c r="H640" t="str">
        <f t="shared" si="9"/>
        <v>2.Menor a 10 P</v>
      </c>
    </row>
    <row r="641" spans="1:8" x14ac:dyDescent="0.25">
      <c r="A641" t="s">
        <v>4374</v>
      </c>
      <c r="B641">
        <v>2018</v>
      </c>
      <c r="C641" t="s">
        <v>4375</v>
      </c>
      <c r="D641" t="s">
        <v>4376</v>
      </c>
      <c r="E641" t="s">
        <v>3253</v>
      </c>
      <c r="F641" s="3">
        <v>0.45054945054945</v>
      </c>
      <c r="G641">
        <v>22</v>
      </c>
      <c r="H641" t="str">
        <f t="shared" si="9"/>
        <v>4.Mayor a 20 P</v>
      </c>
    </row>
    <row r="642" spans="1:8" x14ac:dyDescent="0.25">
      <c r="A642" t="s">
        <v>2609</v>
      </c>
      <c r="B642">
        <v>2025</v>
      </c>
      <c r="C642" t="s">
        <v>2604</v>
      </c>
      <c r="D642" t="s">
        <v>4377</v>
      </c>
      <c r="E642" t="s">
        <v>3253</v>
      </c>
      <c r="F642" s="3">
        <v>0.45054945054945</v>
      </c>
      <c r="G642">
        <v>14</v>
      </c>
      <c r="H642" t="str">
        <f t="shared" si="9"/>
        <v>3.Mayor a 10 P</v>
      </c>
    </row>
    <row r="643" spans="1:8" x14ac:dyDescent="0.25">
      <c r="A643" t="s">
        <v>4378</v>
      </c>
      <c r="B643">
        <v>2025</v>
      </c>
      <c r="C643" t="s">
        <v>4379</v>
      </c>
      <c r="D643" t="s">
        <v>4380</v>
      </c>
      <c r="E643" t="s">
        <v>3253</v>
      </c>
      <c r="F643" s="3">
        <v>0.45054945054945</v>
      </c>
      <c r="G643">
        <v>7</v>
      </c>
      <c r="H643" t="str">
        <f t="shared" ref="H643:H706" si="10">+IF(G643&gt;=100,"7.Mayor a 100 P",+IF(G643&gt;=70,"6.Mayor a 70 P",+IF(G643&gt;=40,"5.Mayor a 40 P",+IF(G643&gt;=20,"4.Mayor a 20 P",+IF(G643&gt;=10,"3.Mayor a 10 P",+IF(G643&lt;10,"2.Menor a 10 P",+IF(G643=0,"1.Sin Propiedades","Revsar")))))))</f>
        <v>2.Menor a 10 P</v>
      </c>
    </row>
    <row r="644" spans="1:8" x14ac:dyDescent="0.25">
      <c r="A644" t="s">
        <v>4381</v>
      </c>
      <c r="B644">
        <v>2025</v>
      </c>
      <c r="C644" t="s">
        <v>2604</v>
      </c>
      <c r="D644" t="s">
        <v>4382</v>
      </c>
      <c r="E644" t="s">
        <v>3253</v>
      </c>
      <c r="F644" s="3">
        <v>0.45054945054945</v>
      </c>
      <c r="G644">
        <v>27</v>
      </c>
      <c r="H644" t="str">
        <f t="shared" si="10"/>
        <v>4.Mayor a 20 P</v>
      </c>
    </row>
    <row r="645" spans="1:8" x14ac:dyDescent="0.25">
      <c r="A645" t="s">
        <v>4383</v>
      </c>
      <c r="B645">
        <v>2025</v>
      </c>
      <c r="C645" t="s">
        <v>4384</v>
      </c>
      <c r="D645" t="s">
        <v>4385</v>
      </c>
      <c r="E645" t="s">
        <v>3253</v>
      </c>
      <c r="F645" s="3">
        <v>0.45054945054945</v>
      </c>
      <c r="G645">
        <v>1</v>
      </c>
      <c r="H645" t="str">
        <f t="shared" si="10"/>
        <v>2.Menor a 10 P</v>
      </c>
    </row>
    <row r="646" spans="1:8" x14ac:dyDescent="0.25">
      <c r="A646" t="s">
        <v>4386</v>
      </c>
      <c r="B646">
        <v>2025</v>
      </c>
      <c r="C646" t="s">
        <v>2604</v>
      </c>
      <c r="D646" t="s">
        <v>4387</v>
      </c>
      <c r="E646" t="s">
        <v>3253</v>
      </c>
      <c r="F646" s="3">
        <v>0.45054945054945</v>
      </c>
      <c r="G646">
        <v>4</v>
      </c>
      <c r="H646" t="str">
        <f t="shared" si="10"/>
        <v>2.Menor a 10 P</v>
      </c>
    </row>
    <row r="647" spans="1:8" x14ac:dyDescent="0.25">
      <c r="A647" t="s">
        <v>4388</v>
      </c>
      <c r="B647">
        <v>2025</v>
      </c>
      <c r="C647" t="s">
        <v>2604</v>
      </c>
      <c r="D647" t="s">
        <v>4389</v>
      </c>
      <c r="E647" t="s">
        <v>3253</v>
      </c>
      <c r="F647" s="3">
        <v>0.45054945054945</v>
      </c>
      <c r="G647">
        <v>1</v>
      </c>
      <c r="H647" t="str">
        <f t="shared" si="10"/>
        <v>2.Menor a 10 P</v>
      </c>
    </row>
    <row r="648" spans="1:8" x14ac:dyDescent="0.25">
      <c r="A648" t="s">
        <v>4390</v>
      </c>
      <c r="B648">
        <v>2025</v>
      </c>
      <c r="C648" t="s">
        <v>2604</v>
      </c>
      <c r="D648" t="s">
        <v>4391</v>
      </c>
      <c r="E648" t="s">
        <v>3253</v>
      </c>
      <c r="F648" s="3">
        <v>0.45054945054945</v>
      </c>
      <c r="G648">
        <v>18</v>
      </c>
      <c r="H648" t="str">
        <f t="shared" si="10"/>
        <v>3.Mayor a 10 P</v>
      </c>
    </row>
    <row r="649" spans="1:8" x14ac:dyDescent="0.25">
      <c r="A649" t="s">
        <v>4392</v>
      </c>
      <c r="B649">
        <v>2018</v>
      </c>
      <c r="C649" t="s">
        <v>4393</v>
      </c>
      <c r="D649" t="s">
        <v>4394</v>
      </c>
      <c r="E649" t="s">
        <v>3253</v>
      </c>
      <c r="F649" s="3">
        <v>0.45054945054945</v>
      </c>
      <c r="G649">
        <v>9</v>
      </c>
      <c r="H649" t="str">
        <f t="shared" si="10"/>
        <v>2.Menor a 10 P</v>
      </c>
    </row>
    <row r="650" spans="1:8" x14ac:dyDescent="0.25">
      <c r="A650" t="s">
        <v>4395</v>
      </c>
      <c r="B650">
        <v>2018</v>
      </c>
      <c r="C650" t="s">
        <v>4396</v>
      </c>
      <c r="D650" t="s">
        <v>4397</v>
      </c>
      <c r="E650" t="s">
        <v>3253</v>
      </c>
      <c r="F650" s="3">
        <v>0.45054945054945</v>
      </c>
      <c r="G650">
        <v>5</v>
      </c>
      <c r="H650" t="str">
        <f t="shared" si="10"/>
        <v>2.Menor a 10 P</v>
      </c>
    </row>
    <row r="651" spans="1:8" x14ac:dyDescent="0.25">
      <c r="A651" t="s">
        <v>4398</v>
      </c>
      <c r="B651">
        <v>2018</v>
      </c>
      <c r="C651" t="s">
        <v>4399</v>
      </c>
      <c r="D651" t="s">
        <v>4400</v>
      </c>
      <c r="E651" t="s">
        <v>3253</v>
      </c>
      <c r="F651" s="3">
        <v>0.45054945054945</v>
      </c>
      <c r="G651">
        <v>14</v>
      </c>
      <c r="H651" t="str">
        <f t="shared" si="10"/>
        <v>3.Mayor a 10 P</v>
      </c>
    </row>
    <row r="652" spans="1:8" x14ac:dyDescent="0.25">
      <c r="A652" t="s">
        <v>4401</v>
      </c>
      <c r="B652">
        <v>2018</v>
      </c>
      <c r="C652" t="s">
        <v>4402</v>
      </c>
      <c r="D652" t="s">
        <v>4403</v>
      </c>
      <c r="E652" t="s">
        <v>3253</v>
      </c>
      <c r="F652" s="3">
        <v>0.45054945054945</v>
      </c>
      <c r="G652">
        <v>5</v>
      </c>
      <c r="H652" t="str">
        <f t="shared" si="10"/>
        <v>2.Menor a 10 P</v>
      </c>
    </row>
    <row r="653" spans="1:8" x14ac:dyDescent="0.25">
      <c r="A653" t="s">
        <v>4404</v>
      </c>
      <c r="B653">
        <v>2018</v>
      </c>
      <c r="C653" t="s">
        <v>4405</v>
      </c>
      <c r="D653" t="s">
        <v>4406</v>
      </c>
      <c r="E653" t="s">
        <v>3253</v>
      </c>
      <c r="F653" s="3">
        <v>0.45054945054945</v>
      </c>
      <c r="G653">
        <v>10</v>
      </c>
      <c r="H653" t="str">
        <f t="shared" si="10"/>
        <v>3.Mayor a 10 P</v>
      </c>
    </row>
    <row r="654" spans="1:8" x14ac:dyDescent="0.25">
      <c r="A654" t="s">
        <v>4407</v>
      </c>
      <c r="B654">
        <v>2018</v>
      </c>
      <c r="C654" t="s">
        <v>4408</v>
      </c>
      <c r="D654" t="s">
        <v>4409</v>
      </c>
      <c r="E654" t="s">
        <v>3253</v>
      </c>
      <c r="F654" s="3">
        <v>0.45054945054945</v>
      </c>
      <c r="G654">
        <v>2</v>
      </c>
      <c r="H654" t="str">
        <f t="shared" si="10"/>
        <v>2.Menor a 10 P</v>
      </c>
    </row>
    <row r="655" spans="1:8" x14ac:dyDescent="0.25">
      <c r="A655" t="s">
        <v>4410</v>
      </c>
      <c r="B655">
        <v>2018</v>
      </c>
      <c r="C655" t="s">
        <v>2604</v>
      </c>
      <c r="D655" t="s">
        <v>4411</v>
      </c>
      <c r="E655" t="s">
        <v>3253</v>
      </c>
      <c r="F655" s="3">
        <v>0.45054945054945</v>
      </c>
      <c r="G655">
        <v>8</v>
      </c>
      <c r="H655" t="str">
        <f t="shared" si="10"/>
        <v>2.Menor a 10 P</v>
      </c>
    </row>
    <row r="656" spans="1:8" x14ac:dyDescent="0.25">
      <c r="A656" t="s">
        <v>4412</v>
      </c>
      <c r="B656">
        <v>2018</v>
      </c>
      <c r="C656" t="s">
        <v>4413</v>
      </c>
      <c r="D656" t="s">
        <v>4414</v>
      </c>
      <c r="E656" t="s">
        <v>3253</v>
      </c>
      <c r="F656" s="3">
        <v>0.45054945054945</v>
      </c>
      <c r="G656">
        <v>26</v>
      </c>
      <c r="H656" t="str">
        <f t="shared" si="10"/>
        <v>4.Mayor a 20 P</v>
      </c>
    </row>
    <row r="657" spans="1:8" x14ac:dyDescent="0.25">
      <c r="A657" t="s">
        <v>4415</v>
      </c>
      <c r="B657">
        <v>2020</v>
      </c>
      <c r="C657" t="s">
        <v>4416</v>
      </c>
      <c r="D657" t="s">
        <v>4417</v>
      </c>
      <c r="E657" t="s">
        <v>3253</v>
      </c>
      <c r="F657" s="3">
        <v>0.45054945054945</v>
      </c>
      <c r="G657">
        <v>29</v>
      </c>
      <c r="H657" t="str">
        <f t="shared" si="10"/>
        <v>4.Mayor a 20 P</v>
      </c>
    </row>
    <row r="658" spans="1:8" x14ac:dyDescent="0.25">
      <c r="A658" t="s">
        <v>4418</v>
      </c>
      <c r="B658">
        <v>2020</v>
      </c>
      <c r="C658" t="s">
        <v>4419</v>
      </c>
      <c r="D658" t="s">
        <v>4420</v>
      </c>
      <c r="E658" t="s">
        <v>3253</v>
      </c>
      <c r="F658" s="3">
        <v>0.45054945054945</v>
      </c>
      <c r="G658">
        <v>123</v>
      </c>
      <c r="H658" t="str">
        <f t="shared" si="10"/>
        <v>7.Mayor a 100 P</v>
      </c>
    </row>
    <row r="659" spans="1:8" x14ac:dyDescent="0.25">
      <c r="A659" t="s">
        <v>4421</v>
      </c>
      <c r="B659">
        <v>2019</v>
      </c>
      <c r="C659" t="s">
        <v>2604</v>
      </c>
      <c r="D659" t="s">
        <v>4422</v>
      </c>
      <c r="E659" t="s">
        <v>3253</v>
      </c>
      <c r="F659" s="3">
        <v>0.45054945054945</v>
      </c>
      <c r="G659">
        <v>4</v>
      </c>
      <c r="H659" t="str">
        <f t="shared" si="10"/>
        <v>2.Menor a 10 P</v>
      </c>
    </row>
    <row r="660" spans="1:8" x14ac:dyDescent="0.25">
      <c r="A660" t="s">
        <v>4423</v>
      </c>
      <c r="B660">
        <v>2020</v>
      </c>
      <c r="C660" t="s">
        <v>4424</v>
      </c>
      <c r="D660" t="s">
        <v>4425</v>
      </c>
      <c r="E660" t="s">
        <v>3253</v>
      </c>
      <c r="F660" s="3">
        <v>0.45054945054945</v>
      </c>
      <c r="G660">
        <v>78</v>
      </c>
      <c r="H660" t="str">
        <f t="shared" si="10"/>
        <v>6.Mayor a 70 P</v>
      </c>
    </row>
    <row r="661" spans="1:8" x14ac:dyDescent="0.25">
      <c r="A661" t="s">
        <v>4426</v>
      </c>
      <c r="B661">
        <v>2020</v>
      </c>
      <c r="C661" t="s">
        <v>4427</v>
      </c>
      <c r="D661" t="s">
        <v>4428</v>
      </c>
      <c r="E661" t="s">
        <v>3253</v>
      </c>
      <c r="F661" s="3">
        <v>0.45054945054945</v>
      </c>
      <c r="G661">
        <v>2</v>
      </c>
      <c r="H661" t="str">
        <f t="shared" si="10"/>
        <v>2.Menor a 10 P</v>
      </c>
    </row>
    <row r="662" spans="1:8" x14ac:dyDescent="0.25">
      <c r="A662" t="s">
        <v>4429</v>
      </c>
      <c r="B662">
        <v>2020</v>
      </c>
      <c r="C662" t="s">
        <v>4430</v>
      </c>
      <c r="D662" t="s">
        <v>4431</v>
      </c>
      <c r="E662" t="s">
        <v>3253</v>
      </c>
      <c r="F662" s="3">
        <v>0.45054945054945</v>
      </c>
      <c r="G662">
        <v>3</v>
      </c>
      <c r="H662" t="str">
        <f t="shared" si="10"/>
        <v>2.Menor a 10 P</v>
      </c>
    </row>
    <row r="663" spans="1:8" x14ac:dyDescent="0.25">
      <c r="A663" t="s">
        <v>4432</v>
      </c>
      <c r="B663">
        <v>2020</v>
      </c>
      <c r="C663" t="s">
        <v>4433</v>
      </c>
      <c r="D663" t="s">
        <v>4434</v>
      </c>
      <c r="E663" t="s">
        <v>3253</v>
      </c>
      <c r="F663" s="3">
        <v>0.45054945054945</v>
      </c>
      <c r="G663">
        <v>34</v>
      </c>
      <c r="H663" t="str">
        <f t="shared" si="10"/>
        <v>4.Mayor a 20 P</v>
      </c>
    </row>
    <row r="664" spans="1:8" x14ac:dyDescent="0.25">
      <c r="A664" t="s">
        <v>4435</v>
      </c>
      <c r="B664">
        <v>2020</v>
      </c>
      <c r="C664" t="s">
        <v>4436</v>
      </c>
      <c r="D664" t="s">
        <v>4437</v>
      </c>
      <c r="E664" t="s">
        <v>3253</v>
      </c>
      <c r="F664" s="3">
        <v>0.45054945054945</v>
      </c>
      <c r="G664">
        <v>32</v>
      </c>
      <c r="H664" t="str">
        <f t="shared" si="10"/>
        <v>4.Mayor a 20 P</v>
      </c>
    </row>
    <row r="665" spans="1:8" x14ac:dyDescent="0.25">
      <c r="A665" t="s">
        <v>4438</v>
      </c>
      <c r="B665">
        <v>2020</v>
      </c>
      <c r="C665" t="s">
        <v>2604</v>
      </c>
      <c r="D665" t="s">
        <v>4439</v>
      </c>
      <c r="E665" t="s">
        <v>3253</v>
      </c>
      <c r="F665" s="3">
        <v>0.45054945054945</v>
      </c>
      <c r="G665">
        <v>38</v>
      </c>
      <c r="H665" t="str">
        <f t="shared" si="10"/>
        <v>4.Mayor a 20 P</v>
      </c>
    </row>
    <row r="666" spans="1:8" x14ac:dyDescent="0.25">
      <c r="A666" t="s">
        <v>4440</v>
      </c>
      <c r="B666">
        <v>2020</v>
      </c>
      <c r="C666" t="s">
        <v>2604</v>
      </c>
      <c r="D666" t="s">
        <v>4441</v>
      </c>
      <c r="E666" t="s">
        <v>3253</v>
      </c>
      <c r="F666" s="3">
        <v>0.45054945054945</v>
      </c>
      <c r="G666">
        <v>2</v>
      </c>
      <c r="H666" t="str">
        <f t="shared" si="10"/>
        <v>2.Menor a 10 P</v>
      </c>
    </row>
    <row r="667" spans="1:8" x14ac:dyDescent="0.25">
      <c r="A667" t="s">
        <v>4442</v>
      </c>
      <c r="B667">
        <v>2020</v>
      </c>
      <c r="C667" t="s">
        <v>4443</v>
      </c>
      <c r="D667" t="s">
        <v>4444</v>
      </c>
      <c r="E667" t="s">
        <v>3253</v>
      </c>
      <c r="F667" s="3">
        <v>0.45054945054945</v>
      </c>
      <c r="G667">
        <v>13</v>
      </c>
      <c r="H667" t="str">
        <f t="shared" si="10"/>
        <v>3.Mayor a 10 P</v>
      </c>
    </row>
    <row r="668" spans="1:8" x14ac:dyDescent="0.25">
      <c r="A668" t="s">
        <v>4445</v>
      </c>
      <c r="B668">
        <v>2020</v>
      </c>
      <c r="C668" t="s">
        <v>4446</v>
      </c>
      <c r="D668" t="s">
        <v>4447</v>
      </c>
      <c r="E668" t="s">
        <v>3253</v>
      </c>
      <c r="F668" s="3">
        <v>0.45054945054945</v>
      </c>
      <c r="G668">
        <v>26</v>
      </c>
      <c r="H668" t="str">
        <f t="shared" si="10"/>
        <v>4.Mayor a 20 P</v>
      </c>
    </row>
    <row r="669" spans="1:8" x14ac:dyDescent="0.25">
      <c r="A669" t="s">
        <v>4448</v>
      </c>
      <c r="B669">
        <v>2019</v>
      </c>
      <c r="C669" t="s">
        <v>4449</v>
      </c>
      <c r="D669" t="s">
        <v>4450</v>
      </c>
      <c r="E669" t="s">
        <v>3253</v>
      </c>
      <c r="F669" s="3">
        <v>0.45054945054945</v>
      </c>
      <c r="G669">
        <v>7</v>
      </c>
      <c r="H669" t="str">
        <f t="shared" si="10"/>
        <v>2.Menor a 10 P</v>
      </c>
    </row>
    <row r="670" spans="1:8" x14ac:dyDescent="0.25">
      <c r="A670" t="s">
        <v>4451</v>
      </c>
      <c r="B670">
        <v>2019</v>
      </c>
      <c r="C670" t="s">
        <v>2604</v>
      </c>
      <c r="D670" t="s">
        <v>4452</v>
      </c>
      <c r="E670" t="s">
        <v>3253</v>
      </c>
      <c r="F670" s="3">
        <v>0.45054945054945</v>
      </c>
      <c r="G670">
        <v>1</v>
      </c>
      <c r="H670" t="str">
        <f t="shared" si="10"/>
        <v>2.Menor a 10 P</v>
      </c>
    </row>
    <row r="671" spans="1:8" x14ac:dyDescent="0.25">
      <c r="A671" t="s">
        <v>4453</v>
      </c>
      <c r="B671">
        <v>2020</v>
      </c>
      <c r="C671" t="s">
        <v>4454</v>
      </c>
      <c r="D671" t="s">
        <v>4455</v>
      </c>
      <c r="E671" t="s">
        <v>3253</v>
      </c>
      <c r="F671" s="3">
        <v>0.45054945054945</v>
      </c>
      <c r="G671">
        <v>9</v>
      </c>
      <c r="H671" t="str">
        <f t="shared" si="10"/>
        <v>2.Menor a 10 P</v>
      </c>
    </row>
    <row r="672" spans="1:8" x14ac:dyDescent="0.25">
      <c r="A672" t="s">
        <v>4456</v>
      </c>
      <c r="B672">
        <v>2020</v>
      </c>
      <c r="C672" t="s">
        <v>4457</v>
      </c>
      <c r="D672" t="s">
        <v>4458</v>
      </c>
      <c r="E672" t="s">
        <v>3253</v>
      </c>
      <c r="F672" s="3">
        <v>0.45054945054945</v>
      </c>
      <c r="G672">
        <v>29</v>
      </c>
      <c r="H672" t="str">
        <f t="shared" si="10"/>
        <v>4.Mayor a 20 P</v>
      </c>
    </row>
    <row r="673" spans="1:8" x14ac:dyDescent="0.25">
      <c r="A673" t="s">
        <v>4459</v>
      </c>
      <c r="B673">
        <v>2019</v>
      </c>
      <c r="C673" t="s">
        <v>4460</v>
      </c>
      <c r="D673" t="s">
        <v>4461</v>
      </c>
      <c r="E673" t="s">
        <v>3253</v>
      </c>
      <c r="F673" s="3">
        <v>0.45054945054945</v>
      </c>
      <c r="G673">
        <v>20</v>
      </c>
      <c r="H673" t="str">
        <f t="shared" si="10"/>
        <v>4.Mayor a 20 P</v>
      </c>
    </row>
    <row r="674" spans="1:8" x14ac:dyDescent="0.25">
      <c r="A674" t="s">
        <v>4462</v>
      </c>
      <c r="B674">
        <v>2019</v>
      </c>
      <c r="C674" t="s">
        <v>4463</v>
      </c>
      <c r="D674" t="s">
        <v>4464</v>
      </c>
      <c r="E674" t="s">
        <v>3253</v>
      </c>
      <c r="F674" s="3">
        <v>0.45054945054945</v>
      </c>
      <c r="G674">
        <v>12</v>
      </c>
      <c r="H674" t="str">
        <f t="shared" si="10"/>
        <v>3.Mayor a 10 P</v>
      </c>
    </row>
    <row r="675" spans="1:8" x14ac:dyDescent="0.25">
      <c r="A675" t="s">
        <v>4465</v>
      </c>
      <c r="B675">
        <v>2019</v>
      </c>
      <c r="C675" t="s">
        <v>4466</v>
      </c>
      <c r="D675" t="s">
        <v>4467</v>
      </c>
      <c r="E675" t="s">
        <v>3253</v>
      </c>
      <c r="F675" s="3">
        <v>0.45054945054945</v>
      </c>
      <c r="G675">
        <v>14</v>
      </c>
      <c r="H675" t="str">
        <f t="shared" si="10"/>
        <v>3.Mayor a 10 P</v>
      </c>
    </row>
    <row r="676" spans="1:8" x14ac:dyDescent="0.25">
      <c r="A676" t="s">
        <v>4468</v>
      </c>
      <c r="B676">
        <v>2019</v>
      </c>
      <c r="C676" t="s">
        <v>4469</v>
      </c>
      <c r="D676" t="s">
        <v>4470</v>
      </c>
      <c r="E676" t="s">
        <v>3253</v>
      </c>
      <c r="F676" s="3">
        <v>0.45054945054945</v>
      </c>
      <c r="G676">
        <v>16</v>
      </c>
      <c r="H676" t="str">
        <f t="shared" si="10"/>
        <v>3.Mayor a 10 P</v>
      </c>
    </row>
    <row r="677" spans="1:8" x14ac:dyDescent="0.25">
      <c r="A677" t="s">
        <v>4471</v>
      </c>
      <c r="B677">
        <v>2018</v>
      </c>
      <c r="C677" t="s">
        <v>4472</v>
      </c>
      <c r="D677" t="s">
        <v>4473</v>
      </c>
      <c r="E677" t="s">
        <v>3253</v>
      </c>
      <c r="F677" s="3">
        <v>0.45054945054945</v>
      </c>
      <c r="G677">
        <v>33</v>
      </c>
      <c r="H677" t="str">
        <f t="shared" si="10"/>
        <v>4.Mayor a 20 P</v>
      </c>
    </row>
    <row r="678" spans="1:8" x14ac:dyDescent="0.25">
      <c r="A678" t="s">
        <v>4474</v>
      </c>
      <c r="B678">
        <v>2020</v>
      </c>
      <c r="C678" t="s">
        <v>4475</v>
      </c>
      <c r="D678" t="s">
        <v>4476</v>
      </c>
      <c r="E678" t="s">
        <v>3253</v>
      </c>
      <c r="F678" s="3">
        <v>0.45054945054945</v>
      </c>
      <c r="G678">
        <v>4</v>
      </c>
      <c r="H678" t="str">
        <f t="shared" si="10"/>
        <v>2.Menor a 10 P</v>
      </c>
    </row>
    <row r="679" spans="1:8" x14ac:dyDescent="0.25">
      <c r="A679" t="s">
        <v>4477</v>
      </c>
      <c r="B679">
        <v>2020</v>
      </c>
      <c r="C679" t="s">
        <v>4478</v>
      </c>
      <c r="D679" t="s">
        <v>4479</v>
      </c>
      <c r="E679" t="s">
        <v>3253</v>
      </c>
      <c r="F679" s="3">
        <v>0.45054945054945</v>
      </c>
      <c r="G679">
        <v>61</v>
      </c>
      <c r="H679" t="str">
        <f t="shared" si="10"/>
        <v>5.Mayor a 40 P</v>
      </c>
    </row>
    <row r="680" spans="1:8" x14ac:dyDescent="0.25">
      <c r="A680" t="s">
        <v>4365</v>
      </c>
      <c r="B680">
        <v>2020</v>
      </c>
      <c r="C680" t="s">
        <v>4480</v>
      </c>
      <c r="D680" t="s">
        <v>4481</v>
      </c>
      <c r="E680" t="s">
        <v>3253</v>
      </c>
      <c r="F680" s="3">
        <v>0.45054945054945</v>
      </c>
      <c r="G680">
        <v>47</v>
      </c>
      <c r="H680" t="str">
        <f t="shared" si="10"/>
        <v>5.Mayor a 40 P</v>
      </c>
    </row>
    <row r="681" spans="1:8" x14ac:dyDescent="0.25">
      <c r="A681" t="s">
        <v>4482</v>
      </c>
      <c r="B681">
        <v>2020</v>
      </c>
      <c r="C681" t="s">
        <v>4483</v>
      </c>
      <c r="D681" t="s">
        <v>4484</v>
      </c>
      <c r="E681" t="s">
        <v>3253</v>
      </c>
      <c r="F681" s="3">
        <v>0.45054945054945</v>
      </c>
      <c r="G681">
        <v>49</v>
      </c>
      <c r="H681" t="str">
        <f t="shared" si="10"/>
        <v>5.Mayor a 40 P</v>
      </c>
    </row>
    <row r="682" spans="1:8" x14ac:dyDescent="0.25">
      <c r="A682" t="s">
        <v>4485</v>
      </c>
      <c r="B682">
        <v>2020</v>
      </c>
      <c r="C682" t="s">
        <v>2604</v>
      </c>
      <c r="D682" t="s">
        <v>4486</v>
      </c>
      <c r="E682" t="s">
        <v>3253</v>
      </c>
      <c r="F682" s="3">
        <v>0.45054945054945</v>
      </c>
      <c r="G682">
        <v>5</v>
      </c>
      <c r="H682" t="str">
        <f t="shared" si="10"/>
        <v>2.Menor a 10 P</v>
      </c>
    </row>
    <row r="683" spans="1:8" x14ac:dyDescent="0.25">
      <c r="A683" t="s">
        <v>4487</v>
      </c>
      <c r="B683">
        <v>2020</v>
      </c>
      <c r="C683" t="s">
        <v>4488</v>
      </c>
      <c r="D683" t="s">
        <v>4489</v>
      </c>
      <c r="E683" t="s">
        <v>3253</v>
      </c>
      <c r="F683" s="3">
        <v>0.45054945054945</v>
      </c>
      <c r="G683">
        <v>6</v>
      </c>
      <c r="H683" t="str">
        <f t="shared" si="10"/>
        <v>2.Menor a 10 P</v>
      </c>
    </row>
    <row r="684" spans="1:8" x14ac:dyDescent="0.25">
      <c r="A684" t="s">
        <v>4490</v>
      </c>
      <c r="B684">
        <v>2020</v>
      </c>
      <c r="C684" t="s">
        <v>4491</v>
      </c>
      <c r="D684" t="s">
        <v>4492</v>
      </c>
      <c r="E684" t="s">
        <v>3253</v>
      </c>
      <c r="F684" s="3">
        <v>0.45054945054945</v>
      </c>
      <c r="G684">
        <v>4</v>
      </c>
      <c r="H684" t="str">
        <f t="shared" si="10"/>
        <v>2.Menor a 10 P</v>
      </c>
    </row>
    <row r="685" spans="1:8" x14ac:dyDescent="0.25">
      <c r="A685" t="s">
        <v>4493</v>
      </c>
      <c r="B685">
        <v>2018</v>
      </c>
      <c r="C685" t="s">
        <v>4494</v>
      </c>
      <c r="D685" t="s">
        <v>4495</v>
      </c>
      <c r="E685" t="s">
        <v>3253</v>
      </c>
      <c r="F685" s="3">
        <v>0.45054945054945</v>
      </c>
      <c r="G685">
        <v>1</v>
      </c>
      <c r="H685" t="str">
        <f t="shared" si="10"/>
        <v>2.Menor a 10 P</v>
      </c>
    </row>
    <row r="686" spans="1:8" x14ac:dyDescent="0.25">
      <c r="A686" t="s">
        <v>4496</v>
      </c>
      <c r="B686">
        <v>2019</v>
      </c>
      <c r="C686" t="s">
        <v>4497</v>
      </c>
      <c r="D686" t="s">
        <v>4498</v>
      </c>
      <c r="E686" t="s">
        <v>3253</v>
      </c>
      <c r="F686" s="3">
        <v>0.45054945054945</v>
      </c>
      <c r="G686">
        <v>4</v>
      </c>
      <c r="H686" t="str">
        <f t="shared" si="10"/>
        <v>2.Menor a 10 P</v>
      </c>
    </row>
    <row r="687" spans="1:8" x14ac:dyDescent="0.25">
      <c r="A687" t="s">
        <v>4499</v>
      </c>
      <c r="B687">
        <v>2020</v>
      </c>
      <c r="C687" t="s">
        <v>4500</v>
      </c>
      <c r="D687" t="s">
        <v>4501</v>
      </c>
      <c r="E687" t="s">
        <v>3253</v>
      </c>
      <c r="F687" s="3">
        <v>0.45054945054945</v>
      </c>
      <c r="G687">
        <v>152</v>
      </c>
      <c r="H687" t="str">
        <f t="shared" si="10"/>
        <v>7.Mayor a 100 P</v>
      </c>
    </row>
    <row r="688" spans="1:8" x14ac:dyDescent="0.25">
      <c r="A688" t="s">
        <v>4502</v>
      </c>
      <c r="B688">
        <v>2020</v>
      </c>
      <c r="C688" t="s">
        <v>4503</v>
      </c>
      <c r="D688" t="s">
        <v>4504</v>
      </c>
      <c r="E688" t="s">
        <v>3253</v>
      </c>
      <c r="F688" s="3">
        <v>0.45054945054945</v>
      </c>
      <c r="G688">
        <v>39</v>
      </c>
      <c r="H688" t="str">
        <f t="shared" si="10"/>
        <v>4.Mayor a 20 P</v>
      </c>
    </row>
    <row r="689" spans="1:8" x14ac:dyDescent="0.25">
      <c r="A689" t="s">
        <v>4505</v>
      </c>
      <c r="B689">
        <v>2018</v>
      </c>
      <c r="C689" t="s">
        <v>4506</v>
      </c>
      <c r="D689" t="s">
        <v>4507</v>
      </c>
      <c r="E689" t="s">
        <v>3253</v>
      </c>
      <c r="F689" s="3">
        <v>0.45054945054945</v>
      </c>
      <c r="G689">
        <v>59</v>
      </c>
      <c r="H689" t="str">
        <f t="shared" si="10"/>
        <v>5.Mayor a 40 P</v>
      </c>
    </row>
    <row r="690" spans="1:8" x14ac:dyDescent="0.25">
      <c r="A690" t="s">
        <v>4508</v>
      </c>
      <c r="B690">
        <v>2020</v>
      </c>
      <c r="C690" t="s">
        <v>4509</v>
      </c>
      <c r="D690" t="s">
        <v>4510</v>
      </c>
      <c r="E690" t="s">
        <v>3253</v>
      </c>
      <c r="F690" s="3">
        <v>0.45054945054945</v>
      </c>
      <c r="G690">
        <v>3</v>
      </c>
      <c r="H690" t="str">
        <f t="shared" si="10"/>
        <v>2.Menor a 10 P</v>
      </c>
    </row>
    <row r="691" spans="1:8" x14ac:dyDescent="0.25">
      <c r="A691" t="s">
        <v>4511</v>
      </c>
      <c r="B691">
        <v>2020</v>
      </c>
      <c r="C691" t="s">
        <v>4512</v>
      </c>
      <c r="D691" t="s">
        <v>4513</v>
      </c>
      <c r="E691" t="s">
        <v>3253</v>
      </c>
      <c r="F691" s="3">
        <v>0.45054945054945</v>
      </c>
      <c r="G691">
        <v>6</v>
      </c>
      <c r="H691" t="str">
        <f t="shared" si="10"/>
        <v>2.Menor a 10 P</v>
      </c>
    </row>
    <row r="692" spans="1:8" x14ac:dyDescent="0.25">
      <c r="A692" t="s">
        <v>4514</v>
      </c>
      <c r="B692">
        <v>2020</v>
      </c>
      <c r="C692" t="s">
        <v>2604</v>
      </c>
      <c r="D692" t="s">
        <v>4515</v>
      </c>
      <c r="E692" t="s">
        <v>3253</v>
      </c>
      <c r="F692" s="3">
        <v>0.45054945054945</v>
      </c>
      <c r="G692">
        <v>3</v>
      </c>
      <c r="H692" t="str">
        <f t="shared" si="10"/>
        <v>2.Menor a 10 P</v>
      </c>
    </row>
    <row r="693" spans="1:8" x14ac:dyDescent="0.25">
      <c r="A693" t="s">
        <v>4516</v>
      </c>
      <c r="B693">
        <v>2020</v>
      </c>
      <c r="C693" t="s">
        <v>4517</v>
      </c>
      <c r="D693" t="s">
        <v>4518</v>
      </c>
      <c r="E693" t="s">
        <v>3253</v>
      </c>
      <c r="F693" s="3">
        <v>0.45054945054945</v>
      </c>
      <c r="G693">
        <v>42</v>
      </c>
      <c r="H693" t="str">
        <f t="shared" si="10"/>
        <v>5.Mayor a 40 P</v>
      </c>
    </row>
    <row r="694" spans="1:8" x14ac:dyDescent="0.25">
      <c r="A694" t="s">
        <v>4519</v>
      </c>
      <c r="B694">
        <v>2020</v>
      </c>
      <c r="C694" t="s">
        <v>4520</v>
      </c>
      <c r="D694" t="s">
        <v>4521</v>
      </c>
      <c r="E694" t="s">
        <v>3253</v>
      </c>
      <c r="F694" s="3">
        <v>0.45054945054945</v>
      </c>
      <c r="G694">
        <v>25</v>
      </c>
      <c r="H694" t="str">
        <f t="shared" si="10"/>
        <v>4.Mayor a 20 P</v>
      </c>
    </row>
    <row r="695" spans="1:8" x14ac:dyDescent="0.25">
      <c r="A695" t="s">
        <v>4522</v>
      </c>
      <c r="B695">
        <v>2020</v>
      </c>
      <c r="C695" t="s">
        <v>4523</v>
      </c>
      <c r="D695" t="s">
        <v>4524</v>
      </c>
      <c r="E695" t="s">
        <v>3253</v>
      </c>
      <c r="F695" s="3">
        <v>0.45054945054945</v>
      </c>
      <c r="G695">
        <v>5</v>
      </c>
      <c r="H695" t="str">
        <f t="shared" si="10"/>
        <v>2.Menor a 10 P</v>
      </c>
    </row>
    <row r="696" spans="1:8" x14ac:dyDescent="0.25">
      <c r="A696" t="s">
        <v>4525</v>
      </c>
      <c r="B696">
        <v>2020</v>
      </c>
      <c r="C696" t="s">
        <v>4526</v>
      </c>
      <c r="D696" t="s">
        <v>4527</v>
      </c>
      <c r="E696" t="s">
        <v>3253</v>
      </c>
      <c r="F696" s="3">
        <v>0.45054945054945</v>
      </c>
      <c r="G696">
        <v>18</v>
      </c>
      <c r="H696" t="str">
        <f t="shared" si="10"/>
        <v>3.Mayor a 10 P</v>
      </c>
    </row>
    <row r="697" spans="1:8" x14ac:dyDescent="0.25">
      <c r="A697" t="s">
        <v>4528</v>
      </c>
      <c r="B697">
        <v>2020</v>
      </c>
      <c r="C697" t="s">
        <v>4529</v>
      </c>
      <c r="D697" t="s">
        <v>4530</v>
      </c>
      <c r="E697" t="s">
        <v>3253</v>
      </c>
      <c r="F697" s="3">
        <v>0.45054945054945</v>
      </c>
      <c r="G697">
        <v>48</v>
      </c>
      <c r="H697" t="str">
        <f t="shared" si="10"/>
        <v>5.Mayor a 40 P</v>
      </c>
    </row>
    <row r="698" spans="1:8" x14ac:dyDescent="0.25">
      <c r="A698" t="s">
        <v>4531</v>
      </c>
      <c r="B698">
        <v>2020</v>
      </c>
      <c r="C698" t="s">
        <v>4532</v>
      </c>
      <c r="D698" t="s">
        <v>4533</v>
      </c>
      <c r="E698" t="s">
        <v>3253</v>
      </c>
      <c r="F698" s="3">
        <v>0.45054945054945</v>
      </c>
      <c r="G698">
        <v>8</v>
      </c>
      <c r="H698" t="str">
        <f t="shared" si="10"/>
        <v>2.Menor a 10 P</v>
      </c>
    </row>
    <row r="699" spans="1:8" x14ac:dyDescent="0.25">
      <c r="A699" t="s">
        <v>4534</v>
      </c>
      <c r="B699">
        <v>2020</v>
      </c>
      <c r="C699" t="s">
        <v>4535</v>
      </c>
      <c r="D699" t="s">
        <v>4536</v>
      </c>
      <c r="E699" t="s">
        <v>3253</v>
      </c>
      <c r="F699" s="3">
        <v>0.45054945054945</v>
      </c>
      <c r="G699">
        <v>20</v>
      </c>
      <c r="H699" t="str">
        <f t="shared" si="10"/>
        <v>4.Mayor a 20 P</v>
      </c>
    </row>
    <row r="700" spans="1:8" x14ac:dyDescent="0.25">
      <c r="A700" t="s">
        <v>4537</v>
      </c>
      <c r="B700">
        <v>2020</v>
      </c>
      <c r="C700" t="s">
        <v>2604</v>
      </c>
      <c r="D700" t="s">
        <v>4538</v>
      </c>
      <c r="E700" t="s">
        <v>3253</v>
      </c>
      <c r="F700" s="3">
        <v>0.45054945054945</v>
      </c>
      <c r="G700">
        <v>2</v>
      </c>
      <c r="H700" t="str">
        <f t="shared" si="10"/>
        <v>2.Menor a 10 P</v>
      </c>
    </row>
    <row r="701" spans="1:8" x14ac:dyDescent="0.25">
      <c r="A701" t="s">
        <v>4539</v>
      </c>
      <c r="B701">
        <v>2020</v>
      </c>
      <c r="C701" t="s">
        <v>4540</v>
      </c>
      <c r="D701" t="s">
        <v>4541</v>
      </c>
      <c r="E701" t="s">
        <v>3253</v>
      </c>
      <c r="F701" s="3">
        <v>0.45054945054945</v>
      </c>
      <c r="G701">
        <v>9</v>
      </c>
      <c r="H701" t="str">
        <f t="shared" si="10"/>
        <v>2.Menor a 10 P</v>
      </c>
    </row>
    <row r="702" spans="1:8" x14ac:dyDescent="0.25">
      <c r="A702" t="s">
        <v>4542</v>
      </c>
      <c r="B702">
        <v>2024</v>
      </c>
      <c r="C702" t="s">
        <v>2604</v>
      </c>
      <c r="D702" t="s">
        <v>4543</v>
      </c>
      <c r="E702" t="s">
        <v>3253</v>
      </c>
      <c r="F702" s="3">
        <v>0.45054945054945</v>
      </c>
      <c r="G702">
        <v>57</v>
      </c>
      <c r="H702" t="str">
        <f t="shared" si="10"/>
        <v>5.Mayor a 40 P</v>
      </c>
    </row>
    <row r="703" spans="1:8" x14ac:dyDescent="0.25">
      <c r="A703" t="s">
        <v>4544</v>
      </c>
      <c r="B703">
        <v>2024</v>
      </c>
      <c r="C703" t="s">
        <v>2604</v>
      </c>
      <c r="D703" t="s">
        <v>4545</v>
      </c>
      <c r="E703" t="s">
        <v>3253</v>
      </c>
      <c r="F703" s="3">
        <v>0.45054945054945</v>
      </c>
      <c r="G703">
        <v>13</v>
      </c>
      <c r="H703" t="str">
        <f t="shared" si="10"/>
        <v>3.Mayor a 10 P</v>
      </c>
    </row>
    <row r="704" spans="1:8" x14ac:dyDescent="0.25">
      <c r="A704" t="s">
        <v>4546</v>
      </c>
      <c r="B704">
        <v>2020</v>
      </c>
      <c r="C704" t="s">
        <v>4547</v>
      </c>
      <c r="D704" t="s">
        <v>4548</v>
      </c>
      <c r="E704" t="s">
        <v>3253</v>
      </c>
      <c r="F704" s="3">
        <v>0.45054945054945</v>
      </c>
      <c r="G704">
        <v>7</v>
      </c>
      <c r="H704" t="str">
        <f t="shared" si="10"/>
        <v>2.Menor a 10 P</v>
      </c>
    </row>
    <row r="705" spans="1:8" x14ac:dyDescent="0.25">
      <c r="A705" t="s">
        <v>4549</v>
      </c>
      <c r="B705">
        <v>2020</v>
      </c>
      <c r="C705" t="s">
        <v>4550</v>
      </c>
      <c r="D705" t="s">
        <v>4551</v>
      </c>
      <c r="E705" t="s">
        <v>3253</v>
      </c>
      <c r="F705" s="3">
        <v>0.45054945054945</v>
      </c>
      <c r="G705">
        <v>13</v>
      </c>
      <c r="H705" t="str">
        <f t="shared" si="10"/>
        <v>3.Mayor a 10 P</v>
      </c>
    </row>
    <row r="706" spans="1:8" x14ac:dyDescent="0.25">
      <c r="A706" t="s">
        <v>4552</v>
      </c>
      <c r="B706">
        <v>2020</v>
      </c>
      <c r="C706" t="s">
        <v>4553</v>
      </c>
      <c r="D706" t="s">
        <v>4554</v>
      </c>
      <c r="E706" t="s">
        <v>3253</v>
      </c>
      <c r="F706" s="3">
        <v>0.45054945054945</v>
      </c>
      <c r="G706">
        <v>22</v>
      </c>
      <c r="H706" t="str">
        <f t="shared" si="10"/>
        <v>4.Mayor a 20 P</v>
      </c>
    </row>
    <row r="707" spans="1:8" x14ac:dyDescent="0.25">
      <c r="A707" t="s">
        <v>4555</v>
      </c>
      <c r="B707">
        <v>2020</v>
      </c>
      <c r="C707" t="s">
        <v>4556</v>
      </c>
      <c r="D707" t="s">
        <v>4557</v>
      </c>
      <c r="E707" t="s">
        <v>3253</v>
      </c>
      <c r="F707" s="3">
        <v>0.45054945054945</v>
      </c>
      <c r="G707">
        <v>35</v>
      </c>
      <c r="H707" t="str">
        <f t="shared" ref="H707:H770" si="11">+IF(G707&gt;=100,"7.Mayor a 100 P",+IF(G707&gt;=70,"6.Mayor a 70 P",+IF(G707&gt;=40,"5.Mayor a 40 P",+IF(G707&gt;=20,"4.Mayor a 20 P",+IF(G707&gt;=10,"3.Mayor a 10 P",+IF(G707&lt;10,"2.Menor a 10 P",+IF(G707=0,"1.Sin Propiedades","Revsar")))))))</f>
        <v>4.Mayor a 20 P</v>
      </c>
    </row>
    <row r="708" spans="1:8" x14ac:dyDescent="0.25">
      <c r="A708" t="s">
        <v>4558</v>
      </c>
      <c r="B708">
        <v>2020</v>
      </c>
      <c r="C708" t="s">
        <v>4559</v>
      </c>
      <c r="D708" t="s">
        <v>4560</v>
      </c>
      <c r="E708" t="s">
        <v>3253</v>
      </c>
      <c r="F708" s="3">
        <v>0.45054945054945</v>
      </c>
      <c r="G708">
        <v>15</v>
      </c>
      <c r="H708" t="str">
        <f t="shared" si="11"/>
        <v>3.Mayor a 10 P</v>
      </c>
    </row>
    <row r="709" spans="1:8" x14ac:dyDescent="0.25">
      <c r="A709" t="s">
        <v>4561</v>
      </c>
      <c r="B709">
        <v>2024</v>
      </c>
      <c r="C709" t="s">
        <v>2604</v>
      </c>
      <c r="D709" t="s">
        <v>4562</v>
      </c>
      <c r="E709" t="s">
        <v>3253</v>
      </c>
      <c r="F709" s="3">
        <v>0.45054945054945</v>
      </c>
      <c r="G709">
        <v>25</v>
      </c>
      <c r="H709" t="str">
        <f t="shared" si="11"/>
        <v>4.Mayor a 20 P</v>
      </c>
    </row>
    <row r="710" spans="1:8" x14ac:dyDescent="0.25">
      <c r="A710" t="s">
        <v>4563</v>
      </c>
      <c r="B710">
        <v>2024</v>
      </c>
      <c r="C710" t="s">
        <v>2604</v>
      </c>
      <c r="D710" t="s">
        <v>4564</v>
      </c>
      <c r="E710" t="s">
        <v>3253</v>
      </c>
      <c r="F710" s="3">
        <v>0.45054945054945</v>
      </c>
      <c r="G710">
        <v>7</v>
      </c>
      <c r="H710" t="str">
        <f t="shared" si="11"/>
        <v>2.Menor a 10 P</v>
      </c>
    </row>
    <row r="711" spans="1:8" x14ac:dyDescent="0.25">
      <c r="A711" t="s">
        <v>4565</v>
      </c>
      <c r="B711">
        <v>2024</v>
      </c>
      <c r="C711" t="s">
        <v>2604</v>
      </c>
      <c r="D711" t="s">
        <v>4566</v>
      </c>
      <c r="E711" t="s">
        <v>3253</v>
      </c>
      <c r="F711" s="3">
        <v>0.45054945054945</v>
      </c>
      <c r="G711">
        <v>20</v>
      </c>
      <c r="H711" t="str">
        <f t="shared" si="11"/>
        <v>4.Mayor a 20 P</v>
      </c>
    </row>
    <row r="712" spans="1:8" x14ac:dyDescent="0.25">
      <c r="A712" t="s">
        <v>4567</v>
      </c>
      <c r="B712">
        <v>2024</v>
      </c>
      <c r="C712" t="s">
        <v>4568</v>
      </c>
      <c r="D712" t="s">
        <v>4569</v>
      </c>
      <c r="E712" t="s">
        <v>3253</v>
      </c>
      <c r="F712" s="3">
        <v>0.45054945054945</v>
      </c>
      <c r="G712">
        <v>12</v>
      </c>
      <c r="H712" t="str">
        <f t="shared" si="11"/>
        <v>3.Mayor a 10 P</v>
      </c>
    </row>
    <row r="713" spans="1:8" x14ac:dyDescent="0.25">
      <c r="A713" t="s">
        <v>4570</v>
      </c>
      <c r="B713">
        <v>2020</v>
      </c>
      <c r="C713" t="s">
        <v>4571</v>
      </c>
      <c r="D713" t="s">
        <v>4572</v>
      </c>
      <c r="E713" t="s">
        <v>3253</v>
      </c>
      <c r="F713" s="3">
        <v>0.45054945054945</v>
      </c>
      <c r="G713">
        <v>23</v>
      </c>
      <c r="H713" t="str">
        <f t="shared" si="11"/>
        <v>4.Mayor a 20 P</v>
      </c>
    </row>
    <row r="714" spans="1:8" x14ac:dyDescent="0.25">
      <c r="A714" t="s">
        <v>4573</v>
      </c>
      <c r="B714">
        <v>2024</v>
      </c>
      <c r="C714" t="s">
        <v>4574</v>
      </c>
      <c r="D714" t="s">
        <v>4575</v>
      </c>
      <c r="E714" t="s">
        <v>3253</v>
      </c>
      <c r="F714" s="3">
        <v>0.45054945054945</v>
      </c>
      <c r="G714">
        <v>8</v>
      </c>
      <c r="H714" t="str">
        <f t="shared" si="11"/>
        <v>2.Menor a 10 P</v>
      </c>
    </row>
    <row r="715" spans="1:8" x14ac:dyDescent="0.25">
      <c r="A715" t="s">
        <v>4576</v>
      </c>
      <c r="B715">
        <v>2024</v>
      </c>
      <c r="C715" t="s">
        <v>2604</v>
      </c>
      <c r="D715" t="s">
        <v>4577</v>
      </c>
      <c r="E715" t="s">
        <v>3253</v>
      </c>
      <c r="F715" s="3">
        <v>0.45054945054945</v>
      </c>
      <c r="G715">
        <v>4</v>
      </c>
      <c r="H715" t="str">
        <f t="shared" si="11"/>
        <v>2.Menor a 10 P</v>
      </c>
    </row>
    <row r="716" spans="1:8" x14ac:dyDescent="0.25">
      <c r="A716" t="s">
        <v>4578</v>
      </c>
      <c r="B716">
        <v>2024</v>
      </c>
      <c r="C716" t="s">
        <v>2604</v>
      </c>
      <c r="D716" t="s">
        <v>4579</v>
      </c>
      <c r="E716" t="s">
        <v>3253</v>
      </c>
      <c r="F716" s="3">
        <v>0.45054945054945</v>
      </c>
      <c r="G716">
        <v>28</v>
      </c>
      <c r="H716" t="str">
        <f t="shared" si="11"/>
        <v>4.Mayor a 20 P</v>
      </c>
    </row>
    <row r="717" spans="1:8" x14ac:dyDescent="0.25">
      <c r="A717" t="s">
        <v>4580</v>
      </c>
      <c r="B717">
        <v>2024</v>
      </c>
      <c r="C717" t="s">
        <v>4581</v>
      </c>
      <c r="D717" t="s">
        <v>4582</v>
      </c>
      <c r="E717" t="s">
        <v>3253</v>
      </c>
      <c r="F717" s="3">
        <v>0.45054945054945</v>
      </c>
      <c r="G717">
        <v>111</v>
      </c>
      <c r="H717" t="str">
        <f t="shared" si="11"/>
        <v>7.Mayor a 100 P</v>
      </c>
    </row>
    <row r="718" spans="1:8" x14ac:dyDescent="0.25">
      <c r="A718" t="s">
        <v>4583</v>
      </c>
      <c r="B718">
        <v>2024</v>
      </c>
      <c r="C718" t="s">
        <v>4584</v>
      </c>
      <c r="D718" t="s">
        <v>4585</v>
      </c>
      <c r="E718" t="s">
        <v>3253</v>
      </c>
      <c r="F718" s="3">
        <v>0.45054945054945</v>
      </c>
      <c r="G718">
        <v>24</v>
      </c>
      <c r="H718" t="str">
        <f t="shared" si="11"/>
        <v>4.Mayor a 20 P</v>
      </c>
    </row>
    <row r="719" spans="1:8" x14ac:dyDescent="0.25">
      <c r="A719" t="s">
        <v>4586</v>
      </c>
      <c r="B719">
        <v>2024</v>
      </c>
      <c r="C719" t="s">
        <v>2604</v>
      </c>
      <c r="D719" t="s">
        <v>4587</v>
      </c>
      <c r="E719" t="s">
        <v>3253</v>
      </c>
      <c r="F719" s="3">
        <v>0.45054945054945</v>
      </c>
      <c r="G719">
        <v>20</v>
      </c>
      <c r="H719" t="str">
        <f t="shared" si="11"/>
        <v>4.Mayor a 20 P</v>
      </c>
    </row>
    <row r="720" spans="1:8" x14ac:dyDescent="0.25">
      <c r="A720" t="s">
        <v>4588</v>
      </c>
      <c r="B720">
        <v>2024</v>
      </c>
      <c r="C720" t="s">
        <v>4589</v>
      </c>
      <c r="D720" t="s">
        <v>4590</v>
      </c>
      <c r="E720" t="s">
        <v>3253</v>
      </c>
      <c r="F720" s="3">
        <v>0.45054945054945</v>
      </c>
      <c r="G720">
        <v>21</v>
      </c>
      <c r="H720" t="str">
        <f t="shared" si="11"/>
        <v>4.Mayor a 20 P</v>
      </c>
    </row>
    <row r="721" spans="1:8" x14ac:dyDescent="0.25">
      <c r="A721" t="s">
        <v>4591</v>
      </c>
      <c r="B721">
        <v>2020</v>
      </c>
      <c r="C721" t="s">
        <v>2604</v>
      </c>
      <c r="D721" t="s">
        <v>4592</v>
      </c>
      <c r="E721" t="s">
        <v>3253</v>
      </c>
      <c r="F721" s="3">
        <v>0.45054945054945</v>
      </c>
      <c r="G721">
        <v>2</v>
      </c>
      <c r="H721" t="str">
        <f t="shared" si="11"/>
        <v>2.Menor a 10 P</v>
      </c>
    </row>
    <row r="722" spans="1:8" x14ac:dyDescent="0.25">
      <c r="A722" t="s">
        <v>4593</v>
      </c>
      <c r="B722">
        <v>2024</v>
      </c>
      <c r="C722" t="s">
        <v>2604</v>
      </c>
      <c r="D722" t="s">
        <v>4594</v>
      </c>
      <c r="E722" t="s">
        <v>3253</v>
      </c>
      <c r="F722" s="3">
        <v>0.45054945054945</v>
      </c>
      <c r="G722">
        <v>3</v>
      </c>
      <c r="H722" t="str">
        <f t="shared" si="11"/>
        <v>2.Menor a 10 P</v>
      </c>
    </row>
    <row r="723" spans="1:8" x14ac:dyDescent="0.25">
      <c r="A723" t="s">
        <v>4595</v>
      </c>
      <c r="B723">
        <v>2018</v>
      </c>
      <c r="C723" t="s">
        <v>4596</v>
      </c>
      <c r="D723" t="s">
        <v>4597</v>
      </c>
      <c r="E723" t="s">
        <v>3253</v>
      </c>
      <c r="F723" s="3">
        <v>0.45054945054945</v>
      </c>
      <c r="G723">
        <v>4</v>
      </c>
      <c r="H723" t="str">
        <f t="shared" si="11"/>
        <v>2.Menor a 10 P</v>
      </c>
    </row>
    <row r="724" spans="1:8" x14ac:dyDescent="0.25">
      <c r="A724" t="s">
        <v>4598</v>
      </c>
      <c r="B724">
        <v>2018</v>
      </c>
      <c r="C724" t="s">
        <v>4599</v>
      </c>
      <c r="D724" t="s">
        <v>4600</v>
      </c>
      <c r="E724" t="s">
        <v>3253</v>
      </c>
      <c r="F724" s="3">
        <v>0.45054945054945</v>
      </c>
      <c r="G724">
        <v>12</v>
      </c>
      <c r="H724" t="str">
        <f t="shared" si="11"/>
        <v>3.Mayor a 10 P</v>
      </c>
    </row>
    <row r="725" spans="1:8" x14ac:dyDescent="0.25">
      <c r="A725" t="s">
        <v>4601</v>
      </c>
      <c r="B725">
        <v>2018</v>
      </c>
      <c r="C725" t="s">
        <v>4602</v>
      </c>
      <c r="D725" t="s">
        <v>4603</v>
      </c>
      <c r="E725" t="s">
        <v>3253</v>
      </c>
      <c r="F725" s="3">
        <v>0.45054945054945</v>
      </c>
      <c r="G725">
        <v>40</v>
      </c>
      <c r="H725" t="str">
        <f t="shared" si="11"/>
        <v>5.Mayor a 40 P</v>
      </c>
    </row>
    <row r="726" spans="1:8" x14ac:dyDescent="0.25">
      <c r="A726" t="s">
        <v>4604</v>
      </c>
      <c r="B726">
        <v>2018</v>
      </c>
      <c r="C726" t="s">
        <v>4605</v>
      </c>
      <c r="D726" t="s">
        <v>4606</v>
      </c>
      <c r="E726" t="s">
        <v>3253</v>
      </c>
      <c r="F726" s="3">
        <v>0.45054945054945</v>
      </c>
      <c r="G726">
        <v>14</v>
      </c>
      <c r="H726" t="str">
        <f t="shared" si="11"/>
        <v>3.Mayor a 10 P</v>
      </c>
    </row>
    <row r="727" spans="1:8" x14ac:dyDescent="0.25">
      <c r="A727" t="s">
        <v>4607</v>
      </c>
      <c r="B727">
        <v>2018</v>
      </c>
      <c r="C727" t="s">
        <v>4608</v>
      </c>
      <c r="D727" t="s">
        <v>4609</v>
      </c>
      <c r="E727" t="s">
        <v>3253</v>
      </c>
      <c r="F727" s="3">
        <v>0.45054945054945</v>
      </c>
      <c r="G727">
        <v>12</v>
      </c>
      <c r="H727" t="str">
        <f t="shared" si="11"/>
        <v>3.Mayor a 10 P</v>
      </c>
    </row>
    <row r="728" spans="1:8" x14ac:dyDescent="0.25">
      <c r="A728" t="s">
        <v>4610</v>
      </c>
      <c r="B728">
        <v>2018</v>
      </c>
      <c r="C728" t="s">
        <v>4611</v>
      </c>
      <c r="D728" t="s">
        <v>4612</v>
      </c>
      <c r="E728" t="s">
        <v>3253</v>
      </c>
      <c r="F728" s="3">
        <v>0.45054945054945</v>
      </c>
      <c r="G728">
        <v>2</v>
      </c>
      <c r="H728" t="str">
        <f t="shared" si="11"/>
        <v>2.Menor a 10 P</v>
      </c>
    </row>
    <row r="729" spans="1:8" x14ac:dyDescent="0.25">
      <c r="A729" t="s">
        <v>4613</v>
      </c>
      <c r="B729">
        <v>2018</v>
      </c>
      <c r="C729" t="s">
        <v>4614</v>
      </c>
      <c r="D729" t="s">
        <v>4615</v>
      </c>
      <c r="E729" t="s">
        <v>3253</v>
      </c>
      <c r="F729" s="3">
        <v>0.45054945054945</v>
      </c>
      <c r="G729">
        <v>1</v>
      </c>
      <c r="H729" t="str">
        <f t="shared" si="11"/>
        <v>2.Menor a 10 P</v>
      </c>
    </row>
    <row r="730" spans="1:8" x14ac:dyDescent="0.25">
      <c r="A730" t="s">
        <v>4616</v>
      </c>
      <c r="B730">
        <v>2018</v>
      </c>
      <c r="C730" t="s">
        <v>4617</v>
      </c>
      <c r="D730" t="s">
        <v>4618</v>
      </c>
      <c r="E730" t="s">
        <v>3253</v>
      </c>
      <c r="F730" s="3">
        <v>0.45054945054945</v>
      </c>
      <c r="G730">
        <v>30</v>
      </c>
      <c r="H730" t="str">
        <f t="shared" si="11"/>
        <v>4.Mayor a 20 P</v>
      </c>
    </row>
    <row r="731" spans="1:8" x14ac:dyDescent="0.25">
      <c r="A731" t="s">
        <v>4619</v>
      </c>
      <c r="B731">
        <v>2019</v>
      </c>
      <c r="C731" t="s">
        <v>4620</v>
      </c>
      <c r="D731" t="s">
        <v>4621</v>
      </c>
      <c r="E731" t="s">
        <v>3253</v>
      </c>
      <c r="F731" s="3">
        <v>0.45054945054945</v>
      </c>
      <c r="G731">
        <v>119</v>
      </c>
      <c r="H731" t="str">
        <f t="shared" si="11"/>
        <v>7.Mayor a 100 P</v>
      </c>
    </row>
    <row r="732" spans="1:8" x14ac:dyDescent="0.25">
      <c r="A732" t="s">
        <v>4622</v>
      </c>
      <c r="B732">
        <v>2019</v>
      </c>
      <c r="C732" t="s">
        <v>4623</v>
      </c>
      <c r="D732" t="s">
        <v>4624</v>
      </c>
      <c r="E732" t="s">
        <v>3253</v>
      </c>
      <c r="F732" s="3">
        <v>0.45054945054945</v>
      </c>
      <c r="G732">
        <v>7</v>
      </c>
      <c r="H732" t="str">
        <f t="shared" si="11"/>
        <v>2.Menor a 10 P</v>
      </c>
    </row>
    <row r="733" spans="1:8" x14ac:dyDescent="0.25">
      <c r="A733" t="s">
        <v>4625</v>
      </c>
      <c r="B733">
        <v>2019</v>
      </c>
      <c r="C733" t="s">
        <v>4626</v>
      </c>
      <c r="D733" t="s">
        <v>4627</v>
      </c>
      <c r="E733" t="s">
        <v>3253</v>
      </c>
      <c r="F733" s="3">
        <v>0.45054945054945</v>
      </c>
      <c r="G733">
        <v>16</v>
      </c>
      <c r="H733" t="str">
        <f t="shared" si="11"/>
        <v>3.Mayor a 10 P</v>
      </c>
    </row>
    <row r="734" spans="1:8" x14ac:dyDescent="0.25">
      <c r="A734" t="s">
        <v>4628</v>
      </c>
      <c r="B734">
        <v>2019</v>
      </c>
      <c r="C734" t="s">
        <v>4629</v>
      </c>
      <c r="D734" t="s">
        <v>4630</v>
      </c>
      <c r="E734" t="s">
        <v>3253</v>
      </c>
      <c r="F734" s="3">
        <v>0.45054945054945</v>
      </c>
      <c r="G734">
        <v>12</v>
      </c>
      <c r="H734" t="str">
        <f t="shared" si="11"/>
        <v>3.Mayor a 10 P</v>
      </c>
    </row>
    <row r="735" spans="1:8" x14ac:dyDescent="0.25">
      <c r="A735" t="s">
        <v>4631</v>
      </c>
      <c r="B735">
        <v>2019</v>
      </c>
      <c r="C735" t="s">
        <v>4632</v>
      </c>
      <c r="D735" t="s">
        <v>4633</v>
      </c>
      <c r="E735" t="s">
        <v>3253</v>
      </c>
      <c r="F735" s="3">
        <v>0.45054945054945</v>
      </c>
      <c r="G735">
        <v>35</v>
      </c>
      <c r="H735" t="str">
        <f t="shared" si="11"/>
        <v>4.Mayor a 20 P</v>
      </c>
    </row>
    <row r="736" spans="1:8" x14ac:dyDescent="0.25">
      <c r="A736" t="s">
        <v>4634</v>
      </c>
      <c r="B736">
        <v>2019</v>
      </c>
      <c r="C736" t="s">
        <v>4635</v>
      </c>
      <c r="D736" t="s">
        <v>4636</v>
      </c>
      <c r="E736" t="s">
        <v>3253</v>
      </c>
      <c r="F736" s="3">
        <v>0.45054945054945</v>
      </c>
      <c r="G736">
        <v>22</v>
      </c>
      <c r="H736" t="str">
        <f t="shared" si="11"/>
        <v>4.Mayor a 20 P</v>
      </c>
    </row>
    <row r="737" spans="1:8" x14ac:dyDescent="0.25">
      <c r="A737" t="s">
        <v>4637</v>
      </c>
      <c r="B737">
        <v>2019</v>
      </c>
      <c r="C737" t="s">
        <v>4638</v>
      </c>
      <c r="D737" t="s">
        <v>4639</v>
      </c>
      <c r="E737" t="s">
        <v>3253</v>
      </c>
      <c r="F737" s="3">
        <v>0.45054945054945</v>
      </c>
      <c r="G737">
        <v>27</v>
      </c>
      <c r="H737" t="str">
        <f t="shared" si="11"/>
        <v>4.Mayor a 20 P</v>
      </c>
    </row>
    <row r="738" spans="1:8" x14ac:dyDescent="0.25">
      <c r="A738" t="s">
        <v>4640</v>
      </c>
      <c r="B738">
        <v>2019</v>
      </c>
      <c r="C738" t="s">
        <v>4641</v>
      </c>
      <c r="D738" t="s">
        <v>4642</v>
      </c>
      <c r="E738" t="s">
        <v>3253</v>
      </c>
      <c r="F738" s="3">
        <v>0.45054945054945</v>
      </c>
      <c r="G738">
        <v>12</v>
      </c>
      <c r="H738" t="str">
        <f t="shared" si="11"/>
        <v>3.Mayor a 10 P</v>
      </c>
    </row>
    <row r="739" spans="1:8" x14ac:dyDescent="0.25">
      <c r="A739" t="s">
        <v>4643</v>
      </c>
      <c r="B739">
        <v>2019</v>
      </c>
      <c r="C739" t="s">
        <v>4644</v>
      </c>
      <c r="D739" t="s">
        <v>4645</v>
      </c>
      <c r="E739" t="s">
        <v>3253</v>
      </c>
      <c r="F739" s="3">
        <v>0.45054945054945</v>
      </c>
      <c r="G739">
        <v>30</v>
      </c>
      <c r="H739" t="str">
        <f t="shared" si="11"/>
        <v>4.Mayor a 20 P</v>
      </c>
    </row>
    <row r="740" spans="1:8" x14ac:dyDescent="0.25">
      <c r="A740" t="s">
        <v>4646</v>
      </c>
      <c r="B740">
        <v>2018</v>
      </c>
      <c r="C740" t="s">
        <v>4647</v>
      </c>
      <c r="D740" t="s">
        <v>4648</v>
      </c>
      <c r="E740" t="s">
        <v>3253</v>
      </c>
      <c r="F740" s="3">
        <v>0.45054945054945</v>
      </c>
      <c r="G740">
        <v>14</v>
      </c>
      <c r="H740" t="str">
        <f t="shared" si="11"/>
        <v>3.Mayor a 10 P</v>
      </c>
    </row>
    <row r="741" spans="1:8" x14ac:dyDescent="0.25">
      <c r="A741" t="s">
        <v>4649</v>
      </c>
      <c r="B741">
        <v>2019</v>
      </c>
      <c r="C741" t="s">
        <v>2604</v>
      </c>
      <c r="D741" t="s">
        <v>4650</v>
      </c>
      <c r="E741" t="s">
        <v>3253</v>
      </c>
      <c r="F741" s="3">
        <v>0.45054945054945</v>
      </c>
      <c r="G741">
        <v>3</v>
      </c>
      <c r="H741" t="str">
        <f t="shared" si="11"/>
        <v>2.Menor a 10 P</v>
      </c>
    </row>
    <row r="742" spans="1:8" x14ac:dyDescent="0.25">
      <c r="A742" t="s">
        <v>4651</v>
      </c>
      <c r="B742">
        <v>2019</v>
      </c>
      <c r="C742" t="s">
        <v>4652</v>
      </c>
      <c r="D742" t="s">
        <v>4653</v>
      </c>
      <c r="E742" t="s">
        <v>3253</v>
      </c>
      <c r="F742" s="3">
        <v>0.45054945054945</v>
      </c>
      <c r="G742">
        <v>15</v>
      </c>
      <c r="H742" t="str">
        <f t="shared" si="11"/>
        <v>3.Mayor a 10 P</v>
      </c>
    </row>
    <row r="743" spans="1:8" x14ac:dyDescent="0.25">
      <c r="A743" t="s">
        <v>4654</v>
      </c>
      <c r="B743">
        <v>2019</v>
      </c>
      <c r="C743" t="s">
        <v>4655</v>
      </c>
      <c r="D743" t="s">
        <v>4656</v>
      </c>
      <c r="E743" t="s">
        <v>3253</v>
      </c>
      <c r="F743" s="3">
        <v>0.45054945054945</v>
      </c>
      <c r="G743">
        <v>57</v>
      </c>
      <c r="H743" t="str">
        <f t="shared" si="11"/>
        <v>5.Mayor a 40 P</v>
      </c>
    </row>
    <row r="744" spans="1:8" x14ac:dyDescent="0.25">
      <c r="A744" t="s">
        <v>4657</v>
      </c>
      <c r="B744">
        <v>2019</v>
      </c>
      <c r="C744" t="s">
        <v>4658</v>
      </c>
      <c r="D744" t="s">
        <v>4659</v>
      </c>
      <c r="E744" t="s">
        <v>3253</v>
      </c>
      <c r="F744" s="3">
        <v>0.45054945054945</v>
      </c>
      <c r="G744">
        <v>53</v>
      </c>
      <c r="H744" t="str">
        <f t="shared" si="11"/>
        <v>5.Mayor a 40 P</v>
      </c>
    </row>
    <row r="745" spans="1:8" x14ac:dyDescent="0.25">
      <c r="A745" t="s">
        <v>4660</v>
      </c>
      <c r="B745">
        <v>2019</v>
      </c>
      <c r="C745" t="s">
        <v>4661</v>
      </c>
      <c r="D745" t="s">
        <v>4662</v>
      </c>
      <c r="E745" t="s">
        <v>3253</v>
      </c>
      <c r="F745" s="3">
        <v>0.45054945054945</v>
      </c>
      <c r="G745">
        <v>8</v>
      </c>
      <c r="H745" t="str">
        <f t="shared" si="11"/>
        <v>2.Menor a 10 P</v>
      </c>
    </row>
    <row r="746" spans="1:8" x14ac:dyDescent="0.25">
      <c r="A746" t="s">
        <v>4663</v>
      </c>
      <c r="B746">
        <v>2019</v>
      </c>
      <c r="C746" t="s">
        <v>2604</v>
      </c>
      <c r="D746" t="s">
        <v>4664</v>
      </c>
      <c r="E746" t="s">
        <v>3253</v>
      </c>
      <c r="F746" s="3">
        <v>0.45054945054945</v>
      </c>
      <c r="G746">
        <v>12</v>
      </c>
      <c r="H746" t="str">
        <f t="shared" si="11"/>
        <v>3.Mayor a 10 P</v>
      </c>
    </row>
    <row r="747" spans="1:8" x14ac:dyDescent="0.25">
      <c r="A747" t="s">
        <v>4665</v>
      </c>
      <c r="B747">
        <v>2019</v>
      </c>
      <c r="C747" t="s">
        <v>4666</v>
      </c>
      <c r="D747" t="s">
        <v>4667</v>
      </c>
      <c r="E747" t="s">
        <v>3253</v>
      </c>
      <c r="F747" s="3">
        <v>0.45054945054945</v>
      </c>
      <c r="G747">
        <v>6</v>
      </c>
      <c r="H747" t="str">
        <f t="shared" si="11"/>
        <v>2.Menor a 10 P</v>
      </c>
    </row>
    <row r="748" spans="1:8" x14ac:dyDescent="0.25">
      <c r="A748" t="s">
        <v>4668</v>
      </c>
      <c r="B748">
        <v>2019</v>
      </c>
      <c r="C748" t="s">
        <v>4669</v>
      </c>
      <c r="D748" t="s">
        <v>4670</v>
      </c>
      <c r="E748" t="s">
        <v>3253</v>
      </c>
      <c r="F748" s="3">
        <v>0.45054945054945</v>
      </c>
      <c r="G748">
        <v>28</v>
      </c>
      <c r="H748" t="str">
        <f t="shared" si="11"/>
        <v>4.Mayor a 20 P</v>
      </c>
    </row>
    <row r="749" spans="1:8" x14ac:dyDescent="0.25">
      <c r="A749" t="s">
        <v>4671</v>
      </c>
      <c r="B749">
        <v>2018</v>
      </c>
      <c r="C749" t="s">
        <v>4672</v>
      </c>
      <c r="D749" t="s">
        <v>4673</v>
      </c>
      <c r="E749" t="s">
        <v>2924</v>
      </c>
      <c r="F749" s="3">
        <v>0.45054945054945</v>
      </c>
      <c r="G749">
        <v>5</v>
      </c>
      <c r="H749" t="str">
        <f t="shared" si="11"/>
        <v>2.Menor a 10 P</v>
      </c>
    </row>
    <row r="750" spans="1:8" x14ac:dyDescent="0.25">
      <c r="A750" t="s">
        <v>4674</v>
      </c>
      <c r="B750">
        <v>2019</v>
      </c>
      <c r="C750" t="s">
        <v>4675</v>
      </c>
      <c r="D750" t="s">
        <v>4676</v>
      </c>
      <c r="E750" t="s">
        <v>3253</v>
      </c>
      <c r="F750" s="3">
        <v>0.45054945054945</v>
      </c>
      <c r="G750">
        <v>124</v>
      </c>
      <c r="H750" t="str">
        <f t="shared" si="11"/>
        <v>7.Mayor a 100 P</v>
      </c>
    </row>
    <row r="751" spans="1:8" x14ac:dyDescent="0.25">
      <c r="A751" t="s">
        <v>4677</v>
      </c>
      <c r="B751">
        <v>2019</v>
      </c>
      <c r="C751" t="s">
        <v>4678</v>
      </c>
      <c r="D751" t="s">
        <v>4679</v>
      </c>
      <c r="E751" t="s">
        <v>3253</v>
      </c>
      <c r="F751" s="3">
        <v>0.45054945054945</v>
      </c>
      <c r="G751">
        <v>21</v>
      </c>
      <c r="H751" t="str">
        <f t="shared" si="11"/>
        <v>4.Mayor a 20 P</v>
      </c>
    </row>
    <row r="752" spans="1:8" x14ac:dyDescent="0.25">
      <c r="A752" t="s">
        <v>4680</v>
      </c>
      <c r="B752">
        <v>2019</v>
      </c>
      <c r="C752" t="s">
        <v>2604</v>
      </c>
      <c r="D752" t="s">
        <v>4681</v>
      </c>
      <c r="E752" t="s">
        <v>3253</v>
      </c>
      <c r="F752" s="3">
        <v>0.45054945054945</v>
      </c>
      <c r="G752">
        <v>3</v>
      </c>
      <c r="H752" t="str">
        <f t="shared" si="11"/>
        <v>2.Menor a 10 P</v>
      </c>
    </row>
    <row r="753" spans="1:8" x14ac:dyDescent="0.25">
      <c r="A753" t="s">
        <v>4682</v>
      </c>
      <c r="B753">
        <v>2018</v>
      </c>
      <c r="C753" t="s">
        <v>4683</v>
      </c>
      <c r="D753" t="s">
        <v>4684</v>
      </c>
      <c r="E753" t="s">
        <v>3253</v>
      </c>
      <c r="F753" s="3">
        <v>0.45054945054945</v>
      </c>
      <c r="G753">
        <v>29</v>
      </c>
      <c r="H753" t="str">
        <f t="shared" si="11"/>
        <v>4.Mayor a 20 P</v>
      </c>
    </row>
    <row r="754" spans="1:8" x14ac:dyDescent="0.25">
      <c r="A754" t="s">
        <v>4685</v>
      </c>
      <c r="B754">
        <v>2018</v>
      </c>
      <c r="C754" t="s">
        <v>4686</v>
      </c>
      <c r="D754" t="s">
        <v>4687</v>
      </c>
      <c r="E754" t="s">
        <v>3253</v>
      </c>
      <c r="F754" s="3">
        <v>0.45054945054945</v>
      </c>
      <c r="G754">
        <v>6</v>
      </c>
      <c r="H754" t="str">
        <f t="shared" si="11"/>
        <v>2.Menor a 10 P</v>
      </c>
    </row>
    <row r="755" spans="1:8" x14ac:dyDescent="0.25">
      <c r="A755" t="s">
        <v>4688</v>
      </c>
      <c r="B755">
        <v>2018</v>
      </c>
      <c r="C755" t="s">
        <v>2604</v>
      </c>
      <c r="D755" t="s">
        <v>4689</v>
      </c>
      <c r="E755" t="s">
        <v>3253</v>
      </c>
      <c r="F755" s="3">
        <v>0.45054945054945</v>
      </c>
      <c r="G755">
        <v>2</v>
      </c>
      <c r="H755" t="str">
        <f t="shared" si="11"/>
        <v>2.Menor a 10 P</v>
      </c>
    </row>
    <row r="756" spans="1:8" x14ac:dyDescent="0.25">
      <c r="A756" t="s">
        <v>4690</v>
      </c>
      <c r="B756">
        <v>2018</v>
      </c>
      <c r="C756" t="s">
        <v>4691</v>
      </c>
      <c r="D756" t="s">
        <v>4692</v>
      </c>
      <c r="E756" t="s">
        <v>3253</v>
      </c>
      <c r="F756" s="3">
        <v>0.45054945054945</v>
      </c>
      <c r="G756">
        <v>21</v>
      </c>
      <c r="H756" t="str">
        <f t="shared" si="11"/>
        <v>4.Mayor a 20 P</v>
      </c>
    </row>
    <row r="757" spans="1:8" x14ac:dyDescent="0.25">
      <c r="A757" t="s">
        <v>4693</v>
      </c>
      <c r="B757">
        <v>2018</v>
      </c>
      <c r="C757" t="s">
        <v>4694</v>
      </c>
      <c r="D757" t="s">
        <v>4695</v>
      </c>
      <c r="E757" t="s">
        <v>3253</v>
      </c>
      <c r="F757" s="3">
        <v>0.45054945054945</v>
      </c>
      <c r="G757">
        <v>55</v>
      </c>
      <c r="H757" t="str">
        <f t="shared" si="11"/>
        <v>5.Mayor a 40 P</v>
      </c>
    </row>
    <row r="758" spans="1:8" x14ac:dyDescent="0.25">
      <c r="A758" t="s">
        <v>4696</v>
      </c>
      <c r="B758">
        <v>2019</v>
      </c>
      <c r="C758" t="s">
        <v>4697</v>
      </c>
      <c r="D758" t="s">
        <v>4698</v>
      </c>
      <c r="E758" t="s">
        <v>3253</v>
      </c>
      <c r="F758" s="3">
        <v>0.45054945054945</v>
      </c>
      <c r="G758">
        <v>30</v>
      </c>
      <c r="H758" t="str">
        <f t="shared" si="11"/>
        <v>4.Mayor a 20 P</v>
      </c>
    </row>
    <row r="759" spans="1:8" x14ac:dyDescent="0.25">
      <c r="A759" t="s">
        <v>4699</v>
      </c>
      <c r="B759">
        <v>2019</v>
      </c>
      <c r="C759" t="s">
        <v>4700</v>
      </c>
      <c r="D759" t="s">
        <v>4701</v>
      </c>
      <c r="E759" t="s">
        <v>3253</v>
      </c>
      <c r="F759" s="3">
        <v>0.45054945054945</v>
      </c>
      <c r="G759">
        <v>14</v>
      </c>
      <c r="H759" t="str">
        <f t="shared" si="11"/>
        <v>3.Mayor a 10 P</v>
      </c>
    </row>
    <row r="760" spans="1:8" x14ac:dyDescent="0.25">
      <c r="A760" t="s">
        <v>4702</v>
      </c>
      <c r="B760">
        <v>2019</v>
      </c>
      <c r="C760" t="s">
        <v>4703</v>
      </c>
      <c r="D760" t="s">
        <v>4704</v>
      </c>
      <c r="E760" t="s">
        <v>3253</v>
      </c>
      <c r="F760" s="3">
        <v>0.45054945054945</v>
      </c>
      <c r="G760">
        <v>22</v>
      </c>
      <c r="H760" t="str">
        <f t="shared" si="11"/>
        <v>4.Mayor a 20 P</v>
      </c>
    </row>
    <row r="761" spans="1:8" x14ac:dyDescent="0.25">
      <c r="A761" t="s">
        <v>4705</v>
      </c>
      <c r="B761">
        <v>2019</v>
      </c>
      <c r="C761" t="s">
        <v>4706</v>
      </c>
      <c r="D761" t="s">
        <v>4707</v>
      </c>
      <c r="E761" t="s">
        <v>3253</v>
      </c>
      <c r="F761" s="3">
        <v>0.45054945054945</v>
      </c>
      <c r="G761">
        <v>101</v>
      </c>
      <c r="H761" t="str">
        <f t="shared" si="11"/>
        <v>7.Mayor a 100 P</v>
      </c>
    </row>
    <row r="762" spans="1:8" x14ac:dyDescent="0.25">
      <c r="A762" t="s">
        <v>4708</v>
      </c>
      <c r="B762">
        <v>2019</v>
      </c>
      <c r="C762" t="s">
        <v>4709</v>
      </c>
      <c r="D762" t="s">
        <v>4710</v>
      </c>
      <c r="E762" t="s">
        <v>3253</v>
      </c>
      <c r="F762" s="3">
        <v>0.45054945054945</v>
      </c>
      <c r="G762">
        <v>26</v>
      </c>
      <c r="H762" t="str">
        <f t="shared" si="11"/>
        <v>4.Mayor a 20 P</v>
      </c>
    </row>
    <row r="763" spans="1:8" x14ac:dyDescent="0.25">
      <c r="A763" t="s">
        <v>4711</v>
      </c>
      <c r="B763">
        <v>2019</v>
      </c>
      <c r="C763" t="s">
        <v>4712</v>
      </c>
      <c r="D763" t="s">
        <v>4713</v>
      </c>
      <c r="E763" t="s">
        <v>3253</v>
      </c>
      <c r="F763" s="3">
        <v>0.45054945054945</v>
      </c>
      <c r="G763">
        <v>6</v>
      </c>
      <c r="H763" t="str">
        <f t="shared" si="11"/>
        <v>2.Menor a 10 P</v>
      </c>
    </row>
    <row r="764" spans="1:8" x14ac:dyDescent="0.25">
      <c r="A764" t="s">
        <v>4714</v>
      </c>
      <c r="B764">
        <v>2019</v>
      </c>
      <c r="C764" t="s">
        <v>2604</v>
      </c>
      <c r="D764" t="s">
        <v>4715</v>
      </c>
      <c r="E764" t="s">
        <v>3253</v>
      </c>
      <c r="F764" s="3">
        <v>0.45054945054945</v>
      </c>
      <c r="G764">
        <v>19</v>
      </c>
      <c r="H764" t="str">
        <f t="shared" si="11"/>
        <v>3.Mayor a 10 P</v>
      </c>
    </row>
    <row r="765" spans="1:8" x14ac:dyDescent="0.25">
      <c r="A765" t="s">
        <v>4716</v>
      </c>
      <c r="B765">
        <v>2019</v>
      </c>
      <c r="C765" t="s">
        <v>4717</v>
      </c>
      <c r="D765" t="s">
        <v>4718</v>
      </c>
      <c r="E765" t="s">
        <v>3253</v>
      </c>
      <c r="F765" s="3">
        <v>0.45054945054945</v>
      </c>
      <c r="G765">
        <v>19</v>
      </c>
      <c r="H765" t="str">
        <f t="shared" si="11"/>
        <v>3.Mayor a 10 P</v>
      </c>
    </row>
    <row r="766" spans="1:8" x14ac:dyDescent="0.25">
      <c r="A766" t="s">
        <v>4719</v>
      </c>
      <c r="B766">
        <v>2019</v>
      </c>
      <c r="C766" t="s">
        <v>4720</v>
      </c>
      <c r="D766" t="s">
        <v>4721</v>
      </c>
      <c r="E766" t="s">
        <v>3253</v>
      </c>
      <c r="F766" s="3">
        <v>0.45054945054945</v>
      </c>
      <c r="G766">
        <v>4</v>
      </c>
      <c r="H766" t="str">
        <f t="shared" si="11"/>
        <v>2.Menor a 10 P</v>
      </c>
    </row>
    <row r="767" spans="1:8" x14ac:dyDescent="0.25">
      <c r="A767" t="s">
        <v>4722</v>
      </c>
      <c r="B767">
        <v>2019</v>
      </c>
      <c r="C767" t="s">
        <v>4723</v>
      </c>
      <c r="D767" t="s">
        <v>4724</v>
      </c>
      <c r="E767" t="s">
        <v>3253</v>
      </c>
      <c r="F767" s="3">
        <v>0.45054945054945</v>
      </c>
      <c r="G767">
        <v>6</v>
      </c>
      <c r="H767" t="str">
        <f t="shared" si="11"/>
        <v>2.Menor a 10 P</v>
      </c>
    </row>
    <row r="768" spans="1:8" x14ac:dyDescent="0.25">
      <c r="A768" t="s">
        <v>4725</v>
      </c>
      <c r="B768">
        <v>2019</v>
      </c>
      <c r="C768" t="s">
        <v>4726</v>
      </c>
      <c r="D768" t="s">
        <v>4727</v>
      </c>
      <c r="E768" t="s">
        <v>3253</v>
      </c>
      <c r="F768" s="3">
        <v>0.45054945054945</v>
      </c>
      <c r="G768">
        <v>4</v>
      </c>
      <c r="H768" t="str">
        <f t="shared" si="11"/>
        <v>2.Menor a 10 P</v>
      </c>
    </row>
    <row r="769" spans="1:8" x14ac:dyDescent="0.25">
      <c r="A769" t="s">
        <v>4728</v>
      </c>
      <c r="B769">
        <v>2019</v>
      </c>
      <c r="C769" t="s">
        <v>4729</v>
      </c>
      <c r="D769" t="s">
        <v>4730</v>
      </c>
      <c r="E769" t="s">
        <v>3253</v>
      </c>
      <c r="F769" s="3">
        <v>0.45054945054945</v>
      </c>
      <c r="G769">
        <v>14</v>
      </c>
      <c r="H769" t="str">
        <f t="shared" si="11"/>
        <v>3.Mayor a 10 P</v>
      </c>
    </row>
    <row r="770" spans="1:8" x14ac:dyDescent="0.25">
      <c r="A770" t="s">
        <v>4731</v>
      </c>
      <c r="B770">
        <v>2019</v>
      </c>
      <c r="C770" t="s">
        <v>4732</v>
      </c>
      <c r="D770" t="s">
        <v>4733</v>
      </c>
      <c r="E770" t="s">
        <v>3253</v>
      </c>
      <c r="F770" s="3">
        <v>0.45054945054945</v>
      </c>
      <c r="G770">
        <v>6</v>
      </c>
      <c r="H770" t="str">
        <f t="shared" si="11"/>
        <v>2.Menor a 10 P</v>
      </c>
    </row>
    <row r="771" spans="1:8" x14ac:dyDescent="0.25">
      <c r="A771" t="s">
        <v>4734</v>
      </c>
      <c r="B771">
        <v>2019</v>
      </c>
      <c r="C771" t="s">
        <v>4735</v>
      </c>
      <c r="D771" t="s">
        <v>4736</v>
      </c>
      <c r="E771" t="s">
        <v>3253</v>
      </c>
      <c r="F771" s="3">
        <v>0.45054945054945</v>
      </c>
      <c r="G771">
        <v>8</v>
      </c>
      <c r="H771" t="str">
        <f t="shared" ref="H771:H834" si="12">+IF(G771&gt;=100,"7.Mayor a 100 P",+IF(G771&gt;=70,"6.Mayor a 70 P",+IF(G771&gt;=40,"5.Mayor a 40 P",+IF(G771&gt;=20,"4.Mayor a 20 P",+IF(G771&gt;=10,"3.Mayor a 10 P",+IF(G771&lt;10,"2.Menor a 10 P",+IF(G771=0,"1.Sin Propiedades","Revsar")))))))</f>
        <v>2.Menor a 10 P</v>
      </c>
    </row>
    <row r="772" spans="1:8" x14ac:dyDescent="0.25">
      <c r="A772" t="s">
        <v>4737</v>
      </c>
      <c r="B772">
        <v>2019</v>
      </c>
      <c r="C772" t="s">
        <v>4738</v>
      </c>
      <c r="D772" t="s">
        <v>4739</v>
      </c>
      <c r="E772" t="s">
        <v>3253</v>
      </c>
      <c r="F772" s="3">
        <v>0.45054945054945</v>
      </c>
      <c r="G772">
        <v>2</v>
      </c>
      <c r="H772" t="str">
        <f t="shared" si="12"/>
        <v>2.Menor a 10 P</v>
      </c>
    </row>
    <row r="773" spans="1:8" x14ac:dyDescent="0.25">
      <c r="A773" t="s">
        <v>4740</v>
      </c>
      <c r="B773">
        <v>2019</v>
      </c>
      <c r="C773" t="s">
        <v>4741</v>
      </c>
      <c r="D773" t="s">
        <v>4742</v>
      </c>
      <c r="E773" t="s">
        <v>3253</v>
      </c>
      <c r="F773" s="3">
        <v>0.45054945054945</v>
      </c>
      <c r="G773">
        <v>2</v>
      </c>
      <c r="H773" t="str">
        <f t="shared" si="12"/>
        <v>2.Menor a 10 P</v>
      </c>
    </row>
    <row r="774" spans="1:8" x14ac:dyDescent="0.25">
      <c r="A774" t="s">
        <v>4743</v>
      </c>
      <c r="B774">
        <v>2019</v>
      </c>
      <c r="C774" t="s">
        <v>4744</v>
      </c>
      <c r="D774" t="s">
        <v>4745</v>
      </c>
      <c r="E774" t="s">
        <v>3253</v>
      </c>
      <c r="F774" s="3">
        <v>0.45054945054945</v>
      </c>
      <c r="G774">
        <v>1</v>
      </c>
      <c r="H774" t="str">
        <f t="shared" si="12"/>
        <v>2.Menor a 10 P</v>
      </c>
    </row>
    <row r="775" spans="1:8" x14ac:dyDescent="0.25">
      <c r="A775" t="s">
        <v>4746</v>
      </c>
      <c r="B775">
        <v>2019</v>
      </c>
      <c r="C775" t="s">
        <v>4747</v>
      </c>
      <c r="D775" t="s">
        <v>4748</v>
      </c>
      <c r="E775" t="s">
        <v>3253</v>
      </c>
      <c r="F775" s="3">
        <v>0.45054945054945</v>
      </c>
      <c r="G775">
        <v>44</v>
      </c>
      <c r="H775" t="str">
        <f t="shared" si="12"/>
        <v>5.Mayor a 40 P</v>
      </c>
    </row>
    <row r="776" spans="1:8" x14ac:dyDescent="0.25">
      <c r="A776" t="s">
        <v>4749</v>
      </c>
      <c r="B776">
        <v>2019</v>
      </c>
      <c r="C776" t="s">
        <v>4750</v>
      </c>
      <c r="D776" t="s">
        <v>4751</v>
      </c>
      <c r="E776" t="s">
        <v>3253</v>
      </c>
      <c r="F776" s="3">
        <v>0.45054945054945</v>
      </c>
      <c r="G776">
        <v>3</v>
      </c>
      <c r="H776" t="str">
        <f t="shared" si="12"/>
        <v>2.Menor a 10 P</v>
      </c>
    </row>
    <row r="777" spans="1:8" x14ac:dyDescent="0.25">
      <c r="A777" t="s">
        <v>4752</v>
      </c>
      <c r="B777">
        <v>2019</v>
      </c>
      <c r="C777" t="s">
        <v>4753</v>
      </c>
      <c r="D777" t="s">
        <v>4754</v>
      </c>
      <c r="E777" t="s">
        <v>2924</v>
      </c>
      <c r="F777" s="3">
        <v>0.45054945054945</v>
      </c>
      <c r="G777">
        <v>3</v>
      </c>
      <c r="H777" t="str">
        <f t="shared" si="12"/>
        <v>2.Menor a 10 P</v>
      </c>
    </row>
    <row r="778" spans="1:8" x14ac:dyDescent="0.25">
      <c r="A778" t="s">
        <v>4755</v>
      </c>
      <c r="B778">
        <v>2018</v>
      </c>
      <c r="C778" t="s">
        <v>4756</v>
      </c>
      <c r="D778" t="s">
        <v>4757</v>
      </c>
      <c r="E778" t="s">
        <v>3253</v>
      </c>
      <c r="F778" s="3">
        <v>0.45054945054945</v>
      </c>
      <c r="G778">
        <v>21</v>
      </c>
      <c r="H778" t="str">
        <f t="shared" si="12"/>
        <v>4.Mayor a 20 P</v>
      </c>
    </row>
    <row r="779" spans="1:8" x14ac:dyDescent="0.25">
      <c r="A779" t="s">
        <v>4758</v>
      </c>
      <c r="B779">
        <v>2018</v>
      </c>
      <c r="C779" t="s">
        <v>4759</v>
      </c>
      <c r="D779" t="s">
        <v>4760</v>
      </c>
      <c r="E779" t="s">
        <v>3253</v>
      </c>
      <c r="F779" s="3">
        <v>0.45054945054945</v>
      </c>
      <c r="G779">
        <v>111</v>
      </c>
      <c r="H779" t="str">
        <f t="shared" si="12"/>
        <v>7.Mayor a 100 P</v>
      </c>
    </row>
    <row r="780" spans="1:8" x14ac:dyDescent="0.25">
      <c r="A780" t="s">
        <v>4761</v>
      </c>
      <c r="B780">
        <v>2018</v>
      </c>
      <c r="C780" t="s">
        <v>4762</v>
      </c>
      <c r="D780" t="s">
        <v>4763</v>
      </c>
      <c r="E780" t="s">
        <v>3253</v>
      </c>
      <c r="F780" s="3">
        <v>0.45054945054945</v>
      </c>
      <c r="G780">
        <v>4</v>
      </c>
      <c r="H780" t="str">
        <f t="shared" si="12"/>
        <v>2.Menor a 10 P</v>
      </c>
    </row>
    <row r="781" spans="1:8" x14ac:dyDescent="0.25">
      <c r="A781" t="s">
        <v>4764</v>
      </c>
      <c r="B781">
        <v>2018</v>
      </c>
      <c r="C781" t="s">
        <v>4765</v>
      </c>
      <c r="D781" t="s">
        <v>4766</v>
      </c>
      <c r="E781" t="s">
        <v>3253</v>
      </c>
      <c r="F781" s="3">
        <v>0.45054945054945</v>
      </c>
      <c r="G781">
        <v>4</v>
      </c>
      <c r="H781" t="str">
        <f t="shared" si="12"/>
        <v>2.Menor a 10 P</v>
      </c>
    </row>
    <row r="782" spans="1:8" x14ac:dyDescent="0.25">
      <c r="A782" t="s">
        <v>4767</v>
      </c>
      <c r="B782">
        <v>2018</v>
      </c>
      <c r="C782" t="s">
        <v>4768</v>
      </c>
      <c r="D782" t="s">
        <v>4769</v>
      </c>
      <c r="E782" t="s">
        <v>3253</v>
      </c>
      <c r="F782" s="3">
        <v>0.45054945054945</v>
      </c>
      <c r="G782">
        <v>11</v>
      </c>
      <c r="H782" t="str">
        <f t="shared" si="12"/>
        <v>3.Mayor a 10 P</v>
      </c>
    </row>
    <row r="783" spans="1:8" x14ac:dyDescent="0.25">
      <c r="A783" t="s">
        <v>4770</v>
      </c>
      <c r="B783">
        <v>2018</v>
      </c>
      <c r="C783" t="s">
        <v>4771</v>
      </c>
      <c r="D783" t="s">
        <v>4772</v>
      </c>
      <c r="E783" t="s">
        <v>3253</v>
      </c>
      <c r="F783" s="3">
        <v>0.45054945054945</v>
      </c>
      <c r="G783">
        <v>23</v>
      </c>
      <c r="H783" t="str">
        <f t="shared" si="12"/>
        <v>4.Mayor a 20 P</v>
      </c>
    </row>
    <row r="784" spans="1:8" x14ac:dyDescent="0.25">
      <c r="A784" t="s">
        <v>4773</v>
      </c>
      <c r="B784">
        <v>2018</v>
      </c>
      <c r="C784" t="s">
        <v>4774</v>
      </c>
      <c r="D784" t="s">
        <v>4775</v>
      </c>
      <c r="E784" t="s">
        <v>3253</v>
      </c>
      <c r="F784" s="3">
        <v>0.45054945054945</v>
      </c>
      <c r="G784">
        <v>12</v>
      </c>
      <c r="H784" t="str">
        <f t="shared" si="12"/>
        <v>3.Mayor a 10 P</v>
      </c>
    </row>
    <row r="785" spans="1:8" x14ac:dyDescent="0.25">
      <c r="A785" t="s">
        <v>4776</v>
      </c>
      <c r="B785">
        <v>2019</v>
      </c>
      <c r="C785" t="s">
        <v>4777</v>
      </c>
      <c r="D785" t="s">
        <v>4778</v>
      </c>
      <c r="E785" t="s">
        <v>3253</v>
      </c>
      <c r="F785" s="3">
        <v>0.45054945054945</v>
      </c>
      <c r="G785">
        <v>120</v>
      </c>
      <c r="H785" t="str">
        <f t="shared" si="12"/>
        <v>7.Mayor a 100 P</v>
      </c>
    </row>
    <row r="786" spans="1:8" x14ac:dyDescent="0.25">
      <c r="A786" t="s">
        <v>4779</v>
      </c>
      <c r="B786">
        <v>2018</v>
      </c>
      <c r="C786" t="s">
        <v>4780</v>
      </c>
      <c r="D786" t="s">
        <v>4781</v>
      </c>
      <c r="E786" t="s">
        <v>3253</v>
      </c>
      <c r="F786" s="3">
        <v>0.45054945054945</v>
      </c>
      <c r="G786">
        <v>116</v>
      </c>
      <c r="H786" t="str">
        <f t="shared" si="12"/>
        <v>7.Mayor a 100 P</v>
      </c>
    </row>
    <row r="787" spans="1:8" x14ac:dyDescent="0.25">
      <c r="A787" t="s">
        <v>4782</v>
      </c>
      <c r="B787">
        <v>2018</v>
      </c>
      <c r="C787" t="s">
        <v>4783</v>
      </c>
      <c r="D787" t="s">
        <v>4784</v>
      </c>
      <c r="E787" t="s">
        <v>3253</v>
      </c>
      <c r="F787" s="3">
        <v>0.45054945054945</v>
      </c>
      <c r="G787">
        <v>54</v>
      </c>
      <c r="H787" t="str">
        <f t="shared" si="12"/>
        <v>5.Mayor a 40 P</v>
      </c>
    </row>
    <row r="788" spans="1:8" x14ac:dyDescent="0.25">
      <c r="A788" t="s">
        <v>4785</v>
      </c>
      <c r="B788">
        <v>2018</v>
      </c>
      <c r="C788" t="s">
        <v>4786</v>
      </c>
      <c r="D788" t="s">
        <v>4787</v>
      </c>
      <c r="E788" t="s">
        <v>3253</v>
      </c>
      <c r="F788" s="3">
        <v>0.45054945054945</v>
      </c>
      <c r="G788">
        <v>21</v>
      </c>
      <c r="H788" t="str">
        <f t="shared" si="12"/>
        <v>4.Mayor a 20 P</v>
      </c>
    </row>
    <row r="789" spans="1:8" x14ac:dyDescent="0.25">
      <c r="A789" t="s">
        <v>4788</v>
      </c>
      <c r="B789">
        <v>2018</v>
      </c>
      <c r="C789" t="s">
        <v>4789</v>
      </c>
      <c r="D789" t="s">
        <v>4790</v>
      </c>
      <c r="E789" t="s">
        <v>3253</v>
      </c>
      <c r="F789" s="3">
        <v>0.45054945054945</v>
      </c>
      <c r="G789">
        <v>29</v>
      </c>
      <c r="H789" t="str">
        <f t="shared" si="12"/>
        <v>4.Mayor a 20 P</v>
      </c>
    </row>
    <row r="790" spans="1:8" x14ac:dyDescent="0.25">
      <c r="A790" t="s">
        <v>4791</v>
      </c>
      <c r="B790">
        <v>2018</v>
      </c>
      <c r="C790" t="s">
        <v>4792</v>
      </c>
      <c r="D790" t="s">
        <v>4793</v>
      </c>
      <c r="E790" t="s">
        <v>3253</v>
      </c>
      <c r="F790" s="3">
        <v>0.45054945054945</v>
      </c>
      <c r="G790">
        <v>110</v>
      </c>
      <c r="H790" t="str">
        <f t="shared" si="12"/>
        <v>7.Mayor a 100 P</v>
      </c>
    </row>
    <row r="791" spans="1:8" x14ac:dyDescent="0.25">
      <c r="A791" t="s">
        <v>4794</v>
      </c>
      <c r="B791">
        <v>2018</v>
      </c>
      <c r="C791" t="s">
        <v>4795</v>
      </c>
      <c r="D791" t="s">
        <v>4796</v>
      </c>
      <c r="E791" t="s">
        <v>3253</v>
      </c>
      <c r="F791" s="3">
        <v>0.45054945054945</v>
      </c>
      <c r="G791">
        <v>33</v>
      </c>
      <c r="H791" t="str">
        <f t="shared" si="12"/>
        <v>4.Mayor a 20 P</v>
      </c>
    </row>
    <row r="792" spans="1:8" x14ac:dyDescent="0.25">
      <c r="A792" t="s">
        <v>4797</v>
      </c>
      <c r="B792">
        <v>2019</v>
      </c>
      <c r="C792" t="s">
        <v>4798</v>
      </c>
      <c r="D792" t="s">
        <v>4799</v>
      </c>
      <c r="E792" t="s">
        <v>3253</v>
      </c>
      <c r="F792" s="3">
        <v>0.45054945054945</v>
      </c>
      <c r="G792">
        <v>3</v>
      </c>
      <c r="H792" t="str">
        <f t="shared" si="12"/>
        <v>2.Menor a 10 P</v>
      </c>
    </row>
    <row r="793" spans="1:8" x14ac:dyDescent="0.25">
      <c r="A793" t="s">
        <v>4800</v>
      </c>
      <c r="B793">
        <v>2019</v>
      </c>
      <c r="C793" t="s">
        <v>2604</v>
      </c>
      <c r="D793" t="s">
        <v>4801</v>
      </c>
      <c r="E793" t="s">
        <v>3253</v>
      </c>
      <c r="F793" s="3">
        <v>0.45054945054945</v>
      </c>
      <c r="G793">
        <v>9</v>
      </c>
      <c r="H793" t="str">
        <f t="shared" si="12"/>
        <v>2.Menor a 10 P</v>
      </c>
    </row>
    <row r="794" spans="1:8" x14ac:dyDescent="0.25">
      <c r="A794" t="s">
        <v>4802</v>
      </c>
      <c r="B794">
        <v>2019</v>
      </c>
      <c r="C794" t="s">
        <v>4803</v>
      </c>
      <c r="D794" t="s">
        <v>4804</v>
      </c>
      <c r="E794" t="s">
        <v>3253</v>
      </c>
      <c r="F794" s="3">
        <v>0.45054945054945</v>
      </c>
      <c r="G794">
        <v>17</v>
      </c>
      <c r="H794" t="str">
        <f t="shared" si="12"/>
        <v>3.Mayor a 10 P</v>
      </c>
    </row>
    <row r="795" spans="1:8" x14ac:dyDescent="0.25">
      <c r="A795" t="s">
        <v>4805</v>
      </c>
      <c r="B795">
        <v>2018</v>
      </c>
      <c r="C795" t="s">
        <v>4806</v>
      </c>
      <c r="D795" t="s">
        <v>4807</v>
      </c>
      <c r="E795" t="s">
        <v>3253</v>
      </c>
      <c r="F795" s="3">
        <v>0.45054945054945</v>
      </c>
      <c r="G795">
        <v>56</v>
      </c>
      <c r="H795" t="str">
        <f t="shared" si="12"/>
        <v>5.Mayor a 40 P</v>
      </c>
    </row>
    <row r="796" spans="1:8" x14ac:dyDescent="0.25">
      <c r="A796" t="s">
        <v>4808</v>
      </c>
      <c r="B796">
        <v>2021</v>
      </c>
      <c r="C796" t="s">
        <v>4809</v>
      </c>
      <c r="D796" t="s">
        <v>4810</v>
      </c>
      <c r="E796" t="s">
        <v>3253</v>
      </c>
      <c r="F796" s="3">
        <v>0.439560439560439</v>
      </c>
      <c r="G796">
        <v>17</v>
      </c>
      <c r="H796" t="str">
        <f t="shared" si="12"/>
        <v>3.Mayor a 10 P</v>
      </c>
    </row>
    <row r="797" spans="1:8" x14ac:dyDescent="0.25">
      <c r="A797" t="s">
        <v>4811</v>
      </c>
      <c r="B797">
        <v>2020</v>
      </c>
      <c r="C797" t="s">
        <v>4812</v>
      </c>
      <c r="D797" t="s">
        <v>4813</v>
      </c>
      <c r="E797" t="s">
        <v>3253</v>
      </c>
      <c r="F797" s="3">
        <v>0.439560439560439</v>
      </c>
      <c r="G797">
        <v>12</v>
      </c>
      <c r="H797" t="str">
        <f t="shared" si="12"/>
        <v>3.Mayor a 10 P</v>
      </c>
    </row>
    <row r="798" spans="1:8" x14ac:dyDescent="0.25">
      <c r="A798" t="s">
        <v>4814</v>
      </c>
      <c r="B798">
        <v>2024</v>
      </c>
      <c r="C798" t="s">
        <v>4815</v>
      </c>
      <c r="D798" t="s">
        <v>4816</v>
      </c>
      <c r="E798" t="s">
        <v>3253</v>
      </c>
      <c r="F798" s="3">
        <v>0.42857142857142799</v>
      </c>
      <c r="G798">
        <v>2</v>
      </c>
      <c r="H798" t="str">
        <f t="shared" si="12"/>
        <v>2.Menor a 10 P</v>
      </c>
    </row>
    <row r="799" spans="1:8" x14ac:dyDescent="0.25">
      <c r="A799" t="s">
        <v>4817</v>
      </c>
      <c r="B799">
        <v>2020</v>
      </c>
      <c r="C799" t="s">
        <v>4818</v>
      </c>
      <c r="D799" t="s">
        <v>4819</v>
      </c>
      <c r="E799" t="s">
        <v>3253</v>
      </c>
      <c r="F799" s="3">
        <v>0.42857142857142799</v>
      </c>
      <c r="G799">
        <v>8</v>
      </c>
      <c r="H799" t="str">
        <f t="shared" si="12"/>
        <v>2.Menor a 10 P</v>
      </c>
    </row>
    <row r="800" spans="1:8" x14ac:dyDescent="0.25">
      <c r="A800" t="s">
        <v>4820</v>
      </c>
      <c r="B800">
        <v>2018</v>
      </c>
      <c r="C800" t="s">
        <v>4821</v>
      </c>
      <c r="D800" t="s">
        <v>4822</v>
      </c>
      <c r="E800" t="s">
        <v>3253</v>
      </c>
      <c r="F800" s="3">
        <v>0.42857142857142799</v>
      </c>
      <c r="G800">
        <v>53</v>
      </c>
      <c r="H800" t="str">
        <f t="shared" si="12"/>
        <v>5.Mayor a 40 P</v>
      </c>
    </row>
    <row r="801" spans="1:8" x14ac:dyDescent="0.25">
      <c r="A801" t="s">
        <v>4823</v>
      </c>
      <c r="B801">
        <v>2023</v>
      </c>
      <c r="C801" t="s">
        <v>2604</v>
      </c>
      <c r="D801" t="s">
        <v>4824</v>
      </c>
      <c r="E801" t="s">
        <v>3253</v>
      </c>
      <c r="F801" s="3">
        <v>0.41758241758241699</v>
      </c>
      <c r="G801">
        <v>10</v>
      </c>
      <c r="H801" t="str">
        <f t="shared" si="12"/>
        <v>3.Mayor a 10 P</v>
      </c>
    </row>
    <row r="802" spans="1:8" x14ac:dyDescent="0.25">
      <c r="A802" t="s">
        <v>4825</v>
      </c>
      <c r="B802">
        <v>2018</v>
      </c>
      <c r="C802" t="s">
        <v>4826</v>
      </c>
      <c r="D802" t="s">
        <v>4827</v>
      </c>
      <c r="E802" t="s">
        <v>3253</v>
      </c>
      <c r="F802" s="3">
        <v>0.41758241758241699</v>
      </c>
      <c r="G802">
        <v>35</v>
      </c>
      <c r="H802" t="str">
        <f t="shared" si="12"/>
        <v>4.Mayor a 20 P</v>
      </c>
    </row>
    <row r="803" spans="1:8" x14ac:dyDescent="0.25">
      <c r="A803" t="s">
        <v>4828</v>
      </c>
      <c r="B803">
        <v>2018</v>
      </c>
      <c r="C803" t="s">
        <v>4829</v>
      </c>
      <c r="D803" t="s">
        <v>4830</v>
      </c>
      <c r="E803" t="s">
        <v>3253</v>
      </c>
      <c r="F803" s="3">
        <v>0.41758241758241699</v>
      </c>
      <c r="G803">
        <v>43</v>
      </c>
      <c r="H803" t="str">
        <f t="shared" si="12"/>
        <v>5.Mayor a 40 P</v>
      </c>
    </row>
    <row r="804" spans="1:8" x14ac:dyDescent="0.25">
      <c r="A804" t="s">
        <v>4831</v>
      </c>
      <c r="B804">
        <v>2018</v>
      </c>
      <c r="C804" t="s">
        <v>4832</v>
      </c>
      <c r="D804" t="s">
        <v>4833</v>
      </c>
      <c r="E804" t="s">
        <v>3253</v>
      </c>
      <c r="F804" s="3">
        <v>0.40659340659340598</v>
      </c>
      <c r="G804">
        <v>27</v>
      </c>
      <c r="H804" t="str">
        <f t="shared" si="12"/>
        <v>4.Mayor a 20 P</v>
      </c>
    </row>
    <row r="805" spans="1:8" x14ac:dyDescent="0.25">
      <c r="A805" t="s">
        <v>4834</v>
      </c>
      <c r="B805">
        <v>2021</v>
      </c>
      <c r="C805" t="s">
        <v>4835</v>
      </c>
      <c r="D805" t="s">
        <v>2951</v>
      </c>
      <c r="E805" t="s">
        <v>3253</v>
      </c>
      <c r="F805" s="3">
        <v>0.39560439560439498</v>
      </c>
      <c r="G805">
        <v>459</v>
      </c>
      <c r="H805" t="str">
        <f t="shared" si="12"/>
        <v>7.Mayor a 100 P</v>
      </c>
    </row>
    <row r="806" spans="1:8" x14ac:dyDescent="0.25">
      <c r="A806" t="s">
        <v>4836</v>
      </c>
      <c r="B806">
        <v>2018</v>
      </c>
      <c r="C806" t="s">
        <v>4837</v>
      </c>
      <c r="D806" t="s">
        <v>4838</v>
      </c>
      <c r="E806" t="s">
        <v>3253</v>
      </c>
      <c r="F806" s="3">
        <v>0.39560439560439498</v>
      </c>
      <c r="G806">
        <v>23</v>
      </c>
      <c r="H806" t="str">
        <f t="shared" si="12"/>
        <v>4.Mayor a 20 P</v>
      </c>
    </row>
    <row r="807" spans="1:8" x14ac:dyDescent="0.25">
      <c r="A807" t="s">
        <v>4839</v>
      </c>
      <c r="B807">
        <v>2020</v>
      </c>
      <c r="C807" t="s">
        <v>4840</v>
      </c>
      <c r="D807" t="s">
        <v>4841</v>
      </c>
      <c r="E807" t="s">
        <v>3253</v>
      </c>
      <c r="F807" s="3">
        <v>0.38461538461538403</v>
      </c>
      <c r="G807">
        <v>18</v>
      </c>
      <c r="H807" t="str">
        <f t="shared" si="12"/>
        <v>3.Mayor a 10 P</v>
      </c>
    </row>
    <row r="808" spans="1:8" x14ac:dyDescent="0.25">
      <c r="A808" t="s">
        <v>4842</v>
      </c>
      <c r="B808">
        <v>2021</v>
      </c>
      <c r="C808" t="s">
        <v>4843</v>
      </c>
      <c r="D808" t="s">
        <v>4844</v>
      </c>
      <c r="E808" t="s">
        <v>3253</v>
      </c>
      <c r="F808" s="3">
        <v>0.38461538461538403</v>
      </c>
      <c r="G808">
        <v>17</v>
      </c>
      <c r="H808" t="str">
        <f t="shared" si="12"/>
        <v>3.Mayor a 10 P</v>
      </c>
    </row>
    <row r="809" spans="1:8" x14ac:dyDescent="0.25">
      <c r="A809" t="s">
        <v>4845</v>
      </c>
      <c r="B809">
        <v>2018</v>
      </c>
      <c r="C809" t="s">
        <v>4846</v>
      </c>
      <c r="D809" t="s">
        <v>4847</v>
      </c>
      <c r="E809" t="s">
        <v>3253</v>
      </c>
      <c r="F809" s="3">
        <v>0.37362637362637302</v>
      </c>
      <c r="G809">
        <v>29</v>
      </c>
      <c r="H809" t="str">
        <f t="shared" si="12"/>
        <v>4.Mayor a 20 P</v>
      </c>
    </row>
    <row r="810" spans="1:8" x14ac:dyDescent="0.25">
      <c r="A810" t="s">
        <v>4848</v>
      </c>
      <c r="B810">
        <v>2024</v>
      </c>
      <c r="C810" t="s">
        <v>2604</v>
      </c>
      <c r="D810" t="s">
        <v>4849</v>
      </c>
      <c r="E810" t="s">
        <v>3253</v>
      </c>
      <c r="F810" s="3">
        <v>0.37362637362637302</v>
      </c>
      <c r="G810">
        <v>10</v>
      </c>
      <c r="H810" t="str">
        <f t="shared" si="12"/>
        <v>3.Mayor a 10 P</v>
      </c>
    </row>
    <row r="811" spans="1:8" x14ac:dyDescent="0.25">
      <c r="A811" t="s">
        <v>4850</v>
      </c>
      <c r="B811">
        <v>2018</v>
      </c>
      <c r="C811" t="s">
        <v>2604</v>
      </c>
      <c r="D811" t="s">
        <v>4851</v>
      </c>
      <c r="E811" t="s">
        <v>3253</v>
      </c>
      <c r="F811" s="3">
        <v>0.37362637362637302</v>
      </c>
      <c r="G811">
        <v>14</v>
      </c>
      <c r="H811" t="str">
        <f t="shared" si="12"/>
        <v>3.Mayor a 10 P</v>
      </c>
    </row>
    <row r="812" spans="1:8" x14ac:dyDescent="0.25">
      <c r="A812" t="s">
        <v>4852</v>
      </c>
      <c r="B812">
        <v>2018</v>
      </c>
      <c r="C812" t="s">
        <v>4853</v>
      </c>
      <c r="D812" t="s">
        <v>4854</v>
      </c>
      <c r="E812" t="s">
        <v>3253</v>
      </c>
      <c r="F812" s="3">
        <v>0.37362637362637302</v>
      </c>
      <c r="G812">
        <v>90</v>
      </c>
      <c r="H812" t="str">
        <f t="shared" si="12"/>
        <v>6.Mayor a 70 P</v>
      </c>
    </row>
    <row r="813" spans="1:8" x14ac:dyDescent="0.25">
      <c r="A813" t="s">
        <v>4855</v>
      </c>
      <c r="B813">
        <v>2019</v>
      </c>
      <c r="C813" t="s">
        <v>4856</v>
      </c>
      <c r="D813" t="s">
        <v>4857</v>
      </c>
      <c r="E813" t="s">
        <v>3253</v>
      </c>
      <c r="F813" s="3">
        <v>0.36263736263736202</v>
      </c>
      <c r="G813">
        <v>763</v>
      </c>
      <c r="H813" t="str">
        <f t="shared" si="12"/>
        <v>7.Mayor a 100 P</v>
      </c>
    </row>
    <row r="814" spans="1:8" x14ac:dyDescent="0.25">
      <c r="A814" t="s">
        <v>4858</v>
      </c>
      <c r="B814">
        <v>2020</v>
      </c>
      <c r="C814" t="s">
        <v>4859</v>
      </c>
      <c r="D814" t="s">
        <v>4860</v>
      </c>
      <c r="E814" t="s">
        <v>3253</v>
      </c>
      <c r="F814" s="3">
        <v>0.35164835164835101</v>
      </c>
      <c r="G814">
        <v>121</v>
      </c>
      <c r="H814" t="str">
        <f t="shared" si="12"/>
        <v>7.Mayor a 100 P</v>
      </c>
    </row>
    <row r="815" spans="1:8" x14ac:dyDescent="0.25">
      <c r="A815" t="s">
        <v>4861</v>
      </c>
      <c r="B815">
        <v>2018</v>
      </c>
      <c r="C815" t="s">
        <v>4862</v>
      </c>
      <c r="D815" t="s">
        <v>4863</v>
      </c>
      <c r="E815" t="s">
        <v>3253</v>
      </c>
      <c r="F815" s="3">
        <v>0.35164835164835101</v>
      </c>
      <c r="G815">
        <v>8</v>
      </c>
      <c r="H815" t="str">
        <f t="shared" si="12"/>
        <v>2.Menor a 10 P</v>
      </c>
    </row>
    <row r="816" spans="1:8" x14ac:dyDescent="0.25">
      <c r="A816" t="s">
        <v>4864</v>
      </c>
      <c r="B816">
        <v>2018</v>
      </c>
      <c r="C816" t="s">
        <v>4865</v>
      </c>
      <c r="D816" t="s">
        <v>4866</v>
      </c>
      <c r="E816" t="s">
        <v>3253</v>
      </c>
      <c r="F816" s="3">
        <v>0.35164835164835101</v>
      </c>
      <c r="G816">
        <v>241</v>
      </c>
      <c r="H816" t="str">
        <f t="shared" si="12"/>
        <v>7.Mayor a 100 P</v>
      </c>
    </row>
    <row r="817" spans="1:8" x14ac:dyDescent="0.25">
      <c r="A817" t="s">
        <v>4867</v>
      </c>
      <c r="B817">
        <v>2021</v>
      </c>
      <c r="C817" t="s">
        <v>4868</v>
      </c>
      <c r="D817" t="s">
        <v>4869</v>
      </c>
      <c r="E817" t="s">
        <v>3253</v>
      </c>
      <c r="F817" s="3">
        <v>0.34065934065934</v>
      </c>
      <c r="G817">
        <v>12</v>
      </c>
      <c r="H817" t="str">
        <f t="shared" si="12"/>
        <v>3.Mayor a 10 P</v>
      </c>
    </row>
    <row r="818" spans="1:8" x14ac:dyDescent="0.25">
      <c r="A818" t="s">
        <v>4870</v>
      </c>
      <c r="B818">
        <v>2018</v>
      </c>
      <c r="C818" t="s">
        <v>4871</v>
      </c>
      <c r="D818" t="s">
        <v>4872</v>
      </c>
      <c r="E818" t="s">
        <v>3253</v>
      </c>
      <c r="F818" s="3">
        <v>0.34065934065934</v>
      </c>
      <c r="G818">
        <v>4</v>
      </c>
      <c r="H818" t="str">
        <f t="shared" si="12"/>
        <v>2.Menor a 10 P</v>
      </c>
    </row>
    <row r="819" spans="1:8" x14ac:dyDescent="0.25">
      <c r="A819" t="s">
        <v>4873</v>
      </c>
      <c r="B819">
        <v>2018</v>
      </c>
      <c r="C819" t="s">
        <v>4874</v>
      </c>
      <c r="D819" t="s">
        <v>4875</v>
      </c>
      <c r="E819" t="s">
        <v>3253</v>
      </c>
      <c r="F819" s="3">
        <v>0.329670329670329</v>
      </c>
      <c r="G819">
        <v>2</v>
      </c>
      <c r="H819" t="str">
        <f t="shared" si="12"/>
        <v>2.Menor a 10 P</v>
      </c>
    </row>
    <row r="820" spans="1:8" x14ac:dyDescent="0.25">
      <c r="A820" t="s">
        <v>4876</v>
      </c>
      <c r="B820">
        <v>2018</v>
      </c>
      <c r="C820" t="s">
        <v>4877</v>
      </c>
      <c r="D820" t="s">
        <v>4878</v>
      </c>
      <c r="E820" t="s">
        <v>3253</v>
      </c>
      <c r="F820" s="3">
        <v>0.329670329670329</v>
      </c>
      <c r="G820">
        <v>55</v>
      </c>
      <c r="H820" t="str">
        <f t="shared" si="12"/>
        <v>5.Mayor a 40 P</v>
      </c>
    </row>
    <row r="821" spans="1:8" x14ac:dyDescent="0.25">
      <c r="A821" t="s">
        <v>4879</v>
      </c>
      <c r="B821">
        <v>2020</v>
      </c>
      <c r="C821" t="s">
        <v>4880</v>
      </c>
      <c r="D821" t="s">
        <v>4881</v>
      </c>
      <c r="E821" t="s">
        <v>3253</v>
      </c>
      <c r="F821" s="3">
        <v>0.329670329670329</v>
      </c>
      <c r="G821">
        <v>10</v>
      </c>
      <c r="H821" t="str">
        <f t="shared" si="12"/>
        <v>3.Mayor a 10 P</v>
      </c>
    </row>
    <row r="822" spans="1:8" x14ac:dyDescent="0.25">
      <c r="A822" t="s">
        <v>4882</v>
      </c>
      <c r="B822">
        <v>2018</v>
      </c>
      <c r="C822" t="s">
        <v>4883</v>
      </c>
      <c r="D822" t="s">
        <v>4884</v>
      </c>
      <c r="E822" t="s">
        <v>3253</v>
      </c>
      <c r="F822" s="3">
        <v>0.30769230769230699</v>
      </c>
      <c r="G822">
        <v>17</v>
      </c>
      <c r="H822" t="str">
        <f t="shared" si="12"/>
        <v>3.Mayor a 10 P</v>
      </c>
    </row>
    <row r="823" spans="1:8" x14ac:dyDescent="0.25">
      <c r="A823" t="s">
        <v>4885</v>
      </c>
      <c r="B823">
        <v>2020</v>
      </c>
      <c r="C823" t="s">
        <v>4886</v>
      </c>
      <c r="D823" t="s">
        <v>4887</v>
      </c>
      <c r="E823" t="s">
        <v>3253</v>
      </c>
      <c r="F823" s="3">
        <v>0.30769230769230699</v>
      </c>
      <c r="G823">
        <v>13</v>
      </c>
      <c r="H823" t="str">
        <f t="shared" si="12"/>
        <v>3.Mayor a 10 P</v>
      </c>
    </row>
    <row r="824" spans="1:8" x14ac:dyDescent="0.25">
      <c r="A824" t="s">
        <v>4888</v>
      </c>
      <c r="B824">
        <v>2018</v>
      </c>
      <c r="C824" t="s">
        <v>4889</v>
      </c>
      <c r="D824" t="s">
        <v>4890</v>
      </c>
      <c r="E824" t="s">
        <v>3253</v>
      </c>
      <c r="F824" s="3">
        <v>0.30769230769230699</v>
      </c>
      <c r="G824">
        <v>111</v>
      </c>
      <c r="H824" t="str">
        <f t="shared" si="12"/>
        <v>7.Mayor a 100 P</v>
      </c>
    </row>
    <row r="825" spans="1:8" x14ac:dyDescent="0.25">
      <c r="A825" t="s">
        <v>4891</v>
      </c>
      <c r="B825">
        <v>2019</v>
      </c>
      <c r="C825" t="s">
        <v>4892</v>
      </c>
      <c r="D825" t="s">
        <v>4893</v>
      </c>
      <c r="E825" t="s">
        <v>3253</v>
      </c>
      <c r="F825" s="3">
        <v>0.30769230769230699</v>
      </c>
      <c r="G825">
        <v>2</v>
      </c>
      <c r="H825" t="str">
        <f t="shared" si="12"/>
        <v>2.Menor a 10 P</v>
      </c>
    </row>
    <row r="826" spans="1:8" x14ac:dyDescent="0.25">
      <c r="A826" t="s">
        <v>4894</v>
      </c>
      <c r="B826">
        <v>2020</v>
      </c>
      <c r="C826" t="s">
        <v>4895</v>
      </c>
      <c r="D826" t="s">
        <v>4896</v>
      </c>
      <c r="E826" t="s">
        <v>3253</v>
      </c>
      <c r="F826" s="3">
        <v>0.29670329670329598</v>
      </c>
      <c r="G826">
        <v>105</v>
      </c>
      <c r="H826" t="str">
        <f t="shared" si="12"/>
        <v>7.Mayor a 100 P</v>
      </c>
    </row>
    <row r="827" spans="1:8" x14ac:dyDescent="0.25">
      <c r="A827" t="s">
        <v>4897</v>
      </c>
      <c r="B827">
        <v>2017</v>
      </c>
      <c r="C827" t="s">
        <v>4898</v>
      </c>
      <c r="D827" t="s">
        <v>4899</v>
      </c>
      <c r="E827" t="s">
        <v>3253</v>
      </c>
      <c r="F827" s="3">
        <v>0.28571428571428498</v>
      </c>
      <c r="G827">
        <v>43</v>
      </c>
      <c r="H827" t="str">
        <f t="shared" si="12"/>
        <v>5.Mayor a 40 P</v>
      </c>
    </row>
    <row r="828" spans="1:8" x14ac:dyDescent="0.25">
      <c r="A828" t="s">
        <v>4900</v>
      </c>
      <c r="B828">
        <v>2018</v>
      </c>
      <c r="C828" t="s">
        <v>4901</v>
      </c>
      <c r="D828" t="s">
        <v>4902</v>
      </c>
      <c r="E828" t="s">
        <v>3253</v>
      </c>
      <c r="F828" s="3">
        <v>0.28571428571428498</v>
      </c>
      <c r="G828">
        <v>35</v>
      </c>
      <c r="H828" t="str">
        <f t="shared" si="12"/>
        <v>4.Mayor a 20 P</v>
      </c>
    </row>
    <row r="829" spans="1:8" x14ac:dyDescent="0.25">
      <c r="A829" t="s">
        <v>4903</v>
      </c>
      <c r="B829">
        <v>2023</v>
      </c>
      <c r="C829" t="s">
        <v>2604</v>
      </c>
      <c r="D829" t="s">
        <v>4904</v>
      </c>
      <c r="E829" t="s">
        <v>3253</v>
      </c>
      <c r="F829" s="3">
        <v>0.26373626373626302</v>
      </c>
      <c r="G829">
        <v>9</v>
      </c>
      <c r="H829" t="str">
        <f t="shared" si="12"/>
        <v>2.Menor a 10 P</v>
      </c>
    </row>
    <row r="830" spans="1:8" x14ac:dyDescent="0.25">
      <c r="A830" t="s">
        <v>4905</v>
      </c>
      <c r="B830">
        <v>2024</v>
      </c>
      <c r="C830" t="s">
        <v>4906</v>
      </c>
      <c r="D830" t="s">
        <v>4907</v>
      </c>
      <c r="E830" t="s">
        <v>3253</v>
      </c>
      <c r="F830" s="3">
        <v>0.26373626373626302</v>
      </c>
      <c r="G830">
        <v>2</v>
      </c>
      <c r="H830" t="str">
        <f t="shared" si="12"/>
        <v>2.Menor a 10 P</v>
      </c>
    </row>
    <row r="831" spans="1:8" x14ac:dyDescent="0.25">
      <c r="A831" t="s">
        <v>4908</v>
      </c>
      <c r="B831">
        <v>2022</v>
      </c>
      <c r="C831" t="s">
        <v>2604</v>
      </c>
      <c r="D831" t="s">
        <v>4909</v>
      </c>
      <c r="E831" t="s">
        <v>3253</v>
      </c>
      <c r="F831" s="3">
        <v>0.26373626373626302</v>
      </c>
      <c r="G831">
        <v>4</v>
      </c>
      <c r="H831" t="str">
        <f t="shared" si="12"/>
        <v>2.Menor a 10 P</v>
      </c>
    </row>
    <row r="832" spans="1:8" x14ac:dyDescent="0.25">
      <c r="A832" t="s">
        <v>4910</v>
      </c>
      <c r="B832">
        <v>2018</v>
      </c>
      <c r="C832" t="s">
        <v>4911</v>
      </c>
      <c r="D832" t="s">
        <v>4912</v>
      </c>
      <c r="E832" t="s">
        <v>3253</v>
      </c>
      <c r="F832" s="3">
        <v>0.24175824175824101</v>
      </c>
      <c r="G832">
        <v>9</v>
      </c>
      <c r="H832" t="str">
        <f t="shared" si="12"/>
        <v>2.Menor a 10 P</v>
      </c>
    </row>
    <row r="833" spans="1:8" x14ac:dyDescent="0.25">
      <c r="A833" t="s">
        <v>4913</v>
      </c>
      <c r="B833">
        <v>2020</v>
      </c>
      <c r="C833" t="s">
        <v>4914</v>
      </c>
      <c r="D833" t="s">
        <v>4915</v>
      </c>
      <c r="E833" t="s">
        <v>3253</v>
      </c>
      <c r="F833" s="3">
        <v>0.219780219780219</v>
      </c>
      <c r="G833">
        <v>5</v>
      </c>
      <c r="H833" t="str">
        <f t="shared" si="12"/>
        <v>2.Menor a 10 P</v>
      </c>
    </row>
    <row r="834" spans="1:8" x14ac:dyDescent="0.25">
      <c r="A834" t="s">
        <v>4916</v>
      </c>
      <c r="B834">
        <v>2020</v>
      </c>
      <c r="C834" t="s">
        <v>4917</v>
      </c>
      <c r="D834" t="s">
        <v>4918</v>
      </c>
      <c r="E834" t="s">
        <v>3253</v>
      </c>
      <c r="F834" s="3">
        <v>0.20879120879120799</v>
      </c>
      <c r="G834">
        <v>5</v>
      </c>
      <c r="H834" t="str">
        <f t="shared" si="12"/>
        <v>2.Menor a 10 P</v>
      </c>
    </row>
    <row r="835" spans="1:8" x14ac:dyDescent="0.25">
      <c r="A835" t="s">
        <v>4919</v>
      </c>
      <c r="B835">
        <v>2019</v>
      </c>
      <c r="C835" t="s">
        <v>2604</v>
      </c>
      <c r="D835" t="s">
        <v>3842</v>
      </c>
      <c r="E835" t="s">
        <v>3253</v>
      </c>
      <c r="F835" s="3">
        <v>0.17582417582417501</v>
      </c>
      <c r="G835">
        <v>9</v>
      </c>
      <c r="H835" t="str">
        <f t="shared" ref="H835:H845" si="13">+IF(G835&gt;=100,"7.Mayor a 100 P",+IF(G835&gt;=70,"6.Mayor a 70 P",+IF(G835&gt;=40,"5.Mayor a 40 P",+IF(G835&gt;=20,"4.Mayor a 20 P",+IF(G835&gt;=10,"3.Mayor a 10 P",+IF(G835&lt;10,"2.Menor a 10 P",+IF(G835=0,"1.Sin Propiedades","Revsar")))))))</f>
        <v>2.Menor a 10 P</v>
      </c>
    </row>
    <row r="836" spans="1:8" x14ac:dyDescent="0.25">
      <c r="A836" t="s">
        <v>4920</v>
      </c>
      <c r="B836">
        <v>2022</v>
      </c>
      <c r="C836" t="s">
        <v>2604</v>
      </c>
      <c r="D836" t="s">
        <v>4921</v>
      </c>
      <c r="E836" t="s">
        <v>3253</v>
      </c>
      <c r="F836" s="3">
        <v>0.15384615384615299</v>
      </c>
      <c r="G836">
        <v>9</v>
      </c>
      <c r="H836" t="str">
        <f t="shared" si="13"/>
        <v>2.Menor a 10 P</v>
      </c>
    </row>
    <row r="837" spans="1:8" x14ac:dyDescent="0.25">
      <c r="A837" t="s">
        <v>4922</v>
      </c>
      <c r="B837">
        <v>2019</v>
      </c>
      <c r="C837" t="s">
        <v>4923</v>
      </c>
      <c r="D837" t="s">
        <v>4924</v>
      </c>
      <c r="E837" t="s">
        <v>3253</v>
      </c>
      <c r="F837" s="3">
        <v>0.15384615384615299</v>
      </c>
      <c r="G837">
        <v>27</v>
      </c>
      <c r="H837" t="str">
        <f t="shared" si="13"/>
        <v>4.Mayor a 20 P</v>
      </c>
    </row>
    <row r="838" spans="1:8" x14ac:dyDescent="0.25">
      <c r="A838" t="s">
        <v>4925</v>
      </c>
      <c r="B838">
        <v>2022</v>
      </c>
      <c r="C838" t="s">
        <v>2604</v>
      </c>
      <c r="D838" t="s">
        <v>4926</v>
      </c>
      <c r="E838" t="s">
        <v>3253</v>
      </c>
      <c r="F838" s="3">
        <v>0.109890109890109</v>
      </c>
      <c r="G838">
        <v>39</v>
      </c>
      <c r="H838" t="str">
        <f t="shared" si="13"/>
        <v>4.Mayor a 20 P</v>
      </c>
    </row>
    <row r="839" spans="1:8" x14ac:dyDescent="0.25">
      <c r="A839" t="s">
        <v>4927</v>
      </c>
      <c r="B839">
        <v>2020</v>
      </c>
      <c r="C839" t="s">
        <v>4928</v>
      </c>
      <c r="D839" t="s">
        <v>4929</v>
      </c>
      <c r="E839" t="s">
        <v>3253</v>
      </c>
      <c r="F839" s="3">
        <v>0.109890109890109</v>
      </c>
      <c r="G839">
        <v>5</v>
      </c>
      <c r="H839" t="str">
        <f t="shared" si="13"/>
        <v>2.Menor a 10 P</v>
      </c>
    </row>
    <row r="840" spans="1:8" x14ac:dyDescent="0.25">
      <c r="A840" t="s">
        <v>4930</v>
      </c>
      <c r="B840">
        <v>2018</v>
      </c>
      <c r="C840" t="s">
        <v>4931</v>
      </c>
      <c r="D840" t="s">
        <v>4932</v>
      </c>
      <c r="E840" t="s">
        <v>3253</v>
      </c>
      <c r="F840" s="3">
        <v>4.3956043956043897E-2</v>
      </c>
      <c r="G840">
        <v>168</v>
      </c>
      <c r="H840" t="str">
        <f t="shared" si="13"/>
        <v>7.Mayor a 100 P</v>
      </c>
    </row>
    <row r="841" spans="1:8" x14ac:dyDescent="0.25">
      <c r="A841" t="s">
        <v>4933</v>
      </c>
      <c r="B841">
        <v>2018</v>
      </c>
      <c r="C841" t="s">
        <v>4934</v>
      </c>
      <c r="D841" t="s">
        <v>4935</v>
      </c>
      <c r="E841" t="s">
        <v>3253</v>
      </c>
      <c r="F841" s="3">
        <v>3.2967032967032898E-2</v>
      </c>
      <c r="G841">
        <v>5</v>
      </c>
      <c r="H841" t="str">
        <f t="shared" si="13"/>
        <v>2.Menor a 10 P</v>
      </c>
    </row>
    <row r="842" spans="1:8" x14ac:dyDescent="0.25">
      <c r="A842" t="s">
        <v>4936</v>
      </c>
      <c r="B842">
        <v>2018</v>
      </c>
      <c r="C842" t="s">
        <v>4937</v>
      </c>
      <c r="D842" t="s">
        <v>4938</v>
      </c>
      <c r="E842" t="s">
        <v>3253</v>
      </c>
      <c r="F842" s="3">
        <v>1.09890109890109E-2</v>
      </c>
      <c r="G842">
        <v>11</v>
      </c>
      <c r="H842" t="str">
        <f t="shared" si="13"/>
        <v>3.Mayor a 10 P</v>
      </c>
    </row>
    <row r="843" spans="1:8" x14ac:dyDescent="0.25">
      <c r="A843" t="s">
        <v>4939</v>
      </c>
      <c r="B843">
        <v>2017</v>
      </c>
      <c r="C843" t="s">
        <v>2604</v>
      </c>
      <c r="D843" t="s">
        <v>4940</v>
      </c>
      <c r="E843" t="s">
        <v>3253</v>
      </c>
      <c r="F843" s="3">
        <v>0</v>
      </c>
      <c r="G843">
        <v>9</v>
      </c>
      <c r="H843" t="str">
        <f t="shared" si="13"/>
        <v>2.Menor a 10 P</v>
      </c>
    </row>
    <row r="844" spans="1:8" x14ac:dyDescent="0.25">
      <c r="A844" t="s">
        <v>4941</v>
      </c>
      <c r="B844">
        <v>2024</v>
      </c>
      <c r="C844" t="s">
        <v>4942</v>
      </c>
      <c r="D844" t="s">
        <v>4943</v>
      </c>
      <c r="E844" t="s">
        <v>3253</v>
      </c>
      <c r="F844" s="3">
        <v>0</v>
      </c>
      <c r="G844">
        <v>1</v>
      </c>
      <c r="H844" t="str">
        <f t="shared" si="13"/>
        <v>2.Menor a 10 P</v>
      </c>
    </row>
    <row r="845" spans="1:8" x14ac:dyDescent="0.25">
      <c r="A845" t="s">
        <v>4944</v>
      </c>
      <c r="B845">
        <v>2019</v>
      </c>
      <c r="C845" t="s">
        <v>4945</v>
      </c>
      <c r="D845" t="s">
        <v>4946</v>
      </c>
      <c r="E845" t="s">
        <v>3253</v>
      </c>
      <c r="F845" s="3">
        <v>0</v>
      </c>
      <c r="G845">
        <v>7</v>
      </c>
      <c r="H845" t="str">
        <f t="shared" si="13"/>
        <v>2.Menor a 10 P</v>
      </c>
    </row>
  </sheetData>
  <autoFilter ref="A1:H845" xr:uid="{FFED1CC1-785F-4C9E-9D90-99C2205DF85F}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2B3C-6F11-41A3-B983-935004305C90}">
  <dimension ref="A1"/>
  <sheetViews>
    <sheetView showRowColHeaders="0" workbookViewId="0">
      <selection activeCell="D34" sqref="D34"/>
    </sheetView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9050-A392-4118-B4F2-E5AA10347422}">
  <sheetPr codeName="Hoja3"/>
  <dimension ref="A1:G2179"/>
  <sheetViews>
    <sheetView topLeftCell="A2158" zoomScale="80" zoomScaleNormal="80" workbookViewId="0">
      <selection activeCell="C2170" sqref="C2170"/>
    </sheetView>
  </sheetViews>
  <sheetFormatPr baseColWidth="10" defaultRowHeight="15" x14ac:dyDescent="0.25"/>
  <cols>
    <col min="1" max="1" width="65.42578125" bestFit="1" customWidth="1"/>
    <col min="2" max="2" width="44" customWidth="1"/>
    <col min="3" max="3" width="44" bestFit="1" customWidth="1"/>
    <col min="4" max="4" width="24.28515625" bestFit="1" customWidth="1"/>
    <col min="5" max="5" width="10.85546875" style="2"/>
    <col min="6" max="6" width="8.7109375" customWidth="1"/>
    <col min="7" max="7" width="9.85546875" style="2" bestFit="1" customWidth="1"/>
  </cols>
  <sheetData>
    <row r="1" spans="1:7" x14ac:dyDescent="0.25">
      <c r="A1" t="s">
        <v>2493</v>
      </c>
      <c r="B1" t="s">
        <v>2488</v>
      </c>
      <c r="C1" t="s">
        <v>2482</v>
      </c>
      <c r="D1" t="s">
        <v>2481</v>
      </c>
      <c r="E1" s="10" t="s">
        <v>2480</v>
      </c>
      <c r="F1" s="11" t="s">
        <v>2479</v>
      </c>
      <c r="G1" s="10" t="s">
        <v>2478</v>
      </c>
    </row>
    <row r="2" spans="1:7" x14ac:dyDescent="0.25">
      <c r="A2" t="str">
        <f>+C2&amp;D2</f>
        <v>Chile Hombre</v>
      </c>
      <c r="B2" t="s">
        <v>2487</v>
      </c>
      <c r="C2" t="s">
        <v>2472</v>
      </c>
      <c r="D2" t="s">
        <v>58</v>
      </c>
      <c r="E2" s="2" t="s">
        <v>2477</v>
      </c>
      <c r="F2">
        <f t="shared" ref="F2:F65" si="0">+FIND(".",E2)</f>
        <v>9</v>
      </c>
      <c r="G2" s="2">
        <f t="shared" ref="G2:G65" si="1">+LEFT(E2,(F2-1))*1</f>
        <v>9910500</v>
      </c>
    </row>
    <row r="3" spans="1:7" x14ac:dyDescent="0.25">
      <c r="A3" t="str">
        <f t="shared" ref="A3:A66" si="2">+C3&amp;D3</f>
        <v>Chile Mujer</v>
      </c>
      <c r="B3" t="s">
        <v>2487</v>
      </c>
      <c r="C3" t="s">
        <v>2472</v>
      </c>
      <c r="D3" t="s">
        <v>56</v>
      </c>
      <c r="E3" s="2" t="s">
        <v>2476</v>
      </c>
      <c r="F3">
        <f t="shared" si="0"/>
        <v>10</v>
      </c>
      <c r="G3" s="2">
        <f t="shared" si="1"/>
        <v>10175877</v>
      </c>
    </row>
    <row r="4" spans="1:7" x14ac:dyDescent="0.25">
      <c r="A4" t="str">
        <f t="shared" si="2"/>
        <v>Chile Población total</v>
      </c>
      <c r="B4" t="s">
        <v>2487</v>
      </c>
      <c r="C4" t="s">
        <v>2472</v>
      </c>
      <c r="D4" t="s">
        <v>54</v>
      </c>
      <c r="E4" s="2" t="s">
        <v>2475</v>
      </c>
      <c r="F4">
        <f t="shared" si="0"/>
        <v>10</v>
      </c>
      <c r="G4" s="2">
        <f t="shared" si="1"/>
        <v>20086377</v>
      </c>
    </row>
    <row r="5" spans="1:7" x14ac:dyDescent="0.25">
      <c r="A5" t="str">
        <f t="shared" si="2"/>
        <v>Chile Población  de 0 a 14 años</v>
      </c>
      <c r="B5" t="s">
        <v>2487</v>
      </c>
      <c r="C5" t="s">
        <v>2472</v>
      </c>
      <c r="D5" t="s">
        <v>52</v>
      </c>
      <c r="E5" s="2" t="s">
        <v>2474</v>
      </c>
      <c r="F5">
        <f t="shared" si="0"/>
        <v>9</v>
      </c>
      <c r="G5" s="2">
        <f t="shared" si="1"/>
        <v>3698025</v>
      </c>
    </row>
    <row r="6" spans="1:7" x14ac:dyDescent="0.25">
      <c r="A6" t="str">
        <f t="shared" si="2"/>
        <v>Chile Población  de 15 a 64 años</v>
      </c>
      <c r="B6" t="s">
        <v>2487</v>
      </c>
      <c r="C6" t="s">
        <v>2472</v>
      </c>
      <c r="D6" t="s">
        <v>50</v>
      </c>
      <c r="E6" s="2" t="s">
        <v>2473</v>
      </c>
      <c r="F6">
        <f t="shared" si="0"/>
        <v>10</v>
      </c>
      <c r="G6" s="2">
        <f t="shared" si="1"/>
        <v>13619165</v>
      </c>
    </row>
    <row r="7" spans="1:7" x14ac:dyDescent="0.25">
      <c r="A7" t="str">
        <f t="shared" si="2"/>
        <v>Chile Población de 65 años o mas</v>
      </c>
      <c r="B7" t="s">
        <v>2487</v>
      </c>
      <c r="C7" t="s">
        <v>2472</v>
      </c>
      <c r="D7" t="s">
        <v>46</v>
      </c>
      <c r="E7" s="2" t="s">
        <v>2471</v>
      </c>
      <c r="F7">
        <f t="shared" si="0"/>
        <v>9</v>
      </c>
      <c r="G7" s="2">
        <f t="shared" si="1"/>
        <v>2769187</v>
      </c>
    </row>
    <row r="8" spans="1:7" x14ac:dyDescent="0.25">
      <c r="A8" t="str">
        <f t="shared" si="2"/>
        <v>Región De Arica Y Parinacota Hombre</v>
      </c>
      <c r="B8" t="s">
        <v>2465</v>
      </c>
      <c r="C8" t="s">
        <v>2465</v>
      </c>
      <c r="D8" t="s">
        <v>58</v>
      </c>
      <c r="E8" s="2" t="s">
        <v>2470</v>
      </c>
      <c r="F8">
        <f t="shared" si="0"/>
        <v>8</v>
      </c>
      <c r="G8" s="2">
        <f t="shared" si="1"/>
        <v>132125</v>
      </c>
    </row>
    <row r="9" spans="1:7" x14ac:dyDescent="0.25">
      <c r="A9" t="str">
        <f t="shared" si="2"/>
        <v>Región De Arica Y Parinacota Mujer</v>
      </c>
      <c r="B9" t="s">
        <v>2465</v>
      </c>
      <c r="C9" t="s">
        <v>2465</v>
      </c>
      <c r="D9" t="s">
        <v>56</v>
      </c>
      <c r="E9" s="2" t="s">
        <v>2469</v>
      </c>
      <c r="F9">
        <f t="shared" si="0"/>
        <v>8</v>
      </c>
      <c r="G9" s="2">
        <f t="shared" si="1"/>
        <v>129654</v>
      </c>
    </row>
    <row r="10" spans="1:7" x14ac:dyDescent="0.25">
      <c r="A10" t="str">
        <f t="shared" si="2"/>
        <v>Región De Arica Y Parinacota Población total</v>
      </c>
      <c r="B10" t="s">
        <v>2465</v>
      </c>
      <c r="C10" t="s">
        <v>2465</v>
      </c>
      <c r="D10" t="s">
        <v>54</v>
      </c>
      <c r="E10" s="2" t="s">
        <v>2468</v>
      </c>
      <c r="F10">
        <f t="shared" si="0"/>
        <v>8</v>
      </c>
      <c r="G10" s="2">
        <f t="shared" si="1"/>
        <v>261779</v>
      </c>
    </row>
    <row r="11" spans="1:7" x14ac:dyDescent="0.25">
      <c r="A11" t="str">
        <f t="shared" si="2"/>
        <v>Región De Arica Y Parinacota Población  de 0 a 14 años</v>
      </c>
      <c r="B11" t="s">
        <v>2465</v>
      </c>
      <c r="C11" t="s">
        <v>2465</v>
      </c>
      <c r="D11" t="s">
        <v>52</v>
      </c>
      <c r="E11" s="2" t="s">
        <v>2467</v>
      </c>
      <c r="F11">
        <f t="shared" si="0"/>
        <v>7</v>
      </c>
      <c r="G11" s="2">
        <f t="shared" si="1"/>
        <v>51543</v>
      </c>
    </row>
    <row r="12" spans="1:7" x14ac:dyDescent="0.25">
      <c r="A12" t="str">
        <f t="shared" si="2"/>
        <v>Región De Arica Y Parinacota Población  de 15 a 64 años</v>
      </c>
      <c r="B12" t="s">
        <v>2465</v>
      </c>
      <c r="C12" t="s">
        <v>2465</v>
      </c>
      <c r="D12" t="s">
        <v>50</v>
      </c>
      <c r="E12" s="2" t="s">
        <v>2466</v>
      </c>
      <c r="F12">
        <f t="shared" si="0"/>
        <v>8</v>
      </c>
      <c r="G12" s="2">
        <f t="shared" si="1"/>
        <v>176644</v>
      </c>
    </row>
    <row r="13" spans="1:7" x14ac:dyDescent="0.25">
      <c r="A13" t="str">
        <f t="shared" si="2"/>
        <v>Región De Arica Y Parinacota Población de 65 años o mas</v>
      </c>
      <c r="B13" t="s">
        <v>2465</v>
      </c>
      <c r="C13" t="s">
        <v>2465</v>
      </c>
      <c r="D13" t="s">
        <v>46</v>
      </c>
      <c r="E13" s="2" t="s">
        <v>2464</v>
      </c>
      <c r="F13">
        <f t="shared" si="0"/>
        <v>7</v>
      </c>
      <c r="G13" s="2">
        <f t="shared" si="1"/>
        <v>33592</v>
      </c>
    </row>
    <row r="14" spans="1:7" x14ac:dyDescent="0.25">
      <c r="A14" t="str">
        <f t="shared" si="2"/>
        <v>General Lagos Hombre</v>
      </c>
      <c r="B14" t="s">
        <v>2465</v>
      </c>
      <c r="C14" t="s">
        <v>2508</v>
      </c>
      <c r="D14" t="s">
        <v>58</v>
      </c>
      <c r="E14" s="2" t="s">
        <v>2463</v>
      </c>
      <c r="F14">
        <f t="shared" si="0"/>
        <v>5</v>
      </c>
      <c r="G14" s="2">
        <f t="shared" si="1"/>
        <v>427</v>
      </c>
    </row>
    <row r="15" spans="1:7" x14ac:dyDescent="0.25">
      <c r="A15" t="str">
        <f t="shared" si="2"/>
        <v>General Lagos Mujer</v>
      </c>
      <c r="B15" t="s">
        <v>2465</v>
      </c>
      <c r="C15" t="s">
        <v>2508</v>
      </c>
      <c r="D15" t="s">
        <v>56</v>
      </c>
      <c r="E15" s="2" t="s">
        <v>2462</v>
      </c>
      <c r="F15">
        <f t="shared" si="0"/>
        <v>5</v>
      </c>
      <c r="G15" s="2">
        <f t="shared" si="1"/>
        <v>374</v>
      </c>
    </row>
    <row r="16" spans="1:7" x14ac:dyDescent="0.25">
      <c r="A16" t="str">
        <f t="shared" si="2"/>
        <v>General Lagos Población total</v>
      </c>
      <c r="B16" t="s">
        <v>2465</v>
      </c>
      <c r="C16" t="s">
        <v>2508</v>
      </c>
      <c r="D16" t="s">
        <v>54</v>
      </c>
      <c r="E16" s="2" t="s">
        <v>2461</v>
      </c>
      <c r="F16">
        <f t="shared" si="0"/>
        <v>5</v>
      </c>
      <c r="G16" s="2">
        <f t="shared" si="1"/>
        <v>801</v>
      </c>
    </row>
    <row r="17" spans="1:7" x14ac:dyDescent="0.25">
      <c r="A17" t="str">
        <f t="shared" si="2"/>
        <v>General Lagos Población  de 0 a 14 años</v>
      </c>
      <c r="B17" t="s">
        <v>2465</v>
      </c>
      <c r="C17" t="s">
        <v>2508</v>
      </c>
      <c r="D17" t="s">
        <v>52</v>
      </c>
      <c r="E17" s="2" t="s">
        <v>2460</v>
      </c>
      <c r="F17">
        <f t="shared" si="0"/>
        <v>5</v>
      </c>
      <c r="G17" s="2">
        <f t="shared" si="1"/>
        <v>110</v>
      </c>
    </row>
    <row r="18" spans="1:7" x14ac:dyDescent="0.25">
      <c r="A18" t="str">
        <f t="shared" si="2"/>
        <v>General Lagos Población  de 15 a 64 años</v>
      </c>
      <c r="B18" t="s">
        <v>2465</v>
      </c>
      <c r="C18" t="s">
        <v>2508</v>
      </c>
      <c r="D18" t="s">
        <v>50</v>
      </c>
      <c r="E18" s="2" t="s">
        <v>2459</v>
      </c>
      <c r="F18">
        <f t="shared" si="0"/>
        <v>5</v>
      </c>
      <c r="G18" s="2">
        <f t="shared" si="1"/>
        <v>546</v>
      </c>
    </row>
    <row r="19" spans="1:7" x14ac:dyDescent="0.25">
      <c r="A19" t="str">
        <f t="shared" si="2"/>
        <v>General Lagos Población de 65 años o mas</v>
      </c>
      <c r="B19" t="s">
        <v>2465</v>
      </c>
      <c r="C19" t="s">
        <v>2508</v>
      </c>
      <c r="D19" t="s">
        <v>46</v>
      </c>
      <c r="E19" s="2" t="s">
        <v>2458</v>
      </c>
      <c r="F19">
        <f t="shared" si="0"/>
        <v>5</v>
      </c>
      <c r="G19" s="2">
        <f t="shared" si="1"/>
        <v>145</v>
      </c>
    </row>
    <row r="20" spans="1:7" x14ac:dyDescent="0.25">
      <c r="A20" t="str">
        <f t="shared" si="2"/>
        <v>Putre Hombre</v>
      </c>
      <c r="B20" t="s">
        <v>2465</v>
      </c>
      <c r="C20" t="s">
        <v>2509</v>
      </c>
      <c r="D20" t="s">
        <v>58</v>
      </c>
      <c r="E20" s="2" t="s">
        <v>2457</v>
      </c>
      <c r="F20">
        <f t="shared" si="0"/>
        <v>6</v>
      </c>
      <c r="G20" s="2">
        <f t="shared" si="1"/>
        <v>1488</v>
      </c>
    </row>
    <row r="21" spans="1:7" x14ac:dyDescent="0.25">
      <c r="A21" t="str">
        <f t="shared" si="2"/>
        <v>Putre Mujer</v>
      </c>
      <c r="B21" t="s">
        <v>2465</v>
      </c>
      <c r="C21" t="s">
        <v>2509</v>
      </c>
      <c r="D21" t="s">
        <v>56</v>
      </c>
      <c r="E21" s="2" t="s">
        <v>126</v>
      </c>
      <c r="F21">
        <f t="shared" si="0"/>
        <v>6</v>
      </c>
      <c r="G21" s="2">
        <f t="shared" si="1"/>
        <v>1081</v>
      </c>
    </row>
    <row r="22" spans="1:7" x14ac:dyDescent="0.25">
      <c r="A22" t="str">
        <f t="shared" si="2"/>
        <v>Putre Población total</v>
      </c>
      <c r="B22" t="s">
        <v>2465</v>
      </c>
      <c r="C22" t="s">
        <v>2509</v>
      </c>
      <c r="D22" t="s">
        <v>54</v>
      </c>
      <c r="E22" s="2" t="s">
        <v>2456</v>
      </c>
      <c r="F22">
        <f t="shared" si="0"/>
        <v>6</v>
      </c>
      <c r="G22" s="2">
        <f t="shared" si="1"/>
        <v>2569</v>
      </c>
    </row>
    <row r="23" spans="1:7" x14ac:dyDescent="0.25">
      <c r="A23" t="str">
        <f t="shared" si="2"/>
        <v>Putre Población  de 0 a 14 años</v>
      </c>
      <c r="B23" t="s">
        <v>2465</v>
      </c>
      <c r="C23" t="s">
        <v>2509</v>
      </c>
      <c r="D23" t="s">
        <v>52</v>
      </c>
      <c r="E23" s="2" t="s">
        <v>2455</v>
      </c>
      <c r="F23">
        <f t="shared" si="0"/>
        <v>5</v>
      </c>
      <c r="G23" s="2">
        <f t="shared" si="1"/>
        <v>291</v>
      </c>
    </row>
    <row r="24" spans="1:7" x14ac:dyDescent="0.25">
      <c r="A24" t="str">
        <f t="shared" si="2"/>
        <v>Putre Población  de 15 a 64 años</v>
      </c>
      <c r="B24" t="s">
        <v>2465</v>
      </c>
      <c r="C24" t="s">
        <v>2509</v>
      </c>
      <c r="D24" t="s">
        <v>50</v>
      </c>
      <c r="E24" s="2" t="s">
        <v>2454</v>
      </c>
      <c r="F24">
        <f t="shared" si="0"/>
        <v>6</v>
      </c>
      <c r="G24" s="2">
        <f t="shared" si="1"/>
        <v>1928</v>
      </c>
    </row>
    <row r="25" spans="1:7" x14ac:dyDescent="0.25">
      <c r="A25" t="str">
        <f t="shared" si="2"/>
        <v>Putre Población de 65 años o mas</v>
      </c>
      <c r="B25" t="s">
        <v>2465</v>
      </c>
      <c r="C25" t="s">
        <v>2509</v>
      </c>
      <c r="D25" t="s">
        <v>46</v>
      </c>
      <c r="E25" s="2" t="s">
        <v>2453</v>
      </c>
      <c r="F25">
        <f t="shared" si="0"/>
        <v>5</v>
      </c>
      <c r="G25" s="2">
        <f t="shared" si="1"/>
        <v>350</v>
      </c>
    </row>
    <row r="26" spans="1:7" x14ac:dyDescent="0.25">
      <c r="A26" t="str">
        <f t="shared" si="2"/>
        <v>Arica Hombre</v>
      </c>
      <c r="B26" t="s">
        <v>2465</v>
      </c>
      <c r="C26" t="s">
        <v>2510</v>
      </c>
      <c r="D26" t="s">
        <v>58</v>
      </c>
      <c r="E26" s="2" t="s">
        <v>2452</v>
      </c>
      <c r="F26">
        <f t="shared" si="0"/>
        <v>8</v>
      </c>
      <c r="G26" s="2">
        <f t="shared" si="1"/>
        <v>129570</v>
      </c>
    </row>
    <row r="27" spans="1:7" x14ac:dyDescent="0.25">
      <c r="A27" t="str">
        <f t="shared" si="2"/>
        <v>Arica Mujer</v>
      </c>
      <c r="B27" t="s">
        <v>2465</v>
      </c>
      <c r="C27" t="s">
        <v>2510</v>
      </c>
      <c r="D27" t="s">
        <v>56</v>
      </c>
      <c r="E27" s="2" t="s">
        <v>2451</v>
      </c>
      <c r="F27">
        <f t="shared" si="0"/>
        <v>8</v>
      </c>
      <c r="G27" s="2">
        <f t="shared" si="1"/>
        <v>127593</v>
      </c>
    </row>
    <row r="28" spans="1:7" x14ac:dyDescent="0.25">
      <c r="A28" t="str">
        <f t="shared" si="2"/>
        <v>Arica Población total</v>
      </c>
      <c r="B28" t="s">
        <v>2465</v>
      </c>
      <c r="C28" t="s">
        <v>2510</v>
      </c>
      <c r="D28" t="s">
        <v>54</v>
      </c>
      <c r="E28" s="2" t="s">
        <v>2450</v>
      </c>
      <c r="F28">
        <f t="shared" si="0"/>
        <v>8</v>
      </c>
      <c r="G28" s="2">
        <f t="shared" si="1"/>
        <v>257163</v>
      </c>
    </row>
    <row r="29" spans="1:7" x14ac:dyDescent="0.25">
      <c r="A29" t="str">
        <f t="shared" si="2"/>
        <v>Arica Población  de 0 a 14 años</v>
      </c>
      <c r="B29" t="s">
        <v>2465</v>
      </c>
      <c r="C29" t="s">
        <v>2510</v>
      </c>
      <c r="D29" t="s">
        <v>52</v>
      </c>
      <c r="E29" s="2" t="s">
        <v>2449</v>
      </c>
      <c r="F29">
        <f t="shared" si="0"/>
        <v>7</v>
      </c>
      <c r="G29" s="2">
        <f t="shared" si="1"/>
        <v>50964</v>
      </c>
    </row>
    <row r="30" spans="1:7" x14ac:dyDescent="0.25">
      <c r="A30" t="str">
        <f t="shared" si="2"/>
        <v>Arica Población  de 15 a 64 años</v>
      </c>
      <c r="B30" t="s">
        <v>2465</v>
      </c>
      <c r="C30" t="s">
        <v>2510</v>
      </c>
      <c r="D30" t="s">
        <v>50</v>
      </c>
      <c r="E30" s="2" t="s">
        <v>2448</v>
      </c>
      <c r="F30">
        <f t="shared" si="0"/>
        <v>8</v>
      </c>
      <c r="G30" s="2">
        <f t="shared" si="1"/>
        <v>173370</v>
      </c>
    </row>
    <row r="31" spans="1:7" x14ac:dyDescent="0.25">
      <c r="A31" t="str">
        <f t="shared" si="2"/>
        <v>Arica Población de 65 años o mas</v>
      </c>
      <c r="B31" t="s">
        <v>2465</v>
      </c>
      <c r="C31" t="s">
        <v>2510</v>
      </c>
      <c r="D31" t="s">
        <v>46</v>
      </c>
      <c r="E31" s="2" t="s">
        <v>2447</v>
      </c>
      <c r="F31">
        <f t="shared" si="0"/>
        <v>7</v>
      </c>
      <c r="G31" s="2">
        <f t="shared" si="1"/>
        <v>32829</v>
      </c>
    </row>
    <row r="32" spans="1:7" x14ac:dyDescent="0.25">
      <c r="A32" t="str">
        <f t="shared" si="2"/>
        <v>Camarones Hombre</v>
      </c>
      <c r="B32" t="s">
        <v>2465</v>
      </c>
      <c r="C32" t="s">
        <v>2511</v>
      </c>
      <c r="D32" t="s">
        <v>58</v>
      </c>
      <c r="E32" s="2" t="s">
        <v>2446</v>
      </c>
      <c r="F32">
        <f t="shared" si="0"/>
        <v>5</v>
      </c>
      <c r="G32" s="2">
        <f t="shared" si="1"/>
        <v>640</v>
      </c>
    </row>
    <row r="33" spans="1:7" x14ac:dyDescent="0.25">
      <c r="A33" t="str">
        <f t="shared" si="2"/>
        <v>Camarones Mujer</v>
      </c>
      <c r="B33" t="s">
        <v>2465</v>
      </c>
      <c r="C33" t="s">
        <v>2511</v>
      </c>
      <c r="D33" t="s">
        <v>56</v>
      </c>
      <c r="E33" s="2" t="s">
        <v>2445</v>
      </c>
      <c r="F33">
        <f t="shared" si="0"/>
        <v>5</v>
      </c>
      <c r="G33" s="2">
        <f t="shared" si="1"/>
        <v>606</v>
      </c>
    </row>
    <row r="34" spans="1:7" x14ac:dyDescent="0.25">
      <c r="A34" t="str">
        <f t="shared" si="2"/>
        <v>Camarones Población total</v>
      </c>
      <c r="B34" t="s">
        <v>2465</v>
      </c>
      <c r="C34" t="s">
        <v>2511</v>
      </c>
      <c r="D34" t="s">
        <v>54</v>
      </c>
      <c r="E34" s="2" t="s">
        <v>2444</v>
      </c>
      <c r="F34">
        <f t="shared" si="0"/>
        <v>6</v>
      </c>
      <c r="G34" s="2">
        <f t="shared" si="1"/>
        <v>1246</v>
      </c>
    </row>
    <row r="35" spans="1:7" x14ac:dyDescent="0.25">
      <c r="A35" t="str">
        <f t="shared" si="2"/>
        <v>Camarones Población  de 0 a 14 años</v>
      </c>
      <c r="B35" t="s">
        <v>2465</v>
      </c>
      <c r="C35" t="s">
        <v>2511</v>
      </c>
      <c r="D35" t="s">
        <v>52</v>
      </c>
      <c r="E35" s="2" t="s">
        <v>2443</v>
      </c>
      <c r="F35">
        <f t="shared" si="0"/>
        <v>5</v>
      </c>
      <c r="G35" s="2">
        <f t="shared" si="1"/>
        <v>178</v>
      </c>
    </row>
    <row r="36" spans="1:7" x14ac:dyDescent="0.25">
      <c r="A36" t="str">
        <f t="shared" si="2"/>
        <v>Camarones Población  de 15 a 64 años</v>
      </c>
      <c r="B36" t="s">
        <v>2465</v>
      </c>
      <c r="C36" t="s">
        <v>2511</v>
      </c>
      <c r="D36" t="s">
        <v>50</v>
      </c>
      <c r="E36" s="2" t="s">
        <v>2442</v>
      </c>
      <c r="F36">
        <f t="shared" si="0"/>
        <v>5</v>
      </c>
      <c r="G36" s="2">
        <f t="shared" si="1"/>
        <v>800</v>
      </c>
    </row>
    <row r="37" spans="1:7" x14ac:dyDescent="0.25">
      <c r="A37" t="str">
        <f t="shared" si="2"/>
        <v>Camarones Población de 65 años o mas</v>
      </c>
      <c r="B37" t="s">
        <v>2465</v>
      </c>
      <c r="C37" t="s">
        <v>2511</v>
      </c>
      <c r="D37" t="s">
        <v>46</v>
      </c>
      <c r="E37" s="2" t="s">
        <v>2441</v>
      </c>
      <c r="F37">
        <f t="shared" si="0"/>
        <v>5</v>
      </c>
      <c r="G37" s="2">
        <f t="shared" si="1"/>
        <v>268</v>
      </c>
    </row>
    <row r="38" spans="1:7" x14ac:dyDescent="0.25">
      <c r="A38" t="str">
        <f t="shared" si="2"/>
        <v>Región De Tarapacá Hombre</v>
      </c>
      <c r="B38" t="s">
        <v>2435</v>
      </c>
      <c r="C38" t="s">
        <v>2435</v>
      </c>
      <c r="D38" t="s">
        <v>58</v>
      </c>
      <c r="E38" s="2" t="s">
        <v>2440</v>
      </c>
      <c r="F38">
        <f t="shared" si="0"/>
        <v>8</v>
      </c>
      <c r="G38" s="2">
        <f t="shared" si="1"/>
        <v>204628</v>
      </c>
    </row>
    <row r="39" spans="1:7" x14ac:dyDescent="0.25">
      <c r="A39" t="str">
        <f t="shared" si="2"/>
        <v>Región De Tarapacá Mujer</v>
      </c>
      <c r="B39" t="s">
        <v>2435</v>
      </c>
      <c r="C39" t="s">
        <v>2435</v>
      </c>
      <c r="D39" t="s">
        <v>56</v>
      </c>
      <c r="E39" s="2" t="s">
        <v>2439</v>
      </c>
      <c r="F39">
        <f t="shared" si="0"/>
        <v>8</v>
      </c>
      <c r="G39" s="2">
        <f t="shared" si="1"/>
        <v>201659</v>
      </c>
    </row>
    <row r="40" spans="1:7" x14ac:dyDescent="0.25">
      <c r="A40" t="str">
        <f t="shared" si="2"/>
        <v>Región De Tarapacá Población total</v>
      </c>
      <c r="B40" t="s">
        <v>2435</v>
      </c>
      <c r="C40" t="s">
        <v>2435</v>
      </c>
      <c r="D40" t="s">
        <v>54</v>
      </c>
      <c r="E40" s="2" t="s">
        <v>2438</v>
      </c>
      <c r="F40">
        <f t="shared" si="0"/>
        <v>8</v>
      </c>
      <c r="G40" s="2">
        <f t="shared" si="1"/>
        <v>406287</v>
      </c>
    </row>
    <row r="41" spans="1:7" x14ac:dyDescent="0.25">
      <c r="A41" t="str">
        <f t="shared" si="2"/>
        <v>Región De Tarapacá Población  de 0 a 14 años</v>
      </c>
      <c r="B41" t="s">
        <v>2435</v>
      </c>
      <c r="C41" t="s">
        <v>2435</v>
      </c>
      <c r="D41" t="s">
        <v>52</v>
      </c>
      <c r="E41" s="2" t="s">
        <v>2437</v>
      </c>
      <c r="F41">
        <f t="shared" si="0"/>
        <v>7</v>
      </c>
      <c r="G41" s="2">
        <f t="shared" si="1"/>
        <v>89422</v>
      </c>
    </row>
    <row r="42" spans="1:7" x14ac:dyDescent="0.25">
      <c r="A42" t="str">
        <f t="shared" si="2"/>
        <v>Región De Tarapacá Población  de 15 a 64 años</v>
      </c>
      <c r="B42" t="s">
        <v>2435</v>
      </c>
      <c r="C42" t="s">
        <v>2435</v>
      </c>
      <c r="D42" t="s">
        <v>50</v>
      </c>
      <c r="E42" s="2" t="s">
        <v>2436</v>
      </c>
      <c r="F42">
        <f t="shared" si="0"/>
        <v>8</v>
      </c>
      <c r="G42" s="2">
        <f t="shared" si="1"/>
        <v>278679</v>
      </c>
    </row>
    <row r="43" spans="1:7" x14ac:dyDescent="0.25">
      <c r="A43" t="str">
        <f t="shared" si="2"/>
        <v>Región De Tarapacá Población de 65 años o mas</v>
      </c>
      <c r="B43" t="s">
        <v>2435</v>
      </c>
      <c r="C43" t="s">
        <v>2435</v>
      </c>
      <c r="D43" t="s">
        <v>46</v>
      </c>
      <c r="E43" s="2" t="s">
        <v>2434</v>
      </c>
      <c r="F43">
        <f t="shared" si="0"/>
        <v>7</v>
      </c>
      <c r="G43" s="2">
        <f t="shared" si="1"/>
        <v>38186</v>
      </c>
    </row>
    <row r="44" spans="1:7" x14ac:dyDescent="0.25">
      <c r="A44" t="str">
        <f t="shared" si="2"/>
        <v>Colchane Hombre</v>
      </c>
      <c r="B44" t="s">
        <v>2435</v>
      </c>
      <c r="C44" t="s">
        <v>2429</v>
      </c>
      <c r="D44" t="s">
        <v>58</v>
      </c>
      <c r="E44" s="2" t="s">
        <v>155</v>
      </c>
      <c r="F44">
        <f t="shared" si="0"/>
        <v>5</v>
      </c>
      <c r="G44" s="2">
        <f t="shared" si="1"/>
        <v>815</v>
      </c>
    </row>
    <row r="45" spans="1:7" x14ac:dyDescent="0.25">
      <c r="A45" t="str">
        <f t="shared" si="2"/>
        <v>Colchane Mujer</v>
      </c>
      <c r="B45" t="s">
        <v>2435</v>
      </c>
      <c r="C45" t="s">
        <v>2429</v>
      </c>
      <c r="D45" t="s">
        <v>56</v>
      </c>
      <c r="E45" s="2" t="s">
        <v>2433</v>
      </c>
      <c r="F45">
        <f t="shared" si="0"/>
        <v>5</v>
      </c>
      <c r="G45" s="2">
        <f t="shared" si="1"/>
        <v>743</v>
      </c>
    </row>
    <row r="46" spans="1:7" x14ac:dyDescent="0.25">
      <c r="A46" t="str">
        <f t="shared" si="2"/>
        <v>Colchane Población total</v>
      </c>
      <c r="B46" t="s">
        <v>2435</v>
      </c>
      <c r="C46" t="s">
        <v>2429</v>
      </c>
      <c r="D46" t="s">
        <v>54</v>
      </c>
      <c r="E46" s="2" t="s">
        <v>2432</v>
      </c>
      <c r="F46">
        <f t="shared" si="0"/>
        <v>6</v>
      </c>
      <c r="G46" s="2">
        <f t="shared" si="1"/>
        <v>1558</v>
      </c>
    </row>
    <row r="47" spans="1:7" x14ac:dyDescent="0.25">
      <c r="A47" t="str">
        <f t="shared" si="2"/>
        <v>Colchane Población  de 0 a 14 años</v>
      </c>
      <c r="B47" t="s">
        <v>2435</v>
      </c>
      <c r="C47" t="s">
        <v>2429</v>
      </c>
      <c r="D47" t="s">
        <v>52</v>
      </c>
      <c r="E47" s="2" t="s">
        <v>2431</v>
      </c>
      <c r="F47">
        <f t="shared" si="0"/>
        <v>5</v>
      </c>
      <c r="G47" s="2">
        <f t="shared" si="1"/>
        <v>251</v>
      </c>
    </row>
    <row r="48" spans="1:7" x14ac:dyDescent="0.25">
      <c r="A48" t="str">
        <f t="shared" si="2"/>
        <v>Colchane Población  de 15 a 64 años</v>
      </c>
      <c r="B48" t="s">
        <v>2435</v>
      </c>
      <c r="C48" t="s">
        <v>2429</v>
      </c>
      <c r="D48" t="s">
        <v>50</v>
      </c>
      <c r="E48" s="2" t="s">
        <v>2430</v>
      </c>
      <c r="F48">
        <f t="shared" si="0"/>
        <v>5</v>
      </c>
      <c r="G48" s="2">
        <f t="shared" si="1"/>
        <v>995</v>
      </c>
    </row>
    <row r="49" spans="1:7" x14ac:dyDescent="0.25">
      <c r="A49" t="str">
        <f t="shared" si="2"/>
        <v>Colchane Población de 65 años o mas</v>
      </c>
      <c r="B49" t="s">
        <v>2435</v>
      </c>
      <c r="C49" t="s">
        <v>2429</v>
      </c>
      <c r="D49" t="s">
        <v>46</v>
      </c>
      <c r="E49" s="2" t="s">
        <v>2428</v>
      </c>
      <c r="F49">
        <f t="shared" si="0"/>
        <v>5</v>
      </c>
      <c r="G49" s="2">
        <f t="shared" si="1"/>
        <v>312</v>
      </c>
    </row>
    <row r="50" spans="1:7" x14ac:dyDescent="0.25">
      <c r="A50" t="str">
        <f t="shared" si="2"/>
        <v>Camiña Hombre</v>
      </c>
      <c r="B50" t="s">
        <v>2435</v>
      </c>
      <c r="C50" t="s">
        <v>2422</v>
      </c>
      <c r="D50" t="s">
        <v>58</v>
      </c>
      <c r="E50" s="2" t="s">
        <v>2427</v>
      </c>
      <c r="F50">
        <f t="shared" si="0"/>
        <v>5</v>
      </c>
      <c r="G50" s="2">
        <f t="shared" si="1"/>
        <v>703</v>
      </c>
    </row>
    <row r="51" spans="1:7" x14ac:dyDescent="0.25">
      <c r="A51" t="str">
        <f t="shared" si="2"/>
        <v>Camiña Mujer</v>
      </c>
      <c r="B51" t="s">
        <v>2435</v>
      </c>
      <c r="C51" t="s">
        <v>2422</v>
      </c>
      <c r="D51" t="s">
        <v>56</v>
      </c>
      <c r="E51" s="2" t="s">
        <v>2426</v>
      </c>
      <c r="F51">
        <f t="shared" si="0"/>
        <v>5</v>
      </c>
      <c r="G51" s="2">
        <f t="shared" si="1"/>
        <v>671</v>
      </c>
    </row>
    <row r="52" spans="1:7" x14ac:dyDescent="0.25">
      <c r="A52" t="str">
        <f t="shared" si="2"/>
        <v>Camiña Población total</v>
      </c>
      <c r="B52" t="s">
        <v>2435</v>
      </c>
      <c r="C52" t="s">
        <v>2422</v>
      </c>
      <c r="D52" t="s">
        <v>54</v>
      </c>
      <c r="E52" s="2" t="s">
        <v>2425</v>
      </c>
      <c r="F52">
        <f t="shared" si="0"/>
        <v>6</v>
      </c>
      <c r="G52" s="2">
        <f t="shared" si="1"/>
        <v>1374</v>
      </c>
    </row>
    <row r="53" spans="1:7" x14ac:dyDescent="0.25">
      <c r="A53" t="str">
        <f t="shared" si="2"/>
        <v>Camiña Población  de 0 a 14 años</v>
      </c>
      <c r="B53" t="s">
        <v>2435</v>
      </c>
      <c r="C53" t="s">
        <v>2422</v>
      </c>
      <c r="D53" t="s">
        <v>52</v>
      </c>
      <c r="E53" s="2" t="s">
        <v>2424</v>
      </c>
      <c r="F53">
        <f t="shared" si="0"/>
        <v>5</v>
      </c>
      <c r="G53" s="2">
        <f t="shared" si="1"/>
        <v>272</v>
      </c>
    </row>
    <row r="54" spans="1:7" x14ac:dyDescent="0.25">
      <c r="A54" t="str">
        <f t="shared" si="2"/>
        <v>Camiña Población  de 15 a 64 años</v>
      </c>
      <c r="B54" t="s">
        <v>2435</v>
      </c>
      <c r="C54" t="s">
        <v>2422</v>
      </c>
      <c r="D54" t="s">
        <v>50</v>
      </c>
      <c r="E54" s="2" t="s">
        <v>2423</v>
      </c>
      <c r="F54">
        <f t="shared" si="0"/>
        <v>5</v>
      </c>
      <c r="G54" s="2">
        <f t="shared" si="1"/>
        <v>831</v>
      </c>
    </row>
    <row r="55" spans="1:7" x14ac:dyDescent="0.25">
      <c r="A55" t="str">
        <f t="shared" si="2"/>
        <v>Camiña Población de 65 años o mas</v>
      </c>
      <c r="B55" t="s">
        <v>2435</v>
      </c>
      <c r="C55" t="s">
        <v>2422</v>
      </c>
      <c r="D55" t="s">
        <v>46</v>
      </c>
      <c r="E55" s="2" t="s">
        <v>2421</v>
      </c>
      <c r="F55">
        <f t="shared" si="0"/>
        <v>5</v>
      </c>
      <c r="G55" s="2">
        <f t="shared" si="1"/>
        <v>271</v>
      </c>
    </row>
    <row r="56" spans="1:7" x14ac:dyDescent="0.25">
      <c r="A56" t="str">
        <f t="shared" si="2"/>
        <v>Huara Hombre</v>
      </c>
      <c r="B56" t="s">
        <v>2435</v>
      </c>
      <c r="C56" t="s">
        <v>2415</v>
      </c>
      <c r="D56" t="s">
        <v>58</v>
      </c>
      <c r="E56" s="2" t="s">
        <v>2420</v>
      </c>
      <c r="F56">
        <f t="shared" si="0"/>
        <v>6</v>
      </c>
      <c r="G56" s="2">
        <f t="shared" si="1"/>
        <v>1610</v>
      </c>
    </row>
    <row r="57" spans="1:7" x14ac:dyDescent="0.25">
      <c r="A57" t="str">
        <f t="shared" si="2"/>
        <v>Huara Mujer</v>
      </c>
      <c r="B57" t="s">
        <v>2435</v>
      </c>
      <c r="C57" t="s">
        <v>2415</v>
      </c>
      <c r="D57" t="s">
        <v>56</v>
      </c>
      <c r="E57" s="2" t="s">
        <v>2419</v>
      </c>
      <c r="F57">
        <f t="shared" si="0"/>
        <v>6</v>
      </c>
      <c r="G57" s="2">
        <f t="shared" si="1"/>
        <v>1485</v>
      </c>
    </row>
    <row r="58" spans="1:7" x14ac:dyDescent="0.25">
      <c r="A58" t="str">
        <f t="shared" si="2"/>
        <v>Huara Población total</v>
      </c>
      <c r="B58" t="s">
        <v>2435</v>
      </c>
      <c r="C58" t="s">
        <v>2415</v>
      </c>
      <c r="D58" t="s">
        <v>54</v>
      </c>
      <c r="E58" s="2" t="s">
        <v>2418</v>
      </c>
      <c r="F58">
        <f t="shared" si="0"/>
        <v>6</v>
      </c>
      <c r="G58" s="2">
        <f t="shared" si="1"/>
        <v>3095</v>
      </c>
    </row>
    <row r="59" spans="1:7" x14ac:dyDescent="0.25">
      <c r="A59" t="str">
        <f t="shared" si="2"/>
        <v>Huara Población  de 0 a 14 años</v>
      </c>
      <c r="B59" t="s">
        <v>2435</v>
      </c>
      <c r="C59" t="s">
        <v>2415</v>
      </c>
      <c r="D59" t="s">
        <v>52</v>
      </c>
      <c r="E59" s="2" t="s">
        <v>2417</v>
      </c>
      <c r="F59">
        <f t="shared" si="0"/>
        <v>5</v>
      </c>
      <c r="G59" s="2">
        <f t="shared" si="1"/>
        <v>658</v>
      </c>
    </row>
    <row r="60" spans="1:7" x14ac:dyDescent="0.25">
      <c r="A60" t="str">
        <f t="shared" si="2"/>
        <v>Huara Población  de 15 a 64 años</v>
      </c>
      <c r="B60" t="s">
        <v>2435</v>
      </c>
      <c r="C60" t="s">
        <v>2415</v>
      </c>
      <c r="D60" t="s">
        <v>50</v>
      </c>
      <c r="E60" s="2" t="s">
        <v>2416</v>
      </c>
      <c r="F60">
        <f t="shared" si="0"/>
        <v>6</v>
      </c>
      <c r="G60" s="2">
        <f t="shared" si="1"/>
        <v>1865</v>
      </c>
    </row>
    <row r="61" spans="1:7" x14ac:dyDescent="0.25">
      <c r="A61" t="str">
        <f t="shared" si="2"/>
        <v>Huara Población de 65 años o mas</v>
      </c>
      <c r="B61" t="s">
        <v>2435</v>
      </c>
      <c r="C61" t="s">
        <v>2415</v>
      </c>
      <c r="D61" t="s">
        <v>46</v>
      </c>
      <c r="E61" s="2" t="s">
        <v>2414</v>
      </c>
      <c r="F61">
        <f t="shared" si="0"/>
        <v>5</v>
      </c>
      <c r="G61" s="2">
        <f t="shared" si="1"/>
        <v>572</v>
      </c>
    </row>
    <row r="62" spans="1:7" x14ac:dyDescent="0.25">
      <c r="A62" t="str">
        <f t="shared" si="2"/>
        <v>Iquique Hombre</v>
      </c>
      <c r="B62" t="s">
        <v>2435</v>
      </c>
      <c r="C62" t="s">
        <v>2408</v>
      </c>
      <c r="D62" t="s">
        <v>58</v>
      </c>
      <c r="E62" s="2" t="s">
        <v>2413</v>
      </c>
      <c r="F62">
        <f t="shared" si="0"/>
        <v>8</v>
      </c>
      <c r="G62" s="2">
        <f t="shared" si="1"/>
        <v>116534</v>
      </c>
    </row>
    <row r="63" spans="1:7" x14ac:dyDescent="0.25">
      <c r="A63" t="str">
        <f t="shared" si="2"/>
        <v>Iquique Mujer</v>
      </c>
      <c r="B63" t="s">
        <v>2435</v>
      </c>
      <c r="C63" t="s">
        <v>2408</v>
      </c>
      <c r="D63" t="s">
        <v>56</v>
      </c>
      <c r="E63" s="2" t="s">
        <v>2412</v>
      </c>
      <c r="F63">
        <f t="shared" si="0"/>
        <v>8</v>
      </c>
      <c r="G63" s="2">
        <f t="shared" si="1"/>
        <v>115428</v>
      </c>
    </row>
    <row r="64" spans="1:7" x14ac:dyDescent="0.25">
      <c r="A64" t="str">
        <f t="shared" si="2"/>
        <v>Iquique Población total</v>
      </c>
      <c r="B64" t="s">
        <v>2435</v>
      </c>
      <c r="C64" t="s">
        <v>2408</v>
      </c>
      <c r="D64" t="s">
        <v>54</v>
      </c>
      <c r="E64" s="2" t="s">
        <v>2411</v>
      </c>
      <c r="F64">
        <f t="shared" si="0"/>
        <v>8</v>
      </c>
      <c r="G64" s="2">
        <f t="shared" si="1"/>
        <v>231962</v>
      </c>
    </row>
    <row r="65" spans="1:7" x14ac:dyDescent="0.25">
      <c r="A65" t="str">
        <f t="shared" si="2"/>
        <v>Iquique Población  de 0 a 14 años</v>
      </c>
      <c r="B65" t="s">
        <v>2435</v>
      </c>
      <c r="C65" t="s">
        <v>2408</v>
      </c>
      <c r="D65" t="s">
        <v>52</v>
      </c>
      <c r="E65" s="2" t="s">
        <v>2410</v>
      </c>
      <c r="F65">
        <f t="shared" si="0"/>
        <v>7</v>
      </c>
      <c r="G65" s="2">
        <f t="shared" si="1"/>
        <v>44442</v>
      </c>
    </row>
    <row r="66" spans="1:7" x14ac:dyDescent="0.25">
      <c r="A66" t="str">
        <f t="shared" si="2"/>
        <v>Iquique Población  de 15 a 64 años</v>
      </c>
      <c r="B66" t="s">
        <v>2435</v>
      </c>
      <c r="C66" t="s">
        <v>2408</v>
      </c>
      <c r="D66" t="s">
        <v>50</v>
      </c>
      <c r="E66" s="2" t="s">
        <v>2409</v>
      </c>
      <c r="F66">
        <f t="shared" ref="F66:F129" si="3">+FIND(".",E66)</f>
        <v>8</v>
      </c>
      <c r="G66" s="2">
        <f t="shared" ref="G66:G129" si="4">+LEFT(E66,(F66-1))*1</f>
        <v>161119</v>
      </c>
    </row>
    <row r="67" spans="1:7" x14ac:dyDescent="0.25">
      <c r="A67" t="str">
        <f t="shared" ref="A67:A130" si="5">+C67&amp;D67</f>
        <v>Iquique Población de 65 años o mas</v>
      </c>
      <c r="B67" t="s">
        <v>2435</v>
      </c>
      <c r="C67" t="s">
        <v>2408</v>
      </c>
      <c r="D67" t="s">
        <v>46</v>
      </c>
      <c r="E67" s="2" t="s">
        <v>1164</v>
      </c>
      <c r="F67">
        <f t="shared" si="3"/>
        <v>7</v>
      </c>
      <c r="G67" s="2">
        <f t="shared" si="4"/>
        <v>26401</v>
      </c>
    </row>
    <row r="68" spans="1:7" x14ac:dyDescent="0.25">
      <c r="A68" t="str">
        <f t="shared" si="5"/>
        <v>Pozo Almonte Hombre</v>
      </c>
      <c r="B68" t="s">
        <v>2435</v>
      </c>
      <c r="C68" t="s">
        <v>2403</v>
      </c>
      <c r="D68" t="s">
        <v>58</v>
      </c>
      <c r="E68" s="2" t="s">
        <v>2407</v>
      </c>
      <c r="F68">
        <f t="shared" si="3"/>
        <v>6</v>
      </c>
      <c r="G68" s="2">
        <f t="shared" si="4"/>
        <v>9740</v>
      </c>
    </row>
    <row r="69" spans="1:7" x14ac:dyDescent="0.25">
      <c r="A69" t="str">
        <f t="shared" si="5"/>
        <v>Pozo Almonte Mujer</v>
      </c>
      <c r="B69" t="s">
        <v>2435</v>
      </c>
      <c r="C69" t="s">
        <v>2403</v>
      </c>
      <c r="D69" t="s">
        <v>56</v>
      </c>
      <c r="E69" s="2" t="s">
        <v>570</v>
      </c>
      <c r="F69">
        <f t="shared" si="3"/>
        <v>6</v>
      </c>
      <c r="G69" s="2">
        <f t="shared" si="4"/>
        <v>8973</v>
      </c>
    </row>
    <row r="70" spans="1:7" x14ac:dyDescent="0.25">
      <c r="A70" t="str">
        <f t="shared" si="5"/>
        <v>Pozo Almonte Población total</v>
      </c>
      <c r="B70" t="s">
        <v>2435</v>
      </c>
      <c r="C70" t="s">
        <v>2403</v>
      </c>
      <c r="D70" t="s">
        <v>54</v>
      </c>
      <c r="E70" s="2" t="s">
        <v>2406</v>
      </c>
      <c r="F70">
        <f t="shared" si="3"/>
        <v>7</v>
      </c>
      <c r="G70" s="2">
        <f t="shared" si="4"/>
        <v>18713</v>
      </c>
    </row>
    <row r="71" spans="1:7" x14ac:dyDescent="0.25">
      <c r="A71" t="str">
        <f t="shared" si="5"/>
        <v>Pozo Almonte Población  de 0 a 14 años</v>
      </c>
      <c r="B71" t="s">
        <v>2435</v>
      </c>
      <c r="C71" t="s">
        <v>2403</v>
      </c>
      <c r="D71" t="s">
        <v>52</v>
      </c>
      <c r="E71" s="2" t="s">
        <v>2405</v>
      </c>
      <c r="F71">
        <f t="shared" si="3"/>
        <v>6</v>
      </c>
      <c r="G71" s="2">
        <f t="shared" si="4"/>
        <v>4421</v>
      </c>
    </row>
    <row r="72" spans="1:7" x14ac:dyDescent="0.25">
      <c r="A72" t="str">
        <f t="shared" si="5"/>
        <v>Pozo Almonte Población  de 15 a 64 años</v>
      </c>
      <c r="B72" t="s">
        <v>2435</v>
      </c>
      <c r="C72" t="s">
        <v>2403</v>
      </c>
      <c r="D72" t="s">
        <v>50</v>
      </c>
      <c r="E72" s="2" t="s">
        <v>2404</v>
      </c>
      <c r="F72">
        <f t="shared" si="3"/>
        <v>7</v>
      </c>
      <c r="G72" s="2">
        <f t="shared" si="4"/>
        <v>12438</v>
      </c>
    </row>
    <row r="73" spans="1:7" x14ac:dyDescent="0.25">
      <c r="A73" t="str">
        <f t="shared" si="5"/>
        <v>Pozo Almonte Población de 65 años o mas</v>
      </c>
      <c r="B73" t="s">
        <v>2435</v>
      </c>
      <c r="C73" t="s">
        <v>2403</v>
      </c>
      <c r="D73" t="s">
        <v>46</v>
      </c>
      <c r="E73" s="2" t="s">
        <v>2402</v>
      </c>
      <c r="F73">
        <f t="shared" si="3"/>
        <v>6</v>
      </c>
      <c r="G73" s="2">
        <f t="shared" si="4"/>
        <v>1854</v>
      </c>
    </row>
    <row r="74" spans="1:7" x14ac:dyDescent="0.25">
      <c r="A74" t="str">
        <f t="shared" si="5"/>
        <v>Alto Hospicio Hombre</v>
      </c>
      <c r="B74" t="s">
        <v>2435</v>
      </c>
      <c r="C74" t="s">
        <v>2396</v>
      </c>
      <c r="D74" t="s">
        <v>58</v>
      </c>
      <c r="E74" s="2" t="s">
        <v>2401</v>
      </c>
      <c r="F74">
        <f t="shared" si="3"/>
        <v>7</v>
      </c>
      <c r="G74" s="2">
        <f t="shared" si="4"/>
        <v>72047</v>
      </c>
    </row>
    <row r="75" spans="1:7" x14ac:dyDescent="0.25">
      <c r="A75" t="str">
        <f t="shared" si="5"/>
        <v>Alto Hospicio Mujer</v>
      </c>
      <c r="B75" t="s">
        <v>2435</v>
      </c>
      <c r="C75" t="s">
        <v>2396</v>
      </c>
      <c r="D75" t="s">
        <v>56</v>
      </c>
      <c r="E75" s="2" t="s">
        <v>2400</v>
      </c>
      <c r="F75">
        <f t="shared" si="3"/>
        <v>7</v>
      </c>
      <c r="G75" s="2">
        <f t="shared" si="4"/>
        <v>71247</v>
      </c>
    </row>
    <row r="76" spans="1:7" x14ac:dyDescent="0.25">
      <c r="A76" t="str">
        <f t="shared" si="5"/>
        <v>Alto Hospicio Población total</v>
      </c>
      <c r="B76" t="s">
        <v>2435</v>
      </c>
      <c r="C76" t="s">
        <v>2396</v>
      </c>
      <c r="D76" t="s">
        <v>54</v>
      </c>
      <c r="E76" s="2" t="s">
        <v>2399</v>
      </c>
      <c r="F76">
        <f t="shared" si="3"/>
        <v>8</v>
      </c>
      <c r="G76" s="2">
        <f t="shared" si="4"/>
        <v>143294</v>
      </c>
    </row>
    <row r="77" spans="1:7" x14ac:dyDescent="0.25">
      <c r="A77" t="str">
        <f t="shared" si="5"/>
        <v>Alto Hospicio Población  de 0 a 14 años</v>
      </c>
      <c r="B77" t="s">
        <v>2435</v>
      </c>
      <c r="C77" t="s">
        <v>2396</v>
      </c>
      <c r="D77" t="s">
        <v>52</v>
      </c>
      <c r="E77" s="2" t="s">
        <v>2398</v>
      </c>
      <c r="F77">
        <f t="shared" si="3"/>
        <v>7</v>
      </c>
      <c r="G77" s="2">
        <f t="shared" si="4"/>
        <v>38032</v>
      </c>
    </row>
    <row r="78" spans="1:7" x14ac:dyDescent="0.25">
      <c r="A78" t="str">
        <f t="shared" si="5"/>
        <v>Alto Hospicio Población  de 15 a 64 años</v>
      </c>
      <c r="B78" t="s">
        <v>2435</v>
      </c>
      <c r="C78" t="s">
        <v>2396</v>
      </c>
      <c r="D78" t="s">
        <v>50</v>
      </c>
      <c r="E78" s="2" t="s">
        <v>2397</v>
      </c>
      <c r="F78">
        <f t="shared" si="3"/>
        <v>7</v>
      </c>
      <c r="G78" s="2">
        <f t="shared" si="4"/>
        <v>97562</v>
      </c>
    </row>
    <row r="79" spans="1:7" x14ac:dyDescent="0.25">
      <c r="A79" t="str">
        <f t="shared" si="5"/>
        <v>Alto Hospicio Población de 65 años o mas</v>
      </c>
      <c r="B79" t="s">
        <v>2435</v>
      </c>
      <c r="C79" t="s">
        <v>2396</v>
      </c>
      <c r="D79" t="s">
        <v>46</v>
      </c>
      <c r="E79" s="2" t="s">
        <v>2395</v>
      </c>
      <c r="F79">
        <f t="shared" si="3"/>
        <v>6</v>
      </c>
      <c r="G79" s="2">
        <f t="shared" si="4"/>
        <v>7700</v>
      </c>
    </row>
    <row r="80" spans="1:7" x14ac:dyDescent="0.25">
      <c r="A80" t="str">
        <f t="shared" si="5"/>
        <v>Pica Hombre</v>
      </c>
      <c r="B80" t="s">
        <v>2435</v>
      </c>
      <c r="C80" t="s">
        <v>2389</v>
      </c>
      <c r="D80" t="s">
        <v>58</v>
      </c>
      <c r="E80" s="2" t="s">
        <v>2394</v>
      </c>
      <c r="F80">
        <f t="shared" si="3"/>
        <v>6</v>
      </c>
      <c r="G80" s="2">
        <f t="shared" si="4"/>
        <v>3179</v>
      </c>
    </row>
    <row r="81" spans="1:7" x14ac:dyDescent="0.25">
      <c r="A81" t="str">
        <f t="shared" si="5"/>
        <v>Pica Mujer</v>
      </c>
      <c r="B81" t="s">
        <v>2435</v>
      </c>
      <c r="C81" t="s">
        <v>2389</v>
      </c>
      <c r="D81" t="s">
        <v>56</v>
      </c>
      <c r="E81" s="2" t="s">
        <v>2393</v>
      </c>
      <c r="F81">
        <f t="shared" si="3"/>
        <v>6</v>
      </c>
      <c r="G81" s="2">
        <f t="shared" si="4"/>
        <v>3112</v>
      </c>
    </row>
    <row r="82" spans="1:7" x14ac:dyDescent="0.25">
      <c r="A82" t="str">
        <f t="shared" si="5"/>
        <v>Pica Población total</v>
      </c>
      <c r="B82" t="s">
        <v>2435</v>
      </c>
      <c r="C82" t="s">
        <v>2389</v>
      </c>
      <c r="D82" t="s">
        <v>54</v>
      </c>
      <c r="E82" s="2" t="s">
        <v>2392</v>
      </c>
      <c r="F82">
        <f t="shared" si="3"/>
        <v>6</v>
      </c>
      <c r="G82" s="2">
        <f t="shared" si="4"/>
        <v>6291</v>
      </c>
    </row>
    <row r="83" spans="1:7" x14ac:dyDescent="0.25">
      <c r="A83" t="str">
        <f t="shared" si="5"/>
        <v>Pica Población  de 0 a 14 años</v>
      </c>
      <c r="B83" t="s">
        <v>2435</v>
      </c>
      <c r="C83" t="s">
        <v>2389</v>
      </c>
      <c r="D83" t="s">
        <v>52</v>
      </c>
      <c r="E83" s="2" t="s">
        <v>2391</v>
      </c>
      <c r="F83">
        <f t="shared" si="3"/>
        <v>6</v>
      </c>
      <c r="G83" s="2">
        <f t="shared" si="4"/>
        <v>1346</v>
      </c>
    </row>
    <row r="84" spans="1:7" x14ac:dyDescent="0.25">
      <c r="A84" t="str">
        <f t="shared" si="5"/>
        <v>Pica Población  de 15 a 64 años</v>
      </c>
      <c r="B84" t="s">
        <v>2435</v>
      </c>
      <c r="C84" t="s">
        <v>2389</v>
      </c>
      <c r="D84" t="s">
        <v>50</v>
      </c>
      <c r="E84" s="2" t="s">
        <v>2390</v>
      </c>
      <c r="F84">
        <f t="shared" si="3"/>
        <v>6</v>
      </c>
      <c r="G84" s="2">
        <f t="shared" si="4"/>
        <v>3869</v>
      </c>
    </row>
    <row r="85" spans="1:7" x14ac:dyDescent="0.25">
      <c r="A85" t="str">
        <f t="shared" si="5"/>
        <v>Pica Población de 65 años o mas</v>
      </c>
      <c r="B85" t="s">
        <v>2435</v>
      </c>
      <c r="C85" t="s">
        <v>2389</v>
      </c>
      <c r="D85" t="s">
        <v>46</v>
      </c>
      <c r="E85" s="2" t="s">
        <v>2388</v>
      </c>
      <c r="F85">
        <f t="shared" si="3"/>
        <v>6</v>
      </c>
      <c r="G85" s="2">
        <f t="shared" si="4"/>
        <v>1076</v>
      </c>
    </row>
    <row r="86" spans="1:7" x14ac:dyDescent="0.25">
      <c r="A86" t="str">
        <f t="shared" si="5"/>
        <v>Región De Antofagasta Hombre</v>
      </c>
      <c r="B86" t="s">
        <v>2382</v>
      </c>
      <c r="C86" t="s">
        <v>2382</v>
      </c>
      <c r="D86" t="s">
        <v>58</v>
      </c>
      <c r="E86" s="2" t="s">
        <v>2387</v>
      </c>
      <c r="F86">
        <f t="shared" si="3"/>
        <v>8</v>
      </c>
      <c r="G86" s="2">
        <f t="shared" si="4"/>
        <v>361009</v>
      </c>
    </row>
    <row r="87" spans="1:7" x14ac:dyDescent="0.25">
      <c r="A87" t="str">
        <f t="shared" si="5"/>
        <v>Región De Antofagasta Mujer</v>
      </c>
      <c r="B87" t="s">
        <v>2382</v>
      </c>
      <c r="C87" t="s">
        <v>2382</v>
      </c>
      <c r="D87" t="s">
        <v>56</v>
      </c>
      <c r="E87" s="2" t="s">
        <v>2386</v>
      </c>
      <c r="F87">
        <f t="shared" si="3"/>
        <v>8</v>
      </c>
      <c r="G87" s="2">
        <f t="shared" si="4"/>
        <v>357223</v>
      </c>
    </row>
    <row r="88" spans="1:7" x14ac:dyDescent="0.25">
      <c r="A88" t="str">
        <f t="shared" si="5"/>
        <v>Región De Antofagasta Población total</v>
      </c>
      <c r="B88" t="s">
        <v>2382</v>
      </c>
      <c r="C88" t="s">
        <v>2382</v>
      </c>
      <c r="D88" t="s">
        <v>54</v>
      </c>
      <c r="E88" s="2" t="s">
        <v>2385</v>
      </c>
      <c r="F88">
        <f t="shared" si="3"/>
        <v>8</v>
      </c>
      <c r="G88" s="2">
        <f t="shared" si="4"/>
        <v>718232</v>
      </c>
    </row>
    <row r="89" spans="1:7" x14ac:dyDescent="0.25">
      <c r="A89" t="str">
        <f t="shared" si="5"/>
        <v>Región De Antofagasta Población  de 0 a 14 años</v>
      </c>
      <c r="B89" t="s">
        <v>2382</v>
      </c>
      <c r="C89" t="s">
        <v>2382</v>
      </c>
      <c r="D89" t="s">
        <v>52</v>
      </c>
      <c r="E89" s="2" t="s">
        <v>2384</v>
      </c>
      <c r="F89">
        <f t="shared" si="3"/>
        <v>8</v>
      </c>
      <c r="G89" s="2">
        <f t="shared" si="4"/>
        <v>143591</v>
      </c>
    </row>
    <row r="90" spans="1:7" x14ac:dyDescent="0.25">
      <c r="A90" t="str">
        <f t="shared" si="5"/>
        <v>Región De Antofagasta Población  de 15 a 64 años</v>
      </c>
      <c r="B90" t="s">
        <v>2382</v>
      </c>
      <c r="C90" t="s">
        <v>2382</v>
      </c>
      <c r="D90" t="s">
        <v>50</v>
      </c>
      <c r="E90" s="2" t="s">
        <v>2383</v>
      </c>
      <c r="F90">
        <f t="shared" si="3"/>
        <v>8</v>
      </c>
      <c r="G90" s="2">
        <f t="shared" si="4"/>
        <v>510597</v>
      </c>
    </row>
    <row r="91" spans="1:7" x14ac:dyDescent="0.25">
      <c r="A91" t="str">
        <f t="shared" si="5"/>
        <v>Región De Antofagasta Población de 65 años o mas</v>
      </c>
      <c r="B91" t="s">
        <v>2382</v>
      </c>
      <c r="C91" t="s">
        <v>2382</v>
      </c>
      <c r="D91" t="s">
        <v>46</v>
      </c>
      <c r="E91" s="2" t="s">
        <v>2381</v>
      </c>
      <c r="F91">
        <f t="shared" si="3"/>
        <v>7</v>
      </c>
      <c r="G91" s="2">
        <f t="shared" si="4"/>
        <v>64044</v>
      </c>
    </row>
    <row r="92" spans="1:7" x14ac:dyDescent="0.25">
      <c r="A92" t="str">
        <f t="shared" si="5"/>
        <v>Ollagüe Hombre</v>
      </c>
      <c r="B92" t="s">
        <v>2382</v>
      </c>
      <c r="C92" t="s">
        <v>2376</v>
      </c>
      <c r="D92" t="s">
        <v>58</v>
      </c>
      <c r="E92" s="2" t="s">
        <v>2380</v>
      </c>
      <c r="F92">
        <f t="shared" si="3"/>
        <v>5</v>
      </c>
      <c r="G92" s="2">
        <f t="shared" si="4"/>
        <v>143</v>
      </c>
    </row>
    <row r="93" spans="1:7" x14ac:dyDescent="0.25">
      <c r="A93" t="str">
        <f t="shared" si="5"/>
        <v>Ollagüe Mujer</v>
      </c>
      <c r="B93" t="s">
        <v>2382</v>
      </c>
      <c r="C93" t="s">
        <v>2376</v>
      </c>
      <c r="D93" t="s">
        <v>56</v>
      </c>
      <c r="E93" s="2" t="s">
        <v>145</v>
      </c>
      <c r="F93">
        <f t="shared" si="3"/>
        <v>5</v>
      </c>
      <c r="G93" s="2">
        <f t="shared" si="4"/>
        <v>126</v>
      </c>
    </row>
    <row r="94" spans="1:7" x14ac:dyDescent="0.25">
      <c r="A94" t="str">
        <f t="shared" si="5"/>
        <v>Ollagüe Población total</v>
      </c>
      <c r="B94" t="s">
        <v>2382</v>
      </c>
      <c r="C94" t="s">
        <v>2376</v>
      </c>
      <c r="D94" t="s">
        <v>54</v>
      </c>
      <c r="E94" s="2" t="s">
        <v>2379</v>
      </c>
      <c r="F94">
        <f t="shared" si="3"/>
        <v>5</v>
      </c>
      <c r="G94" s="2">
        <f t="shared" si="4"/>
        <v>269</v>
      </c>
    </row>
    <row r="95" spans="1:7" x14ac:dyDescent="0.25">
      <c r="A95" t="str">
        <f t="shared" si="5"/>
        <v>Ollagüe Población  de 0 a 14 años</v>
      </c>
      <c r="B95" t="s">
        <v>2382</v>
      </c>
      <c r="C95" t="s">
        <v>2376</v>
      </c>
      <c r="D95" t="s">
        <v>52</v>
      </c>
      <c r="E95" s="2" t="s">
        <v>2378</v>
      </c>
      <c r="F95">
        <f t="shared" si="3"/>
        <v>4</v>
      </c>
      <c r="G95" s="2">
        <f t="shared" si="4"/>
        <v>51</v>
      </c>
    </row>
    <row r="96" spans="1:7" x14ac:dyDescent="0.25">
      <c r="A96" t="str">
        <f t="shared" si="5"/>
        <v>Ollagüe Población  de 15 a 64 años</v>
      </c>
      <c r="B96" t="s">
        <v>2382</v>
      </c>
      <c r="C96" t="s">
        <v>2376</v>
      </c>
      <c r="D96" t="s">
        <v>50</v>
      </c>
      <c r="E96" s="2" t="s">
        <v>2377</v>
      </c>
      <c r="F96">
        <f t="shared" si="3"/>
        <v>5</v>
      </c>
      <c r="G96" s="2">
        <f t="shared" si="4"/>
        <v>186</v>
      </c>
    </row>
    <row r="97" spans="1:7" x14ac:dyDescent="0.25">
      <c r="A97" t="str">
        <f t="shared" si="5"/>
        <v>Ollagüe Población de 65 años o mas</v>
      </c>
      <c r="B97" t="s">
        <v>2382</v>
      </c>
      <c r="C97" t="s">
        <v>2376</v>
      </c>
      <c r="D97" t="s">
        <v>46</v>
      </c>
      <c r="E97" s="2" t="s">
        <v>2375</v>
      </c>
      <c r="F97">
        <f t="shared" si="3"/>
        <v>4</v>
      </c>
      <c r="G97" s="2">
        <f t="shared" si="4"/>
        <v>32</v>
      </c>
    </row>
    <row r="98" spans="1:7" x14ac:dyDescent="0.25">
      <c r="A98" t="str">
        <f t="shared" si="5"/>
        <v>Tocopilla Hombre</v>
      </c>
      <c r="B98" t="s">
        <v>2382</v>
      </c>
      <c r="C98" t="s">
        <v>2369</v>
      </c>
      <c r="D98" t="s">
        <v>58</v>
      </c>
      <c r="E98" s="2" t="s">
        <v>2374</v>
      </c>
      <c r="F98">
        <f t="shared" si="3"/>
        <v>7</v>
      </c>
      <c r="G98" s="2">
        <f t="shared" si="4"/>
        <v>14199</v>
      </c>
    </row>
    <row r="99" spans="1:7" x14ac:dyDescent="0.25">
      <c r="A99" t="str">
        <f t="shared" si="5"/>
        <v>Tocopilla Mujer</v>
      </c>
      <c r="B99" t="s">
        <v>2382</v>
      </c>
      <c r="C99" t="s">
        <v>2369</v>
      </c>
      <c r="D99" t="s">
        <v>56</v>
      </c>
      <c r="E99" s="2" t="s">
        <v>2373</v>
      </c>
      <c r="F99">
        <f t="shared" si="3"/>
        <v>7</v>
      </c>
      <c r="G99" s="2">
        <f t="shared" si="4"/>
        <v>14155</v>
      </c>
    </row>
    <row r="100" spans="1:7" x14ac:dyDescent="0.25">
      <c r="A100" t="str">
        <f t="shared" si="5"/>
        <v>Tocopilla Población total</v>
      </c>
      <c r="B100" t="s">
        <v>2382</v>
      </c>
      <c r="C100" t="s">
        <v>2369</v>
      </c>
      <c r="D100" t="s">
        <v>54</v>
      </c>
      <c r="E100" s="2" t="s">
        <v>2372</v>
      </c>
      <c r="F100">
        <f t="shared" si="3"/>
        <v>7</v>
      </c>
      <c r="G100" s="2">
        <f t="shared" si="4"/>
        <v>28354</v>
      </c>
    </row>
    <row r="101" spans="1:7" x14ac:dyDescent="0.25">
      <c r="A101" t="str">
        <f t="shared" si="5"/>
        <v>Tocopilla Población  de 0 a 14 años</v>
      </c>
      <c r="B101" t="s">
        <v>2382</v>
      </c>
      <c r="C101" t="s">
        <v>2369</v>
      </c>
      <c r="D101" t="s">
        <v>52</v>
      </c>
      <c r="E101" s="2" t="s">
        <v>2371</v>
      </c>
      <c r="F101">
        <f t="shared" si="3"/>
        <v>6</v>
      </c>
      <c r="G101" s="2">
        <f t="shared" si="4"/>
        <v>6191</v>
      </c>
    </row>
    <row r="102" spans="1:7" x14ac:dyDescent="0.25">
      <c r="A102" t="str">
        <f t="shared" si="5"/>
        <v>Tocopilla Población  de 15 a 64 años</v>
      </c>
      <c r="B102" t="s">
        <v>2382</v>
      </c>
      <c r="C102" t="s">
        <v>2369</v>
      </c>
      <c r="D102" t="s">
        <v>50</v>
      </c>
      <c r="E102" s="2" t="s">
        <v>2370</v>
      </c>
      <c r="F102">
        <f t="shared" si="3"/>
        <v>7</v>
      </c>
      <c r="G102" s="2">
        <f t="shared" si="4"/>
        <v>18649</v>
      </c>
    </row>
    <row r="103" spans="1:7" x14ac:dyDescent="0.25">
      <c r="A103" t="str">
        <f t="shared" si="5"/>
        <v>Tocopilla Población de 65 años o mas</v>
      </c>
      <c r="B103" t="s">
        <v>2382</v>
      </c>
      <c r="C103" t="s">
        <v>2369</v>
      </c>
      <c r="D103" t="s">
        <v>46</v>
      </c>
      <c r="E103" s="2" t="s">
        <v>2368</v>
      </c>
      <c r="F103">
        <f t="shared" si="3"/>
        <v>6</v>
      </c>
      <c r="G103" s="2">
        <f t="shared" si="4"/>
        <v>3514</v>
      </c>
    </row>
    <row r="104" spans="1:7" x14ac:dyDescent="0.25">
      <c r="A104" t="str">
        <f t="shared" si="5"/>
        <v>María Elena Hombre</v>
      </c>
      <c r="B104" t="s">
        <v>2382</v>
      </c>
      <c r="C104" t="s">
        <v>2362</v>
      </c>
      <c r="D104" t="s">
        <v>58</v>
      </c>
      <c r="E104" s="2" t="s">
        <v>2367</v>
      </c>
      <c r="F104">
        <f t="shared" si="3"/>
        <v>6</v>
      </c>
      <c r="G104" s="2">
        <f t="shared" si="4"/>
        <v>3340</v>
      </c>
    </row>
    <row r="105" spans="1:7" x14ac:dyDescent="0.25">
      <c r="A105" t="str">
        <f t="shared" si="5"/>
        <v>María Elena Mujer</v>
      </c>
      <c r="B105" t="s">
        <v>2382</v>
      </c>
      <c r="C105" t="s">
        <v>2362</v>
      </c>
      <c r="D105" t="s">
        <v>56</v>
      </c>
      <c r="E105" s="2" t="s">
        <v>2366</v>
      </c>
      <c r="F105">
        <f t="shared" si="3"/>
        <v>6</v>
      </c>
      <c r="G105" s="2">
        <f t="shared" si="4"/>
        <v>3167</v>
      </c>
    </row>
    <row r="106" spans="1:7" x14ac:dyDescent="0.25">
      <c r="A106" t="str">
        <f t="shared" si="5"/>
        <v>María Elena Población total</v>
      </c>
      <c r="B106" t="s">
        <v>2382</v>
      </c>
      <c r="C106" t="s">
        <v>2362</v>
      </c>
      <c r="D106" t="s">
        <v>54</v>
      </c>
      <c r="E106" s="2" t="s">
        <v>2365</v>
      </c>
      <c r="F106">
        <f t="shared" si="3"/>
        <v>6</v>
      </c>
      <c r="G106" s="2">
        <f t="shared" si="4"/>
        <v>6507</v>
      </c>
    </row>
    <row r="107" spans="1:7" x14ac:dyDescent="0.25">
      <c r="A107" t="str">
        <f t="shared" si="5"/>
        <v>María Elena Población  de 0 a 14 años</v>
      </c>
      <c r="B107" t="s">
        <v>2382</v>
      </c>
      <c r="C107" t="s">
        <v>2362</v>
      </c>
      <c r="D107" t="s">
        <v>52</v>
      </c>
      <c r="E107" s="2" t="s">
        <v>2364</v>
      </c>
      <c r="F107">
        <f t="shared" si="3"/>
        <v>6</v>
      </c>
      <c r="G107" s="2">
        <f t="shared" si="4"/>
        <v>1265</v>
      </c>
    </row>
    <row r="108" spans="1:7" x14ac:dyDescent="0.25">
      <c r="A108" t="str">
        <f t="shared" si="5"/>
        <v>María Elena Población  de 15 a 64 años</v>
      </c>
      <c r="B108" t="s">
        <v>2382</v>
      </c>
      <c r="C108" t="s">
        <v>2362</v>
      </c>
      <c r="D108" t="s">
        <v>50</v>
      </c>
      <c r="E108" s="2" t="s">
        <v>2363</v>
      </c>
      <c r="F108">
        <f t="shared" si="3"/>
        <v>6</v>
      </c>
      <c r="G108" s="2">
        <f t="shared" si="4"/>
        <v>4787</v>
      </c>
    </row>
    <row r="109" spans="1:7" x14ac:dyDescent="0.25">
      <c r="A109" t="str">
        <f t="shared" si="5"/>
        <v>María Elena Población de 65 años o mas</v>
      </c>
      <c r="B109" t="s">
        <v>2382</v>
      </c>
      <c r="C109" t="s">
        <v>2362</v>
      </c>
      <c r="D109" t="s">
        <v>46</v>
      </c>
      <c r="E109" s="2" t="s">
        <v>2361</v>
      </c>
      <c r="F109">
        <f t="shared" si="3"/>
        <v>5</v>
      </c>
      <c r="G109" s="2">
        <f t="shared" si="4"/>
        <v>455</v>
      </c>
    </row>
    <row r="110" spans="1:7" x14ac:dyDescent="0.25">
      <c r="A110" t="str">
        <f t="shared" si="5"/>
        <v>Calama Hombre</v>
      </c>
      <c r="B110" t="s">
        <v>2382</v>
      </c>
      <c r="C110" t="s">
        <v>2355</v>
      </c>
      <c r="D110" t="s">
        <v>58</v>
      </c>
      <c r="E110" s="2" t="s">
        <v>2360</v>
      </c>
      <c r="F110">
        <f t="shared" si="3"/>
        <v>7</v>
      </c>
      <c r="G110" s="2">
        <f t="shared" si="4"/>
        <v>98682</v>
      </c>
    </row>
    <row r="111" spans="1:7" x14ac:dyDescent="0.25">
      <c r="A111" t="str">
        <f t="shared" si="5"/>
        <v>Calama Mujer</v>
      </c>
      <c r="B111" t="s">
        <v>2382</v>
      </c>
      <c r="C111" t="s">
        <v>2355</v>
      </c>
      <c r="D111" t="s">
        <v>56</v>
      </c>
      <c r="E111" s="2" t="s">
        <v>2359</v>
      </c>
      <c r="F111">
        <f t="shared" si="3"/>
        <v>7</v>
      </c>
      <c r="G111" s="2">
        <f t="shared" si="4"/>
        <v>97470</v>
      </c>
    </row>
    <row r="112" spans="1:7" x14ac:dyDescent="0.25">
      <c r="A112" t="str">
        <f t="shared" si="5"/>
        <v>Calama Población total</v>
      </c>
      <c r="B112" t="s">
        <v>2382</v>
      </c>
      <c r="C112" t="s">
        <v>2355</v>
      </c>
      <c r="D112" t="s">
        <v>54</v>
      </c>
      <c r="E112" s="2" t="s">
        <v>2358</v>
      </c>
      <c r="F112">
        <f t="shared" si="3"/>
        <v>8</v>
      </c>
      <c r="G112" s="2">
        <f t="shared" si="4"/>
        <v>196152</v>
      </c>
    </row>
    <row r="113" spans="1:7" x14ac:dyDescent="0.25">
      <c r="A113" t="str">
        <f t="shared" si="5"/>
        <v>Calama Población  de 0 a 14 años</v>
      </c>
      <c r="B113" t="s">
        <v>2382</v>
      </c>
      <c r="C113" t="s">
        <v>2355</v>
      </c>
      <c r="D113" t="s">
        <v>52</v>
      </c>
      <c r="E113" s="2" t="s">
        <v>2357</v>
      </c>
      <c r="F113">
        <f t="shared" si="3"/>
        <v>7</v>
      </c>
      <c r="G113" s="2">
        <f t="shared" si="4"/>
        <v>41210</v>
      </c>
    </row>
    <row r="114" spans="1:7" x14ac:dyDescent="0.25">
      <c r="A114" t="str">
        <f t="shared" si="5"/>
        <v>Calama Población  de 15 a 64 años</v>
      </c>
      <c r="B114" t="s">
        <v>2382</v>
      </c>
      <c r="C114" t="s">
        <v>2355</v>
      </c>
      <c r="D114" t="s">
        <v>50</v>
      </c>
      <c r="E114" s="2" t="s">
        <v>2356</v>
      </c>
      <c r="F114">
        <f t="shared" si="3"/>
        <v>8</v>
      </c>
      <c r="G114" s="2">
        <f t="shared" si="4"/>
        <v>139237</v>
      </c>
    </row>
    <row r="115" spans="1:7" x14ac:dyDescent="0.25">
      <c r="A115" t="str">
        <f t="shared" si="5"/>
        <v>Calama Población de 65 años o mas</v>
      </c>
      <c r="B115" t="s">
        <v>2382</v>
      </c>
      <c r="C115" t="s">
        <v>2355</v>
      </c>
      <c r="D115" t="s">
        <v>46</v>
      </c>
      <c r="E115" s="2" t="s">
        <v>2354</v>
      </c>
      <c r="F115">
        <f t="shared" si="3"/>
        <v>7</v>
      </c>
      <c r="G115" s="2">
        <f t="shared" si="4"/>
        <v>15705</v>
      </c>
    </row>
    <row r="116" spans="1:7" x14ac:dyDescent="0.25">
      <c r="A116" t="str">
        <f t="shared" si="5"/>
        <v>Sierra Gorda Hombre</v>
      </c>
      <c r="B116" t="s">
        <v>2382</v>
      </c>
      <c r="C116" t="s">
        <v>2349</v>
      </c>
      <c r="D116" t="s">
        <v>58</v>
      </c>
      <c r="E116" s="2" t="s">
        <v>2353</v>
      </c>
      <c r="F116">
        <f t="shared" si="3"/>
        <v>5</v>
      </c>
      <c r="G116" s="2">
        <f t="shared" si="4"/>
        <v>948</v>
      </c>
    </row>
    <row r="117" spans="1:7" x14ac:dyDescent="0.25">
      <c r="A117" t="str">
        <f t="shared" si="5"/>
        <v>Sierra Gorda Mujer</v>
      </c>
      <c r="B117" t="s">
        <v>2382</v>
      </c>
      <c r="C117" t="s">
        <v>2349</v>
      </c>
      <c r="D117" t="s">
        <v>56</v>
      </c>
      <c r="E117" s="2" t="s">
        <v>2352</v>
      </c>
      <c r="F117">
        <f t="shared" si="3"/>
        <v>5</v>
      </c>
      <c r="G117" s="2">
        <f t="shared" si="4"/>
        <v>852</v>
      </c>
    </row>
    <row r="118" spans="1:7" x14ac:dyDescent="0.25">
      <c r="A118" t="str">
        <f t="shared" si="5"/>
        <v>Sierra Gorda Población total</v>
      </c>
      <c r="B118" t="s">
        <v>2382</v>
      </c>
      <c r="C118" t="s">
        <v>2349</v>
      </c>
      <c r="D118" t="s">
        <v>54</v>
      </c>
      <c r="E118" s="2" t="s">
        <v>2351</v>
      </c>
      <c r="F118">
        <f t="shared" si="3"/>
        <v>6</v>
      </c>
      <c r="G118" s="2">
        <f t="shared" si="4"/>
        <v>1800</v>
      </c>
    </row>
    <row r="119" spans="1:7" x14ac:dyDescent="0.25">
      <c r="A119" t="str">
        <f t="shared" si="5"/>
        <v>Sierra Gorda Población  de 0 a 14 años</v>
      </c>
      <c r="B119" t="s">
        <v>2382</v>
      </c>
      <c r="C119" t="s">
        <v>2349</v>
      </c>
      <c r="D119" t="s">
        <v>52</v>
      </c>
      <c r="E119" s="2" t="s">
        <v>142</v>
      </c>
      <c r="F119">
        <f t="shared" si="3"/>
        <v>5</v>
      </c>
      <c r="G119" s="2">
        <f t="shared" si="4"/>
        <v>354</v>
      </c>
    </row>
    <row r="120" spans="1:7" x14ac:dyDescent="0.25">
      <c r="A120" t="str">
        <f t="shared" si="5"/>
        <v>Sierra Gorda Población  de 15 a 64 años</v>
      </c>
      <c r="B120" t="s">
        <v>2382</v>
      </c>
      <c r="C120" t="s">
        <v>2349</v>
      </c>
      <c r="D120" t="s">
        <v>50</v>
      </c>
      <c r="E120" s="2" t="s">
        <v>2350</v>
      </c>
      <c r="F120">
        <f t="shared" si="3"/>
        <v>6</v>
      </c>
      <c r="G120" s="2">
        <f t="shared" si="4"/>
        <v>1339</v>
      </c>
    </row>
    <row r="121" spans="1:7" x14ac:dyDescent="0.25">
      <c r="A121" t="str">
        <f t="shared" si="5"/>
        <v>Sierra Gorda Población de 65 años o mas</v>
      </c>
      <c r="B121" t="s">
        <v>2382</v>
      </c>
      <c r="C121" t="s">
        <v>2349</v>
      </c>
      <c r="D121" t="s">
        <v>46</v>
      </c>
      <c r="E121" s="2" t="s">
        <v>104</v>
      </c>
      <c r="F121">
        <f t="shared" si="3"/>
        <v>5</v>
      </c>
      <c r="G121" s="2">
        <f t="shared" si="4"/>
        <v>107</v>
      </c>
    </row>
    <row r="122" spans="1:7" x14ac:dyDescent="0.25">
      <c r="A122" t="str">
        <f t="shared" si="5"/>
        <v>San Pedro De Atacama Hombre</v>
      </c>
      <c r="B122" t="s">
        <v>2382</v>
      </c>
      <c r="C122" t="s">
        <v>2343</v>
      </c>
      <c r="D122" t="s">
        <v>58</v>
      </c>
      <c r="E122" s="2" t="s">
        <v>2348</v>
      </c>
      <c r="F122">
        <f t="shared" si="3"/>
        <v>6</v>
      </c>
      <c r="G122" s="2">
        <f t="shared" si="4"/>
        <v>5561</v>
      </c>
    </row>
    <row r="123" spans="1:7" x14ac:dyDescent="0.25">
      <c r="A123" t="str">
        <f t="shared" si="5"/>
        <v>San Pedro De Atacama Mujer</v>
      </c>
      <c r="B123" t="s">
        <v>2382</v>
      </c>
      <c r="C123" t="s">
        <v>2343</v>
      </c>
      <c r="D123" t="s">
        <v>56</v>
      </c>
      <c r="E123" s="2" t="s">
        <v>2347</v>
      </c>
      <c r="F123">
        <f t="shared" si="3"/>
        <v>6</v>
      </c>
      <c r="G123" s="2">
        <f t="shared" si="4"/>
        <v>5469</v>
      </c>
    </row>
    <row r="124" spans="1:7" x14ac:dyDescent="0.25">
      <c r="A124" t="str">
        <f t="shared" si="5"/>
        <v>San Pedro De Atacama Población total</v>
      </c>
      <c r="B124" t="s">
        <v>2382</v>
      </c>
      <c r="C124" t="s">
        <v>2343</v>
      </c>
      <c r="D124" t="s">
        <v>54</v>
      </c>
      <c r="E124" s="2" t="s">
        <v>2346</v>
      </c>
      <c r="F124">
        <f t="shared" si="3"/>
        <v>7</v>
      </c>
      <c r="G124" s="2">
        <f t="shared" si="4"/>
        <v>11030</v>
      </c>
    </row>
    <row r="125" spans="1:7" x14ac:dyDescent="0.25">
      <c r="A125" t="str">
        <f t="shared" si="5"/>
        <v>San Pedro De Atacama Población  de 0 a 14 años</v>
      </c>
      <c r="B125" t="s">
        <v>2382</v>
      </c>
      <c r="C125" t="s">
        <v>2343</v>
      </c>
      <c r="D125" t="s">
        <v>52</v>
      </c>
      <c r="E125" s="2" t="s">
        <v>2345</v>
      </c>
      <c r="F125">
        <f t="shared" si="3"/>
        <v>6</v>
      </c>
      <c r="G125" s="2">
        <f t="shared" si="4"/>
        <v>2043</v>
      </c>
    </row>
    <row r="126" spans="1:7" x14ac:dyDescent="0.25">
      <c r="A126" t="str">
        <f t="shared" si="5"/>
        <v>San Pedro De Atacama Población  de 15 a 64 años</v>
      </c>
      <c r="B126" t="s">
        <v>2382</v>
      </c>
      <c r="C126" t="s">
        <v>2343</v>
      </c>
      <c r="D126" t="s">
        <v>50</v>
      </c>
      <c r="E126" s="2" t="s">
        <v>2344</v>
      </c>
      <c r="F126">
        <f t="shared" si="3"/>
        <v>6</v>
      </c>
      <c r="G126" s="2">
        <f t="shared" si="4"/>
        <v>8081</v>
      </c>
    </row>
    <row r="127" spans="1:7" x14ac:dyDescent="0.25">
      <c r="A127" t="str">
        <f t="shared" si="5"/>
        <v>San Pedro De Atacama Población de 65 años o mas</v>
      </c>
      <c r="B127" t="s">
        <v>2382</v>
      </c>
      <c r="C127" t="s">
        <v>2343</v>
      </c>
      <c r="D127" t="s">
        <v>46</v>
      </c>
      <c r="E127" s="2" t="s">
        <v>2342</v>
      </c>
      <c r="F127">
        <f t="shared" si="3"/>
        <v>5</v>
      </c>
      <c r="G127" s="2">
        <f t="shared" si="4"/>
        <v>906</v>
      </c>
    </row>
    <row r="128" spans="1:7" x14ac:dyDescent="0.25">
      <c r="A128" t="str">
        <f t="shared" si="5"/>
        <v>Mejillones Hombre</v>
      </c>
      <c r="B128" t="s">
        <v>2382</v>
      </c>
      <c r="C128" t="s">
        <v>2336</v>
      </c>
      <c r="D128" t="s">
        <v>58</v>
      </c>
      <c r="E128" s="2" t="s">
        <v>2341</v>
      </c>
      <c r="F128">
        <f t="shared" si="3"/>
        <v>6</v>
      </c>
      <c r="G128" s="2">
        <f t="shared" si="4"/>
        <v>8235</v>
      </c>
    </row>
    <row r="129" spans="1:7" x14ac:dyDescent="0.25">
      <c r="A129" t="str">
        <f t="shared" si="5"/>
        <v>Mejillones Mujer</v>
      </c>
      <c r="B129" t="s">
        <v>2382</v>
      </c>
      <c r="C129" t="s">
        <v>2336</v>
      </c>
      <c r="D129" t="s">
        <v>56</v>
      </c>
      <c r="E129" s="2" t="s">
        <v>2340</v>
      </c>
      <c r="F129">
        <f t="shared" si="3"/>
        <v>6</v>
      </c>
      <c r="G129" s="2">
        <f t="shared" si="4"/>
        <v>7642</v>
      </c>
    </row>
    <row r="130" spans="1:7" x14ac:dyDescent="0.25">
      <c r="A130" t="str">
        <f t="shared" si="5"/>
        <v>Mejillones Población total</v>
      </c>
      <c r="B130" t="s">
        <v>2382</v>
      </c>
      <c r="C130" t="s">
        <v>2336</v>
      </c>
      <c r="D130" t="s">
        <v>54</v>
      </c>
      <c r="E130" s="2" t="s">
        <v>2339</v>
      </c>
      <c r="F130">
        <f t="shared" ref="F130:F193" si="6">+FIND(".",E130)</f>
        <v>7</v>
      </c>
      <c r="G130" s="2">
        <f t="shared" ref="G130:G193" si="7">+LEFT(E130,(F130-1))*1</f>
        <v>15877</v>
      </c>
    </row>
    <row r="131" spans="1:7" x14ac:dyDescent="0.25">
      <c r="A131" t="str">
        <f t="shared" ref="A131:A194" si="8">+C131&amp;D131</f>
        <v>Mejillones Población  de 0 a 14 años</v>
      </c>
      <c r="B131" t="s">
        <v>2382</v>
      </c>
      <c r="C131" t="s">
        <v>2336</v>
      </c>
      <c r="D131" t="s">
        <v>52</v>
      </c>
      <c r="E131" s="2" t="s">
        <v>2338</v>
      </c>
      <c r="F131">
        <f t="shared" si="6"/>
        <v>6</v>
      </c>
      <c r="G131" s="2">
        <f t="shared" si="7"/>
        <v>3164</v>
      </c>
    </row>
    <row r="132" spans="1:7" x14ac:dyDescent="0.25">
      <c r="A132" t="str">
        <f t="shared" si="8"/>
        <v>Mejillones Población  de 15 a 64 años</v>
      </c>
      <c r="B132" t="s">
        <v>2382</v>
      </c>
      <c r="C132" t="s">
        <v>2336</v>
      </c>
      <c r="D132" t="s">
        <v>50</v>
      </c>
      <c r="E132" s="2" t="s">
        <v>2337</v>
      </c>
      <c r="F132">
        <f t="shared" si="6"/>
        <v>7</v>
      </c>
      <c r="G132" s="2">
        <f t="shared" si="7"/>
        <v>11551</v>
      </c>
    </row>
    <row r="133" spans="1:7" x14ac:dyDescent="0.25">
      <c r="A133" t="str">
        <f t="shared" si="8"/>
        <v>Mejillones Población de 65 años o mas</v>
      </c>
      <c r="B133" t="s">
        <v>2382</v>
      </c>
      <c r="C133" t="s">
        <v>2336</v>
      </c>
      <c r="D133" t="s">
        <v>46</v>
      </c>
      <c r="E133" s="2" t="s">
        <v>2335</v>
      </c>
      <c r="F133">
        <f t="shared" si="6"/>
        <v>6</v>
      </c>
      <c r="G133" s="2">
        <f t="shared" si="7"/>
        <v>1162</v>
      </c>
    </row>
    <row r="134" spans="1:7" x14ac:dyDescent="0.25">
      <c r="A134" t="str">
        <f t="shared" si="8"/>
        <v>Antofagasta Hombre</v>
      </c>
      <c r="B134" t="s">
        <v>2382</v>
      </c>
      <c r="C134" t="s">
        <v>2329</v>
      </c>
      <c r="D134" t="s">
        <v>58</v>
      </c>
      <c r="E134" s="2" t="s">
        <v>2334</v>
      </c>
      <c r="F134">
        <f t="shared" si="6"/>
        <v>8</v>
      </c>
      <c r="G134" s="2">
        <f t="shared" si="7"/>
        <v>222812</v>
      </c>
    </row>
    <row r="135" spans="1:7" x14ac:dyDescent="0.25">
      <c r="A135" t="str">
        <f t="shared" si="8"/>
        <v>Antofagasta Mujer</v>
      </c>
      <c r="B135" t="s">
        <v>2382</v>
      </c>
      <c r="C135" t="s">
        <v>2329</v>
      </c>
      <c r="D135" t="s">
        <v>56</v>
      </c>
      <c r="E135" s="2" t="s">
        <v>2333</v>
      </c>
      <c r="F135">
        <f t="shared" si="6"/>
        <v>8</v>
      </c>
      <c r="G135" s="2">
        <f t="shared" si="7"/>
        <v>221464</v>
      </c>
    </row>
    <row r="136" spans="1:7" x14ac:dyDescent="0.25">
      <c r="A136" t="str">
        <f t="shared" si="8"/>
        <v>Antofagasta Población total</v>
      </c>
      <c r="B136" t="s">
        <v>2382</v>
      </c>
      <c r="C136" t="s">
        <v>2329</v>
      </c>
      <c r="D136" t="s">
        <v>54</v>
      </c>
      <c r="E136" s="2" t="s">
        <v>2332</v>
      </c>
      <c r="F136">
        <f t="shared" si="6"/>
        <v>8</v>
      </c>
      <c r="G136" s="2">
        <f t="shared" si="7"/>
        <v>444276</v>
      </c>
    </row>
    <row r="137" spans="1:7" x14ac:dyDescent="0.25">
      <c r="A137" t="str">
        <f t="shared" si="8"/>
        <v>Antofagasta Población  de 0 a 14 años</v>
      </c>
      <c r="B137" t="s">
        <v>2382</v>
      </c>
      <c r="C137" t="s">
        <v>2329</v>
      </c>
      <c r="D137" t="s">
        <v>52</v>
      </c>
      <c r="E137" s="2" t="s">
        <v>2331</v>
      </c>
      <c r="F137">
        <f t="shared" si="6"/>
        <v>7</v>
      </c>
      <c r="G137" s="2">
        <f t="shared" si="7"/>
        <v>86282</v>
      </c>
    </row>
    <row r="138" spans="1:7" x14ac:dyDescent="0.25">
      <c r="A138" t="str">
        <f t="shared" si="8"/>
        <v>Antofagasta Población  de 15 a 64 años</v>
      </c>
      <c r="B138" t="s">
        <v>2382</v>
      </c>
      <c r="C138" t="s">
        <v>2329</v>
      </c>
      <c r="D138" t="s">
        <v>50</v>
      </c>
      <c r="E138" s="2" t="s">
        <v>2330</v>
      </c>
      <c r="F138">
        <f t="shared" si="6"/>
        <v>8</v>
      </c>
      <c r="G138" s="2">
        <f t="shared" si="7"/>
        <v>317408</v>
      </c>
    </row>
    <row r="139" spans="1:7" x14ac:dyDescent="0.25">
      <c r="A139" t="str">
        <f t="shared" si="8"/>
        <v>Antofagasta Población de 65 años o mas</v>
      </c>
      <c r="B139" t="s">
        <v>2382</v>
      </c>
      <c r="C139" t="s">
        <v>2329</v>
      </c>
      <c r="D139" t="s">
        <v>46</v>
      </c>
      <c r="E139" s="2" t="s">
        <v>2328</v>
      </c>
      <c r="F139">
        <f t="shared" si="6"/>
        <v>7</v>
      </c>
      <c r="G139" s="2">
        <f t="shared" si="7"/>
        <v>40586</v>
      </c>
    </row>
    <row r="140" spans="1:7" x14ac:dyDescent="0.25">
      <c r="A140" t="str">
        <f t="shared" si="8"/>
        <v>Taltal Hombre</v>
      </c>
      <c r="B140" t="s">
        <v>2382</v>
      </c>
      <c r="C140" t="s">
        <v>2323</v>
      </c>
      <c r="D140" t="s">
        <v>58</v>
      </c>
      <c r="E140" s="2" t="s">
        <v>2327</v>
      </c>
      <c r="F140">
        <f t="shared" si="6"/>
        <v>6</v>
      </c>
      <c r="G140" s="2">
        <f t="shared" si="7"/>
        <v>7089</v>
      </c>
    </row>
    <row r="141" spans="1:7" x14ac:dyDescent="0.25">
      <c r="A141" t="str">
        <f t="shared" si="8"/>
        <v>Taltal Mujer</v>
      </c>
      <c r="B141" t="s">
        <v>2382</v>
      </c>
      <c r="C141" t="s">
        <v>2323</v>
      </c>
      <c r="D141" t="s">
        <v>56</v>
      </c>
      <c r="E141" s="2" t="s">
        <v>2326</v>
      </c>
      <c r="F141">
        <f t="shared" si="6"/>
        <v>6</v>
      </c>
      <c r="G141" s="2">
        <f t="shared" si="7"/>
        <v>6878</v>
      </c>
    </row>
    <row r="142" spans="1:7" x14ac:dyDescent="0.25">
      <c r="A142" t="str">
        <f t="shared" si="8"/>
        <v>Taltal Población total</v>
      </c>
      <c r="B142" t="s">
        <v>2382</v>
      </c>
      <c r="C142" t="s">
        <v>2323</v>
      </c>
      <c r="D142" t="s">
        <v>54</v>
      </c>
      <c r="E142" s="2" t="s">
        <v>2325</v>
      </c>
      <c r="F142">
        <f t="shared" si="6"/>
        <v>7</v>
      </c>
      <c r="G142" s="2">
        <f t="shared" si="7"/>
        <v>13967</v>
      </c>
    </row>
    <row r="143" spans="1:7" x14ac:dyDescent="0.25">
      <c r="A143" t="str">
        <f t="shared" si="8"/>
        <v>Taltal Población  de 0 a 14 años</v>
      </c>
      <c r="B143" t="s">
        <v>2382</v>
      </c>
      <c r="C143" t="s">
        <v>2323</v>
      </c>
      <c r="D143" t="s">
        <v>52</v>
      </c>
      <c r="E143" s="2" t="s">
        <v>1930</v>
      </c>
      <c r="F143">
        <f t="shared" si="6"/>
        <v>6</v>
      </c>
      <c r="G143" s="2">
        <f t="shared" si="7"/>
        <v>3031</v>
      </c>
    </row>
    <row r="144" spans="1:7" x14ac:dyDescent="0.25">
      <c r="A144" t="str">
        <f t="shared" si="8"/>
        <v>Taltal Población  de 15 a 64 años</v>
      </c>
      <c r="B144" t="s">
        <v>2382</v>
      </c>
      <c r="C144" t="s">
        <v>2323</v>
      </c>
      <c r="D144" t="s">
        <v>50</v>
      </c>
      <c r="E144" s="2" t="s">
        <v>2324</v>
      </c>
      <c r="F144">
        <f t="shared" si="6"/>
        <v>6</v>
      </c>
      <c r="G144" s="2">
        <f t="shared" si="7"/>
        <v>9359</v>
      </c>
    </row>
    <row r="145" spans="1:7" x14ac:dyDescent="0.25">
      <c r="A145" t="str">
        <f t="shared" si="8"/>
        <v>Taltal Población de 65 años o mas</v>
      </c>
      <c r="B145" t="s">
        <v>2382</v>
      </c>
      <c r="C145" t="s">
        <v>2323</v>
      </c>
      <c r="D145" t="s">
        <v>46</v>
      </c>
      <c r="E145" s="2" t="s">
        <v>2322</v>
      </c>
      <c r="F145">
        <f t="shared" si="6"/>
        <v>6</v>
      </c>
      <c r="G145" s="2">
        <f t="shared" si="7"/>
        <v>1577</v>
      </c>
    </row>
    <row r="146" spans="1:7" x14ac:dyDescent="0.25">
      <c r="A146" t="str">
        <f t="shared" si="8"/>
        <v>Región De Atacama Hombre</v>
      </c>
      <c r="B146" t="s">
        <v>2316</v>
      </c>
      <c r="C146" t="s">
        <v>2316</v>
      </c>
      <c r="D146" t="s">
        <v>58</v>
      </c>
      <c r="E146" s="2" t="s">
        <v>2321</v>
      </c>
      <c r="F146">
        <f t="shared" si="6"/>
        <v>8</v>
      </c>
      <c r="G146" s="2">
        <f t="shared" si="7"/>
        <v>161331</v>
      </c>
    </row>
    <row r="147" spans="1:7" x14ac:dyDescent="0.25">
      <c r="A147" t="str">
        <f t="shared" si="8"/>
        <v>Región De Atacama Mujer</v>
      </c>
      <c r="B147" t="s">
        <v>2316</v>
      </c>
      <c r="C147" t="s">
        <v>2316</v>
      </c>
      <c r="D147" t="s">
        <v>56</v>
      </c>
      <c r="E147" s="2" t="s">
        <v>2320</v>
      </c>
      <c r="F147">
        <f t="shared" si="6"/>
        <v>8</v>
      </c>
      <c r="G147" s="2">
        <f t="shared" si="7"/>
        <v>158661</v>
      </c>
    </row>
    <row r="148" spans="1:7" x14ac:dyDescent="0.25">
      <c r="A148" t="str">
        <f t="shared" si="8"/>
        <v>Región De Atacama Población total</v>
      </c>
      <c r="B148" t="s">
        <v>2316</v>
      </c>
      <c r="C148" t="s">
        <v>2316</v>
      </c>
      <c r="D148" t="s">
        <v>54</v>
      </c>
      <c r="E148" s="2" t="s">
        <v>2319</v>
      </c>
      <c r="F148">
        <f t="shared" si="6"/>
        <v>8</v>
      </c>
      <c r="G148" s="2">
        <f t="shared" si="7"/>
        <v>319992</v>
      </c>
    </row>
    <row r="149" spans="1:7" x14ac:dyDescent="0.25">
      <c r="A149" t="str">
        <f t="shared" si="8"/>
        <v>Región De Atacama Población  de 0 a 14 años</v>
      </c>
      <c r="B149" t="s">
        <v>2316</v>
      </c>
      <c r="C149" t="s">
        <v>2316</v>
      </c>
      <c r="D149" t="s">
        <v>52</v>
      </c>
      <c r="E149" s="2" t="s">
        <v>2318</v>
      </c>
      <c r="F149">
        <f t="shared" si="6"/>
        <v>7</v>
      </c>
      <c r="G149" s="2">
        <f t="shared" si="7"/>
        <v>67742</v>
      </c>
    </row>
    <row r="150" spans="1:7" x14ac:dyDescent="0.25">
      <c r="A150" t="str">
        <f t="shared" si="8"/>
        <v>Región De Atacama Población  de 15 a 64 años</v>
      </c>
      <c r="B150" t="s">
        <v>2316</v>
      </c>
      <c r="C150" t="s">
        <v>2316</v>
      </c>
      <c r="D150" t="s">
        <v>50</v>
      </c>
      <c r="E150" s="2" t="s">
        <v>2317</v>
      </c>
      <c r="F150">
        <f t="shared" si="6"/>
        <v>8</v>
      </c>
      <c r="G150" s="2">
        <f t="shared" si="7"/>
        <v>212383</v>
      </c>
    </row>
    <row r="151" spans="1:7" x14ac:dyDescent="0.25">
      <c r="A151" t="str">
        <f t="shared" si="8"/>
        <v>Región De Atacama Población de 65 años o mas</v>
      </c>
      <c r="B151" t="s">
        <v>2316</v>
      </c>
      <c r="C151" t="s">
        <v>2316</v>
      </c>
      <c r="D151" t="s">
        <v>46</v>
      </c>
      <c r="E151" s="2" t="s">
        <v>2315</v>
      </c>
      <c r="F151">
        <f t="shared" si="6"/>
        <v>7</v>
      </c>
      <c r="G151" s="2">
        <f t="shared" si="7"/>
        <v>39867</v>
      </c>
    </row>
    <row r="152" spans="1:7" x14ac:dyDescent="0.25">
      <c r="A152" t="str">
        <f t="shared" si="8"/>
        <v>Chañaral Hombre</v>
      </c>
      <c r="B152" t="s">
        <v>2316</v>
      </c>
      <c r="C152" t="s">
        <v>2309</v>
      </c>
      <c r="D152" t="s">
        <v>58</v>
      </c>
      <c r="E152" s="2" t="s">
        <v>2314</v>
      </c>
      <c r="F152">
        <f t="shared" si="6"/>
        <v>6</v>
      </c>
      <c r="G152" s="2">
        <f t="shared" si="7"/>
        <v>6599</v>
      </c>
    </row>
    <row r="153" spans="1:7" x14ac:dyDescent="0.25">
      <c r="A153" t="str">
        <f t="shared" si="8"/>
        <v>Chañaral Mujer</v>
      </c>
      <c r="B153" t="s">
        <v>2316</v>
      </c>
      <c r="C153" t="s">
        <v>2309</v>
      </c>
      <c r="D153" t="s">
        <v>56</v>
      </c>
      <c r="E153" s="2" t="s">
        <v>2313</v>
      </c>
      <c r="F153">
        <f t="shared" si="6"/>
        <v>6</v>
      </c>
      <c r="G153" s="2">
        <f t="shared" si="7"/>
        <v>6418</v>
      </c>
    </row>
    <row r="154" spans="1:7" x14ac:dyDescent="0.25">
      <c r="A154" t="str">
        <f t="shared" si="8"/>
        <v>Chañaral Población total</v>
      </c>
      <c r="B154" t="s">
        <v>2316</v>
      </c>
      <c r="C154" t="s">
        <v>2309</v>
      </c>
      <c r="D154" t="s">
        <v>54</v>
      </c>
      <c r="E154" s="2" t="s">
        <v>2312</v>
      </c>
      <c r="F154">
        <f t="shared" si="6"/>
        <v>7</v>
      </c>
      <c r="G154" s="2">
        <f t="shared" si="7"/>
        <v>13017</v>
      </c>
    </row>
    <row r="155" spans="1:7" x14ac:dyDescent="0.25">
      <c r="A155" t="str">
        <f t="shared" si="8"/>
        <v>Chañaral Población  de 0 a 14 años</v>
      </c>
      <c r="B155" t="s">
        <v>2316</v>
      </c>
      <c r="C155" t="s">
        <v>2309</v>
      </c>
      <c r="D155" t="s">
        <v>52</v>
      </c>
      <c r="E155" s="2" t="s">
        <v>2311</v>
      </c>
      <c r="F155">
        <f t="shared" si="6"/>
        <v>6</v>
      </c>
      <c r="G155" s="2">
        <f t="shared" si="7"/>
        <v>2873</v>
      </c>
    </row>
    <row r="156" spans="1:7" x14ac:dyDescent="0.25">
      <c r="A156" t="str">
        <f t="shared" si="8"/>
        <v>Chañaral Población  de 15 a 64 años</v>
      </c>
      <c r="B156" t="s">
        <v>2316</v>
      </c>
      <c r="C156" t="s">
        <v>2309</v>
      </c>
      <c r="D156" t="s">
        <v>50</v>
      </c>
      <c r="E156" s="2" t="s">
        <v>2310</v>
      </c>
      <c r="F156">
        <f t="shared" si="6"/>
        <v>6</v>
      </c>
      <c r="G156" s="2">
        <f t="shared" si="7"/>
        <v>8301</v>
      </c>
    </row>
    <row r="157" spans="1:7" x14ac:dyDescent="0.25">
      <c r="A157" t="str">
        <f t="shared" si="8"/>
        <v>Chañaral Población de 65 años o mas</v>
      </c>
      <c r="B157" t="s">
        <v>2316</v>
      </c>
      <c r="C157" t="s">
        <v>2309</v>
      </c>
      <c r="D157" t="s">
        <v>46</v>
      </c>
      <c r="E157" s="2" t="s">
        <v>2308</v>
      </c>
      <c r="F157">
        <f t="shared" si="6"/>
        <v>6</v>
      </c>
      <c r="G157" s="2">
        <f t="shared" si="7"/>
        <v>1843</v>
      </c>
    </row>
    <row r="158" spans="1:7" x14ac:dyDescent="0.25">
      <c r="A158" t="str">
        <f t="shared" si="8"/>
        <v>Diego De Almagro Hombre</v>
      </c>
      <c r="B158" t="s">
        <v>2316</v>
      </c>
      <c r="C158" t="s">
        <v>2302</v>
      </c>
      <c r="D158" t="s">
        <v>58</v>
      </c>
      <c r="E158" s="2" t="s">
        <v>2307</v>
      </c>
      <c r="F158">
        <f t="shared" si="6"/>
        <v>6</v>
      </c>
      <c r="G158" s="2">
        <f t="shared" si="7"/>
        <v>7061</v>
      </c>
    </row>
    <row r="159" spans="1:7" x14ac:dyDescent="0.25">
      <c r="A159" t="str">
        <f t="shared" si="8"/>
        <v>Diego De Almagro Mujer</v>
      </c>
      <c r="B159" t="s">
        <v>2316</v>
      </c>
      <c r="C159" t="s">
        <v>2302</v>
      </c>
      <c r="D159" t="s">
        <v>56</v>
      </c>
      <c r="E159" s="2" t="s">
        <v>2306</v>
      </c>
      <c r="F159">
        <f t="shared" si="6"/>
        <v>6</v>
      </c>
      <c r="G159" s="2">
        <f t="shared" si="7"/>
        <v>6848</v>
      </c>
    </row>
    <row r="160" spans="1:7" x14ac:dyDescent="0.25">
      <c r="A160" t="str">
        <f t="shared" si="8"/>
        <v>Diego De Almagro Población total</v>
      </c>
      <c r="B160" t="s">
        <v>2316</v>
      </c>
      <c r="C160" t="s">
        <v>2302</v>
      </c>
      <c r="D160" t="s">
        <v>54</v>
      </c>
      <c r="E160" s="2" t="s">
        <v>2305</v>
      </c>
      <c r="F160">
        <f t="shared" si="6"/>
        <v>7</v>
      </c>
      <c r="G160" s="2">
        <f t="shared" si="7"/>
        <v>13909</v>
      </c>
    </row>
    <row r="161" spans="1:7" x14ac:dyDescent="0.25">
      <c r="A161" t="str">
        <f t="shared" si="8"/>
        <v>Diego De Almagro Población  de 0 a 14 años</v>
      </c>
      <c r="B161" t="s">
        <v>2316</v>
      </c>
      <c r="C161" t="s">
        <v>2302</v>
      </c>
      <c r="D161" t="s">
        <v>52</v>
      </c>
      <c r="E161" s="2" t="s">
        <v>2304</v>
      </c>
      <c r="F161">
        <f t="shared" si="6"/>
        <v>6</v>
      </c>
      <c r="G161" s="2">
        <f t="shared" si="7"/>
        <v>3217</v>
      </c>
    </row>
    <row r="162" spans="1:7" x14ac:dyDescent="0.25">
      <c r="A162" t="str">
        <f t="shared" si="8"/>
        <v>Diego De Almagro Población  de 15 a 64 años</v>
      </c>
      <c r="B162" t="s">
        <v>2316</v>
      </c>
      <c r="C162" t="s">
        <v>2302</v>
      </c>
      <c r="D162" t="s">
        <v>50</v>
      </c>
      <c r="E162" s="2" t="s">
        <v>2303</v>
      </c>
      <c r="F162">
        <f t="shared" si="6"/>
        <v>6</v>
      </c>
      <c r="G162" s="2">
        <f t="shared" si="7"/>
        <v>9372</v>
      </c>
    </row>
    <row r="163" spans="1:7" x14ac:dyDescent="0.25">
      <c r="A163" t="str">
        <f t="shared" si="8"/>
        <v>Diego De Almagro Población de 65 años o mas</v>
      </c>
      <c r="B163" t="s">
        <v>2316</v>
      </c>
      <c r="C163" t="s">
        <v>2302</v>
      </c>
      <c r="D163" t="s">
        <v>46</v>
      </c>
      <c r="E163" s="2" t="s">
        <v>2301</v>
      </c>
      <c r="F163">
        <f t="shared" si="6"/>
        <v>6</v>
      </c>
      <c r="G163" s="2">
        <f t="shared" si="7"/>
        <v>1320</v>
      </c>
    </row>
    <row r="164" spans="1:7" x14ac:dyDescent="0.25">
      <c r="A164" t="str">
        <f t="shared" si="8"/>
        <v>Caldera Hombre</v>
      </c>
      <c r="B164" t="s">
        <v>2316</v>
      </c>
      <c r="C164" t="s">
        <v>2295</v>
      </c>
      <c r="D164" t="s">
        <v>58</v>
      </c>
      <c r="E164" s="2" t="s">
        <v>2300</v>
      </c>
      <c r="F164">
        <f t="shared" si="6"/>
        <v>7</v>
      </c>
      <c r="G164" s="2">
        <f t="shared" si="7"/>
        <v>10132</v>
      </c>
    </row>
    <row r="165" spans="1:7" x14ac:dyDescent="0.25">
      <c r="A165" t="str">
        <f t="shared" si="8"/>
        <v>Caldera Mujer</v>
      </c>
      <c r="B165" t="s">
        <v>2316</v>
      </c>
      <c r="C165" t="s">
        <v>2295</v>
      </c>
      <c r="D165" t="s">
        <v>56</v>
      </c>
      <c r="E165" s="2" t="s">
        <v>2299</v>
      </c>
      <c r="F165">
        <f t="shared" si="6"/>
        <v>6</v>
      </c>
      <c r="G165" s="2">
        <f t="shared" si="7"/>
        <v>9832</v>
      </c>
    </row>
    <row r="166" spans="1:7" x14ac:dyDescent="0.25">
      <c r="A166" t="str">
        <f t="shared" si="8"/>
        <v>Caldera Población total</v>
      </c>
      <c r="B166" t="s">
        <v>2316</v>
      </c>
      <c r="C166" t="s">
        <v>2295</v>
      </c>
      <c r="D166" t="s">
        <v>54</v>
      </c>
      <c r="E166" s="2" t="s">
        <v>2298</v>
      </c>
      <c r="F166">
        <f t="shared" si="6"/>
        <v>7</v>
      </c>
      <c r="G166" s="2">
        <f t="shared" si="7"/>
        <v>19964</v>
      </c>
    </row>
    <row r="167" spans="1:7" x14ac:dyDescent="0.25">
      <c r="A167" t="str">
        <f t="shared" si="8"/>
        <v>Caldera Población  de 0 a 14 años</v>
      </c>
      <c r="B167" t="s">
        <v>2316</v>
      </c>
      <c r="C167" t="s">
        <v>2295</v>
      </c>
      <c r="D167" t="s">
        <v>52</v>
      </c>
      <c r="E167" s="2" t="s">
        <v>2297</v>
      </c>
      <c r="F167">
        <f t="shared" si="6"/>
        <v>6</v>
      </c>
      <c r="G167" s="2">
        <f t="shared" si="7"/>
        <v>4164</v>
      </c>
    </row>
    <row r="168" spans="1:7" x14ac:dyDescent="0.25">
      <c r="A168" t="str">
        <f t="shared" si="8"/>
        <v>Caldera Población  de 15 a 64 años</v>
      </c>
      <c r="B168" t="s">
        <v>2316</v>
      </c>
      <c r="C168" t="s">
        <v>2295</v>
      </c>
      <c r="D168" t="s">
        <v>50</v>
      </c>
      <c r="E168" s="2" t="s">
        <v>2296</v>
      </c>
      <c r="F168">
        <f t="shared" si="6"/>
        <v>7</v>
      </c>
      <c r="G168" s="2">
        <f t="shared" si="7"/>
        <v>13240</v>
      </c>
    </row>
    <row r="169" spans="1:7" x14ac:dyDescent="0.25">
      <c r="A169" t="str">
        <f t="shared" si="8"/>
        <v>Caldera Población de 65 años o mas</v>
      </c>
      <c r="B169" t="s">
        <v>2316</v>
      </c>
      <c r="C169" t="s">
        <v>2295</v>
      </c>
      <c r="D169" t="s">
        <v>46</v>
      </c>
      <c r="E169" s="2" t="s">
        <v>2012</v>
      </c>
      <c r="F169">
        <f t="shared" si="6"/>
        <v>6</v>
      </c>
      <c r="G169" s="2">
        <f t="shared" si="7"/>
        <v>2560</v>
      </c>
    </row>
    <row r="170" spans="1:7" x14ac:dyDescent="0.25">
      <c r="A170" t="str">
        <f t="shared" si="8"/>
        <v>Copiapó Hombre</v>
      </c>
      <c r="B170" t="s">
        <v>2316</v>
      </c>
      <c r="C170" t="s">
        <v>2289</v>
      </c>
      <c r="D170" t="s">
        <v>58</v>
      </c>
      <c r="E170" s="2" t="s">
        <v>2294</v>
      </c>
      <c r="F170">
        <f t="shared" si="6"/>
        <v>7</v>
      </c>
      <c r="G170" s="2">
        <f t="shared" si="7"/>
        <v>88474</v>
      </c>
    </row>
    <row r="171" spans="1:7" x14ac:dyDescent="0.25">
      <c r="A171" t="str">
        <f t="shared" si="8"/>
        <v>Copiapó Mujer</v>
      </c>
      <c r="B171" t="s">
        <v>2316</v>
      </c>
      <c r="C171" t="s">
        <v>2289</v>
      </c>
      <c r="D171" t="s">
        <v>56</v>
      </c>
      <c r="E171" s="2" t="s">
        <v>2293</v>
      </c>
      <c r="F171">
        <f t="shared" si="6"/>
        <v>7</v>
      </c>
      <c r="G171" s="2">
        <f t="shared" si="7"/>
        <v>87626</v>
      </c>
    </row>
    <row r="172" spans="1:7" x14ac:dyDescent="0.25">
      <c r="A172" t="str">
        <f t="shared" si="8"/>
        <v>Copiapó Población total</v>
      </c>
      <c r="B172" t="s">
        <v>2316</v>
      </c>
      <c r="C172" t="s">
        <v>2289</v>
      </c>
      <c r="D172" t="s">
        <v>54</v>
      </c>
      <c r="E172" s="2" t="s">
        <v>2292</v>
      </c>
      <c r="F172">
        <f t="shared" si="6"/>
        <v>8</v>
      </c>
      <c r="G172" s="2">
        <f t="shared" si="7"/>
        <v>176100</v>
      </c>
    </row>
    <row r="173" spans="1:7" x14ac:dyDescent="0.25">
      <c r="A173" t="str">
        <f t="shared" si="8"/>
        <v>Copiapó Población  de 0 a 14 años</v>
      </c>
      <c r="B173" t="s">
        <v>2316</v>
      </c>
      <c r="C173" t="s">
        <v>2289</v>
      </c>
      <c r="D173" t="s">
        <v>52</v>
      </c>
      <c r="E173" s="2" t="s">
        <v>2291</v>
      </c>
      <c r="F173">
        <f t="shared" si="6"/>
        <v>7</v>
      </c>
      <c r="G173" s="2">
        <f t="shared" si="7"/>
        <v>37279</v>
      </c>
    </row>
    <row r="174" spans="1:7" x14ac:dyDescent="0.25">
      <c r="A174" t="str">
        <f t="shared" si="8"/>
        <v>Copiapó Población  de 15 a 64 años</v>
      </c>
      <c r="B174" t="s">
        <v>2316</v>
      </c>
      <c r="C174" t="s">
        <v>2289</v>
      </c>
      <c r="D174" t="s">
        <v>50</v>
      </c>
      <c r="E174" s="2" t="s">
        <v>2290</v>
      </c>
      <c r="F174">
        <f t="shared" si="6"/>
        <v>8</v>
      </c>
      <c r="G174" s="2">
        <f t="shared" si="7"/>
        <v>119037</v>
      </c>
    </row>
    <row r="175" spans="1:7" x14ac:dyDescent="0.25">
      <c r="A175" t="str">
        <f t="shared" si="8"/>
        <v>Copiapó Población de 65 años o mas</v>
      </c>
      <c r="B175" t="s">
        <v>2316</v>
      </c>
      <c r="C175" t="s">
        <v>2289</v>
      </c>
      <c r="D175" t="s">
        <v>46</v>
      </c>
      <c r="E175" s="2" t="s">
        <v>2288</v>
      </c>
      <c r="F175">
        <f t="shared" si="6"/>
        <v>7</v>
      </c>
      <c r="G175" s="2">
        <f t="shared" si="7"/>
        <v>19784</v>
      </c>
    </row>
    <row r="176" spans="1:7" x14ac:dyDescent="0.25">
      <c r="A176" t="str">
        <f t="shared" si="8"/>
        <v>Tierra Amarilla Hombre</v>
      </c>
      <c r="B176" t="s">
        <v>2316</v>
      </c>
      <c r="C176" t="s">
        <v>2282</v>
      </c>
      <c r="D176" t="s">
        <v>58</v>
      </c>
      <c r="E176" s="2" t="s">
        <v>2287</v>
      </c>
      <c r="F176">
        <f t="shared" si="6"/>
        <v>6</v>
      </c>
      <c r="G176" s="2">
        <f t="shared" si="7"/>
        <v>7453</v>
      </c>
    </row>
    <row r="177" spans="1:7" x14ac:dyDescent="0.25">
      <c r="A177" t="str">
        <f t="shared" si="8"/>
        <v>Tierra Amarilla Mujer</v>
      </c>
      <c r="B177" t="s">
        <v>2316</v>
      </c>
      <c r="C177" t="s">
        <v>2282</v>
      </c>
      <c r="D177" t="s">
        <v>56</v>
      </c>
      <c r="E177" s="2" t="s">
        <v>2286</v>
      </c>
      <c r="F177">
        <f t="shared" si="6"/>
        <v>6</v>
      </c>
      <c r="G177" s="2">
        <f t="shared" si="7"/>
        <v>6978</v>
      </c>
    </row>
    <row r="178" spans="1:7" x14ac:dyDescent="0.25">
      <c r="A178" t="str">
        <f t="shared" si="8"/>
        <v>Tierra Amarilla Población total</v>
      </c>
      <c r="B178" t="s">
        <v>2316</v>
      </c>
      <c r="C178" t="s">
        <v>2282</v>
      </c>
      <c r="D178" t="s">
        <v>54</v>
      </c>
      <c r="E178" s="2" t="s">
        <v>2285</v>
      </c>
      <c r="F178">
        <f t="shared" si="6"/>
        <v>7</v>
      </c>
      <c r="G178" s="2">
        <f t="shared" si="7"/>
        <v>14431</v>
      </c>
    </row>
    <row r="179" spans="1:7" x14ac:dyDescent="0.25">
      <c r="A179" t="str">
        <f t="shared" si="8"/>
        <v>Tierra Amarilla Población  de 0 a 14 años</v>
      </c>
      <c r="B179" t="s">
        <v>2316</v>
      </c>
      <c r="C179" t="s">
        <v>2282</v>
      </c>
      <c r="D179" t="s">
        <v>52</v>
      </c>
      <c r="E179" s="2" t="s">
        <v>2284</v>
      </c>
      <c r="F179">
        <f t="shared" si="6"/>
        <v>6</v>
      </c>
      <c r="G179" s="2">
        <f t="shared" si="7"/>
        <v>3180</v>
      </c>
    </row>
    <row r="180" spans="1:7" x14ac:dyDescent="0.25">
      <c r="A180" t="str">
        <f t="shared" si="8"/>
        <v>Tierra Amarilla Población  de 15 a 64 años</v>
      </c>
      <c r="B180" t="s">
        <v>2316</v>
      </c>
      <c r="C180" t="s">
        <v>2282</v>
      </c>
      <c r="D180" t="s">
        <v>50</v>
      </c>
      <c r="E180" s="2" t="s">
        <v>2283</v>
      </c>
      <c r="F180">
        <f t="shared" si="6"/>
        <v>6</v>
      </c>
      <c r="G180" s="2">
        <f t="shared" si="7"/>
        <v>9756</v>
      </c>
    </row>
    <row r="181" spans="1:7" x14ac:dyDescent="0.25">
      <c r="A181" t="str">
        <f t="shared" si="8"/>
        <v>Tierra Amarilla Población de 65 años o mas</v>
      </c>
      <c r="B181" t="s">
        <v>2316</v>
      </c>
      <c r="C181" t="s">
        <v>2282</v>
      </c>
      <c r="D181" t="s">
        <v>46</v>
      </c>
      <c r="E181" s="2" t="s">
        <v>2281</v>
      </c>
      <c r="F181">
        <f t="shared" si="6"/>
        <v>6</v>
      </c>
      <c r="G181" s="2">
        <f t="shared" si="7"/>
        <v>1495</v>
      </c>
    </row>
    <row r="182" spans="1:7" x14ac:dyDescent="0.25">
      <c r="A182" t="str">
        <f t="shared" si="8"/>
        <v>Huasco Hombre</v>
      </c>
      <c r="B182" t="s">
        <v>2316</v>
      </c>
      <c r="C182" t="s">
        <v>2276</v>
      </c>
      <c r="D182" t="s">
        <v>58</v>
      </c>
      <c r="E182" s="2" t="s">
        <v>2280</v>
      </c>
      <c r="F182">
        <f t="shared" si="6"/>
        <v>6</v>
      </c>
      <c r="G182" s="2">
        <f t="shared" si="7"/>
        <v>5898</v>
      </c>
    </row>
    <row r="183" spans="1:7" x14ac:dyDescent="0.25">
      <c r="A183" t="str">
        <f t="shared" si="8"/>
        <v>Huasco Mujer</v>
      </c>
      <c r="B183" t="s">
        <v>2316</v>
      </c>
      <c r="C183" t="s">
        <v>2276</v>
      </c>
      <c r="D183" t="s">
        <v>56</v>
      </c>
      <c r="E183" s="2" t="s">
        <v>2279</v>
      </c>
      <c r="F183">
        <f t="shared" si="6"/>
        <v>6</v>
      </c>
      <c r="G183" s="2">
        <f t="shared" si="7"/>
        <v>5692</v>
      </c>
    </row>
    <row r="184" spans="1:7" x14ac:dyDescent="0.25">
      <c r="A184" t="str">
        <f t="shared" si="8"/>
        <v>Huasco Población total</v>
      </c>
      <c r="B184" t="s">
        <v>2316</v>
      </c>
      <c r="C184" t="s">
        <v>2276</v>
      </c>
      <c r="D184" t="s">
        <v>54</v>
      </c>
      <c r="E184" s="2" t="s">
        <v>2278</v>
      </c>
      <c r="F184">
        <f t="shared" si="6"/>
        <v>7</v>
      </c>
      <c r="G184" s="2">
        <f t="shared" si="7"/>
        <v>11590</v>
      </c>
    </row>
    <row r="185" spans="1:7" x14ac:dyDescent="0.25">
      <c r="A185" t="str">
        <f t="shared" si="8"/>
        <v>Huasco Población  de 0 a 14 años</v>
      </c>
      <c r="B185" t="s">
        <v>2316</v>
      </c>
      <c r="C185" t="s">
        <v>2276</v>
      </c>
      <c r="D185" t="s">
        <v>52</v>
      </c>
      <c r="E185" s="2" t="s">
        <v>2277</v>
      </c>
      <c r="F185">
        <f t="shared" si="6"/>
        <v>6</v>
      </c>
      <c r="G185" s="2">
        <f t="shared" si="7"/>
        <v>2364</v>
      </c>
    </row>
    <row r="186" spans="1:7" x14ac:dyDescent="0.25">
      <c r="A186" t="str">
        <f t="shared" si="8"/>
        <v>Huasco Población  de 15 a 64 años</v>
      </c>
      <c r="B186" t="s">
        <v>2316</v>
      </c>
      <c r="C186" t="s">
        <v>2276</v>
      </c>
      <c r="D186" t="s">
        <v>50</v>
      </c>
      <c r="E186" s="2" t="s">
        <v>1457</v>
      </c>
      <c r="F186">
        <f t="shared" si="6"/>
        <v>6</v>
      </c>
      <c r="G186" s="2">
        <f t="shared" si="7"/>
        <v>7465</v>
      </c>
    </row>
    <row r="187" spans="1:7" x14ac:dyDescent="0.25">
      <c r="A187" t="str">
        <f t="shared" si="8"/>
        <v>Huasco Población de 65 años o mas</v>
      </c>
      <c r="B187" t="s">
        <v>2316</v>
      </c>
      <c r="C187" t="s">
        <v>2276</v>
      </c>
      <c r="D187" t="s">
        <v>46</v>
      </c>
      <c r="E187" s="2" t="s">
        <v>2275</v>
      </c>
      <c r="F187">
        <f t="shared" si="6"/>
        <v>6</v>
      </c>
      <c r="G187" s="2">
        <f t="shared" si="7"/>
        <v>1761</v>
      </c>
    </row>
    <row r="188" spans="1:7" x14ac:dyDescent="0.25">
      <c r="A188" t="str">
        <f t="shared" si="8"/>
        <v>Freirina Hombre</v>
      </c>
      <c r="B188" t="s">
        <v>2316</v>
      </c>
      <c r="C188" t="s">
        <v>2269</v>
      </c>
      <c r="D188" t="s">
        <v>58</v>
      </c>
      <c r="E188" s="2" t="s">
        <v>2274</v>
      </c>
      <c r="F188">
        <f t="shared" si="6"/>
        <v>6</v>
      </c>
      <c r="G188" s="2">
        <f t="shared" si="7"/>
        <v>3961</v>
      </c>
    </row>
    <row r="189" spans="1:7" x14ac:dyDescent="0.25">
      <c r="A189" t="str">
        <f t="shared" si="8"/>
        <v>Freirina Mujer</v>
      </c>
      <c r="B189" t="s">
        <v>2316</v>
      </c>
      <c r="C189" t="s">
        <v>2269</v>
      </c>
      <c r="D189" t="s">
        <v>56</v>
      </c>
      <c r="E189" s="2" t="s">
        <v>2273</v>
      </c>
      <c r="F189">
        <f t="shared" si="6"/>
        <v>6</v>
      </c>
      <c r="G189" s="2">
        <f t="shared" si="7"/>
        <v>3879</v>
      </c>
    </row>
    <row r="190" spans="1:7" x14ac:dyDescent="0.25">
      <c r="A190" t="str">
        <f t="shared" si="8"/>
        <v>Freirina Población total</v>
      </c>
      <c r="B190" t="s">
        <v>2316</v>
      </c>
      <c r="C190" t="s">
        <v>2269</v>
      </c>
      <c r="D190" t="s">
        <v>54</v>
      </c>
      <c r="E190" s="2" t="s">
        <v>2272</v>
      </c>
      <c r="F190">
        <f t="shared" si="6"/>
        <v>6</v>
      </c>
      <c r="G190" s="2">
        <f t="shared" si="7"/>
        <v>7840</v>
      </c>
    </row>
    <row r="191" spans="1:7" x14ac:dyDescent="0.25">
      <c r="A191" t="str">
        <f t="shared" si="8"/>
        <v>Freirina Población  de 0 a 14 años</v>
      </c>
      <c r="B191" t="s">
        <v>2316</v>
      </c>
      <c r="C191" t="s">
        <v>2269</v>
      </c>
      <c r="D191" t="s">
        <v>52</v>
      </c>
      <c r="E191" s="2" t="s">
        <v>2271</v>
      </c>
      <c r="F191">
        <f t="shared" si="6"/>
        <v>6</v>
      </c>
      <c r="G191" s="2">
        <f t="shared" si="7"/>
        <v>1653</v>
      </c>
    </row>
    <row r="192" spans="1:7" x14ac:dyDescent="0.25">
      <c r="A192" t="str">
        <f t="shared" si="8"/>
        <v>Freirina Población  de 15 a 64 años</v>
      </c>
      <c r="B192" t="s">
        <v>2316</v>
      </c>
      <c r="C192" t="s">
        <v>2269</v>
      </c>
      <c r="D192" t="s">
        <v>50</v>
      </c>
      <c r="E192" s="2" t="s">
        <v>2270</v>
      </c>
      <c r="F192">
        <f t="shared" si="6"/>
        <v>6</v>
      </c>
      <c r="G192" s="2">
        <f t="shared" si="7"/>
        <v>4954</v>
      </c>
    </row>
    <row r="193" spans="1:7" x14ac:dyDescent="0.25">
      <c r="A193" t="str">
        <f t="shared" si="8"/>
        <v>Freirina Población de 65 años o mas</v>
      </c>
      <c r="B193" t="s">
        <v>2316</v>
      </c>
      <c r="C193" t="s">
        <v>2269</v>
      </c>
      <c r="D193" t="s">
        <v>46</v>
      </c>
      <c r="E193" s="2" t="s">
        <v>2268</v>
      </c>
      <c r="F193">
        <f t="shared" si="6"/>
        <v>6</v>
      </c>
      <c r="G193" s="2">
        <f t="shared" si="7"/>
        <v>1233</v>
      </c>
    </row>
    <row r="194" spans="1:7" x14ac:dyDescent="0.25">
      <c r="A194" t="str">
        <f t="shared" si="8"/>
        <v>Vallenar Hombre</v>
      </c>
      <c r="B194" t="s">
        <v>2316</v>
      </c>
      <c r="C194" t="s">
        <v>2262</v>
      </c>
      <c r="D194" t="s">
        <v>58</v>
      </c>
      <c r="E194" s="2" t="s">
        <v>2267</v>
      </c>
      <c r="F194">
        <f t="shared" ref="F194:F257" si="9">+FIND(".",E194)</f>
        <v>7</v>
      </c>
      <c r="G194" s="2">
        <f t="shared" ref="G194:G257" si="10">+LEFT(E194,(F194-1))*1</f>
        <v>28774</v>
      </c>
    </row>
    <row r="195" spans="1:7" x14ac:dyDescent="0.25">
      <c r="A195" t="str">
        <f t="shared" ref="A195:A258" si="11">+C195&amp;D195</f>
        <v>Vallenar Mujer</v>
      </c>
      <c r="B195" t="s">
        <v>2316</v>
      </c>
      <c r="C195" t="s">
        <v>2262</v>
      </c>
      <c r="D195" t="s">
        <v>56</v>
      </c>
      <c r="E195" s="2" t="s">
        <v>2266</v>
      </c>
      <c r="F195">
        <f t="shared" si="9"/>
        <v>7</v>
      </c>
      <c r="G195" s="2">
        <f t="shared" si="10"/>
        <v>28586</v>
      </c>
    </row>
    <row r="196" spans="1:7" x14ac:dyDescent="0.25">
      <c r="A196" t="str">
        <f t="shared" si="11"/>
        <v>Vallenar Población total</v>
      </c>
      <c r="B196" t="s">
        <v>2316</v>
      </c>
      <c r="C196" t="s">
        <v>2262</v>
      </c>
      <c r="D196" t="s">
        <v>54</v>
      </c>
      <c r="E196" s="2" t="s">
        <v>2265</v>
      </c>
      <c r="F196">
        <f t="shared" si="9"/>
        <v>7</v>
      </c>
      <c r="G196" s="2">
        <f t="shared" si="10"/>
        <v>57360</v>
      </c>
    </row>
    <row r="197" spans="1:7" x14ac:dyDescent="0.25">
      <c r="A197" t="str">
        <f t="shared" si="11"/>
        <v>Vallenar Población  de 0 a 14 años</v>
      </c>
      <c r="B197" t="s">
        <v>2316</v>
      </c>
      <c r="C197" t="s">
        <v>2262</v>
      </c>
      <c r="D197" t="s">
        <v>52</v>
      </c>
      <c r="E197" s="2" t="s">
        <v>2264</v>
      </c>
      <c r="F197">
        <f t="shared" si="9"/>
        <v>7</v>
      </c>
      <c r="G197" s="2">
        <f t="shared" si="10"/>
        <v>11965</v>
      </c>
    </row>
    <row r="198" spans="1:7" x14ac:dyDescent="0.25">
      <c r="A198" t="str">
        <f t="shared" si="11"/>
        <v>Vallenar Población  de 15 a 64 años</v>
      </c>
      <c r="B198" t="s">
        <v>2316</v>
      </c>
      <c r="C198" t="s">
        <v>2262</v>
      </c>
      <c r="D198" t="s">
        <v>50</v>
      </c>
      <c r="E198" s="2" t="s">
        <v>2263</v>
      </c>
      <c r="F198">
        <f t="shared" si="9"/>
        <v>7</v>
      </c>
      <c r="G198" s="2">
        <f t="shared" si="10"/>
        <v>36693</v>
      </c>
    </row>
    <row r="199" spans="1:7" x14ac:dyDescent="0.25">
      <c r="A199" t="str">
        <f t="shared" si="11"/>
        <v>Vallenar Población de 65 años o mas</v>
      </c>
      <c r="B199" t="s">
        <v>2316</v>
      </c>
      <c r="C199" t="s">
        <v>2262</v>
      </c>
      <c r="D199" t="s">
        <v>46</v>
      </c>
      <c r="E199" s="2" t="s">
        <v>2261</v>
      </c>
      <c r="F199">
        <f t="shared" si="9"/>
        <v>6</v>
      </c>
      <c r="G199" s="2">
        <f t="shared" si="10"/>
        <v>8702</v>
      </c>
    </row>
    <row r="200" spans="1:7" x14ac:dyDescent="0.25">
      <c r="A200" t="str">
        <f t="shared" si="11"/>
        <v>Alto Del Carmen Hombre</v>
      </c>
      <c r="B200" t="s">
        <v>2316</v>
      </c>
      <c r="C200" t="s">
        <v>2255</v>
      </c>
      <c r="D200" t="s">
        <v>58</v>
      </c>
      <c r="E200" s="2" t="s">
        <v>2260</v>
      </c>
      <c r="F200">
        <f t="shared" si="9"/>
        <v>6</v>
      </c>
      <c r="G200" s="2">
        <f t="shared" si="10"/>
        <v>2979</v>
      </c>
    </row>
    <row r="201" spans="1:7" x14ac:dyDescent="0.25">
      <c r="A201" t="str">
        <f t="shared" si="11"/>
        <v>Alto Del Carmen Mujer</v>
      </c>
      <c r="B201" t="s">
        <v>2316</v>
      </c>
      <c r="C201" t="s">
        <v>2255</v>
      </c>
      <c r="D201" t="s">
        <v>56</v>
      </c>
      <c r="E201" s="2" t="s">
        <v>2259</v>
      </c>
      <c r="F201">
        <f t="shared" si="9"/>
        <v>6</v>
      </c>
      <c r="G201" s="2">
        <f t="shared" si="10"/>
        <v>2802</v>
      </c>
    </row>
    <row r="202" spans="1:7" x14ac:dyDescent="0.25">
      <c r="A202" t="str">
        <f t="shared" si="11"/>
        <v>Alto Del Carmen Población total</v>
      </c>
      <c r="B202" t="s">
        <v>2316</v>
      </c>
      <c r="C202" t="s">
        <v>2255</v>
      </c>
      <c r="D202" t="s">
        <v>54</v>
      </c>
      <c r="E202" s="2" t="s">
        <v>2258</v>
      </c>
      <c r="F202">
        <f t="shared" si="9"/>
        <v>6</v>
      </c>
      <c r="G202" s="2">
        <f t="shared" si="10"/>
        <v>5781</v>
      </c>
    </row>
    <row r="203" spans="1:7" x14ac:dyDescent="0.25">
      <c r="A203" t="str">
        <f t="shared" si="11"/>
        <v>Alto Del Carmen Población  de 0 a 14 años</v>
      </c>
      <c r="B203" t="s">
        <v>2316</v>
      </c>
      <c r="C203" t="s">
        <v>2255</v>
      </c>
      <c r="D203" t="s">
        <v>52</v>
      </c>
      <c r="E203" s="2" t="s">
        <v>2257</v>
      </c>
      <c r="F203">
        <f t="shared" si="9"/>
        <v>6</v>
      </c>
      <c r="G203" s="2">
        <f t="shared" si="10"/>
        <v>1047</v>
      </c>
    </row>
    <row r="204" spans="1:7" x14ac:dyDescent="0.25">
      <c r="A204" t="str">
        <f t="shared" si="11"/>
        <v>Alto Del Carmen Población  de 15 a 64 años</v>
      </c>
      <c r="B204" t="s">
        <v>2316</v>
      </c>
      <c r="C204" t="s">
        <v>2255</v>
      </c>
      <c r="D204" t="s">
        <v>50</v>
      </c>
      <c r="E204" s="2" t="s">
        <v>2256</v>
      </c>
      <c r="F204">
        <f t="shared" si="9"/>
        <v>6</v>
      </c>
      <c r="G204" s="2">
        <f t="shared" si="10"/>
        <v>3565</v>
      </c>
    </row>
    <row r="205" spans="1:7" x14ac:dyDescent="0.25">
      <c r="A205" t="str">
        <f t="shared" si="11"/>
        <v>Alto Del Carmen Población de 65 años o mas</v>
      </c>
      <c r="B205" t="s">
        <v>2316</v>
      </c>
      <c r="C205" t="s">
        <v>2255</v>
      </c>
      <c r="D205" t="s">
        <v>46</v>
      </c>
      <c r="E205" s="2" t="s">
        <v>2254</v>
      </c>
      <c r="F205">
        <f t="shared" si="9"/>
        <v>6</v>
      </c>
      <c r="G205" s="2">
        <f t="shared" si="10"/>
        <v>1169</v>
      </c>
    </row>
    <row r="206" spans="1:7" x14ac:dyDescent="0.25">
      <c r="A206" t="str">
        <f t="shared" si="11"/>
        <v>Región De Coquimbo Hombre</v>
      </c>
      <c r="B206" t="s">
        <v>2248</v>
      </c>
      <c r="C206" t="s">
        <v>2248</v>
      </c>
      <c r="D206" t="s">
        <v>58</v>
      </c>
      <c r="E206" s="2" t="s">
        <v>2253</v>
      </c>
      <c r="F206">
        <f t="shared" si="9"/>
        <v>8</v>
      </c>
      <c r="G206" s="2">
        <f t="shared" si="10"/>
        <v>430248</v>
      </c>
    </row>
    <row r="207" spans="1:7" x14ac:dyDescent="0.25">
      <c r="A207" t="str">
        <f t="shared" si="11"/>
        <v>Región De Coquimbo Mujer</v>
      </c>
      <c r="B207" t="s">
        <v>2248</v>
      </c>
      <c r="C207" t="s">
        <v>2248</v>
      </c>
      <c r="D207" t="s">
        <v>56</v>
      </c>
      <c r="E207" s="2" t="s">
        <v>2252</v>
      </c>
      <c r="F207">
        <f t="shared" si="9"/>
        <v>8</v>
      </c>
      <c r="G207" s="2">
        <f t="shared" si="10"/>
        <v>449019</v>
      </c>
    </row>
    <row r="208" spans="1:7" x14ac:dyDescent="0.25">
      <c r="A208" t="str">
        <f t="shared" si="11"/>
        <v>Región De Coquimbo Población total</v>
      </c>
      <c r="B208" t="s">
        <v>2248</v>
      </c>
      <c r="C208" t="s">
        <v>2248</v>
      </c>
      <c r="D208" t="s">
        <v>54</v>
      </c>
      <c r="E208" s="2" t="s">
        <v>2251</v>
      </c>
      <c r="F208">
        <f t="shared" si="9"/>
        <v>8</v>
      </c>
      <c r="G208" s="2">
        <f t="shared" si="10"/>
        <v>879267</v>
      </c>
    </row>
    <row r="209" spans="1:7" x14ac:dyDescent="0.25">
      <c r="A209" t="str">
        <f t="shared" si="11"/>
        <v>Región De Coquimbo Población  de 0 a 14 años</v>
      </c>
      <c r="B209" t="s">
        <v>2248</v>
      </c>
      <c r="C209" t="s">
        <v>2248</v>
      </c>
      <c r="D209" t="s">
        <v>52</v>
      </c>
      <c r="E209" s="2" t="s">
        <v>2250</v>
      </c>
      <c r="F209">
        <f t="shared" si="9"/>
        <v>8</v>
      </c>
      <c r="G209" s="2">
        <f t="shared" si="10"/>
        <v>170557</v>
      </c>
    </row>
    <row r="210" spans="1:7" x14ac:dyDescent="0.25">
      <c r="A210" t="str">
        <f t="shared" si="11"/>
        <v>Región De Coquimbo Población  de 15 a 64 años</v>
      </c>
      <c r="B210" t="s">
        <v>2248</v>
      </c>
      <c r="C210" t="s">
        <v>2248</v>
      </c>
      <c r="D210" t="s">
        <v>50</v>
      </c>
      <c r="E210" s="2" t="s">
        <v>2249</v>
      </c>
      <c r="F210">
        <f t="shared" si="9"/>
        <v>8</v>
      </c>
      <c r="G210" s="2">
        <f t="shared" si="10"/>
        <v>580371</v>
      </c>
    </row>
    <row r="211" spans="1:7" x14ac:dyDescent="0.25">
      <c r="A211" t="str">
        <f t="shared" si="11"/>
        <v>Región De Coquimbo Población de 65 años o mas</v>
      </c>
      <c r="B211" t="s">
        <v>2248</v>
      </c>
      <c r="C211" t="s">
        <v>2248</v>
      </c>
      <c r="D211" t="s">
        <v>46</v>
      </c>
      <c r="E211" s="2" t="s">
        <v>2247</v>
      </c>
      <c r="F211">
        <f t="shared" si="9"/>
        <v>8</v>
      </c>
      <c r="G211" s="2">
        <f t="shared" si="10"/>
        <v>128339</v>
      </c>
    </row>
    <row r="212" spans="1:7" x14ac:dyDescent="0.25">
      <c r="A212" t="str">
        <f t="shared" si="11"/>
        <v>La Higuera Hombre</v>
      </c>
      <c r="B212" t="s">
        <v>2248</v>
      </c>
      <c r="C212" t="s">
        <v>2243</v>
      </c>
      <c r="D212" t="s">
        <v>58</v>
      </c>
      <c r="E212" s="2" t="s">
        <v>386</v>
      </c>
      <c r="F212">
        <f t="shared" si="9"/>
        <v>6</v>
      </c>
      <c r="G212" s="2">
        <f t="shared" si="10"/>
        <v>2284</v>
      </c>
    </row>
    <row r="213" spans="1:7" x14ac:dyDescent="0.25">
      <c r="A213" t="str">
        <f t="shared" si="11"/>
        <v>La Higuera Mujer</v>
      </c>
      <c r="B213" t="s">
        <v>2248</v>
      </c>
      <c r="C213" t="s">
        <v>2243</v>
      </c>
      <c r="D213" t="s">
        <v>56</v>
      </c>
      <c r="E213" s="2" t="s">
        <v>2246</v>
      </c>
      <c r="F213">
        <f t="shared" si="9"/>
        <v>6</v>
      </c>
      <c r="G213" s="2">
        <f t="shared" si="10"/>
        <v>2249</v>
      </c>
    </row>
    <row r="214" spans="1:7" x14ac:dyDescent="0.25">
      <c r="A214" t="str">
        <f t="shared" si="11"/>
        <v>La Higuera Población total</v>
      </c>
      <c r="B214" t="s">
        <v>2248</v>
      </c>
      <c r="C214" t="s">
        <v>2243</v>
      </c>
      <c r="D214" t="s">
        <v>54</v>
      </c>
      <c r="E214" s="2" t="s">
        <v>2245</v>
      </c>
      <c r="F214">
        <f t="shared" si="9"/>
        <v>6</v>
      </c>
      <c r="G214" s="2">
        <f t="shared" si="10"/>
        <v>4533</v>
      </c>
    </row>
    <row r="215" spans="1:7" x14ac:dyDescent="0.25">
      <c r="A215" t="str">
        <f t="shared" si="11"/>
        <v>La Higuera Población  de 0 a 14 años</v>
      </c>
      <c r="B215" t="s">
        <v>2248</v>
      </c>
      <c r="C215" t="s">
        <v>2243</v>
      </c>
      <c r="D215" t="s">
        <v>52</v>
      </c>
      <c r="E215" s="2" t="s">
        <v>1280</v>
      </c>
      <c r="F215">
        <f t="shared" si="9"/>
        <v>5</v>
      </c>
      <c r="G215" s="2">
        <f t="shared" si="10"/>
        <v>923</v>
      </c>
    </row>
    <row r="216" spans="1:7" x14ac:dyDescent="0.25">
      <c r="A216" t="str">
        <f t="shared" si="11"/>
        <v>La Higuera Población  de 15 a 64 años</v>
      </c>
      <c r="B216" t="s">
        <v>2248</v>
      </c>
      <c r="C216" t="s">
        <v>2243</v>
      </c>
      <c r="D216" t="s">
        <v>50</v>
      </c>
      <c r="E216" s="2" t="s">
        <v>2244</v>
      </c>
      <c r="F216">
        <f t="shared" si="9"/>
        <v>6</v>
      </c>
      <c r="G216" s="2">
        <f t="shared" si="10"/>
        <v>2837</v>
      </c>
    </row>
    <row r="217" spans="1:7" x14ac:dyDescent="0.25">
      <c r="A217" t="str">
        <f t="shared" si="11"/>
        <v>La Higuera Población de 65 años o mas</v>
      </c>
      <c r="B217" t="s">
        <v>2248</v>
      </c>
      <c r="C217" t="s">
        <v>2243</v>
      </c>
      <c r="D217" t="s">
        <v>46</v>
      </c>
      <c r="E217" s="2" t="s">
        <v>2242</v>
      </c>
      <c r="F217">
        <f t="shared" si="9"/>
        <v>5</v>
      </c>
      <c r="G217" s="2">
        <f t="shared" si="10"/>
        <v>773</v>
      </c>
    </row>
    <row r="218" spans="1:7" x14ac:dyDescent="0.25">
      <c r="A218" t="str">
        <f t="shared" si="11"/>
        <v>La Serena Hombre</v>
      </c>
      <c r="B218" t="s">
        <v>2248</v>
      </c>
      <c r="C218" t="s">
        <v>2236</v>
      </c>
      <c r="D218" t="s">
        <v>58</v>
      </c>
      <c r="E218" s="2" t="s">
        <v>2241</v>
      </c>
      <c r="F218">
        <f t="shared" si="9"/>
        <v>8</v>
      </c>
      <c r="G218" s="2">
        <f t="shared" si="10"/>
        <v>130296</v>
      </c>
    </row>
    <row r="219" spans="1:7" x14ac:dyDescent="0.25">
      <c r="A219" t="str">
        <f t="shared" si="11"/>
        <v>La Serena Mujer</v>
      </c>
      <c r="B219" t="s">
        <v>2248</v>
      </c>
      <c r="C219" t="s">
        <v>2236</v>
      </c>
      <c r="D219" t="s">
        <v>56</v>
      </c>
      <c r="E219" s="2" t="s">
        <v>2240</v>
      </c>
      <c r="F219">
        <f t="shared" si="9"/>
        <v>8</v>
      </c>
      <c r="G219" s="2">
        <f t="shared" si="10"/>
        <v>137104</v>
      </c>
    </row>
    <row r="220" spans="1:7" x14ac:dyDescent="0.25">
      <c r="A220" t="str">
        <f t="shared" si="11"/>
        <v>La Serena Población total</v>
      </c>
      <c r="B220" t="s">
        <v>2248</v>
      </c>
      <c r="C220" t="s">
        <v>2236</v>
      </c>
      <c r="D220" t="s">
        <v>54</v>
      </c>
      <c r="E220" s="2" t="s">
        <v>2239</v>
      </c>
      <c r="F220">
        <f t="shared" si="9"/>
        <v>8</v>
      </c>
      <c r="G220" s="2">
        <f t="shared" si="10"/>
        <v>267400</v>
      </c>
    </row>
    <row r="221" spans="1:7" x14ac:dyDescent="0.25">
      <c r="A221" t="str">
        <f t="shared" si="11"/>
        <v>La Serena Población  de 0 a 14 años</v>
      </c>
      <c r="B221" t="s">
        <v>2248</v>
      </c>
      <c r="C221" t="s">
        <v>2236</v>
      </c>
      <c r="D221" t="s">
        <v>52</v>
      </c>
      <c r="E221" s="2" t="s">
        <v>2238</v>
      </c>
      <c r="F221">
        <f t="shared" si="9"/>
        <v>7</v>
      </c>
      <c r="G221" s="2">
        <f t="shared" si="10"/>
        <v>50811</v>
      </c>
    </row>
    <row r="222" spans="1:7" x14ac:dyDescent="0.25">
      <c r="A222" t="str">
        <f t="shared" si="11"/>
        <v>La Serena Población  de 15 a 64 años</v>
      </c>
      <c r="B222" t="s">
        <v>2248</v>
      </c>
      <c r="C222" t="s">
        <v>2236</v>
      </c>
      <c r="D222" t="s">
        <v>50</v>
      </c>
      <c r="E222" s="2" t="s">
        <v>2237</v>
      </c>
      <c r="F222">
        <f t="shared" si="9"/>
        <v>8</v>
      </c>
      <c r="G222" s="2">
        <f t="shared" si="10"/>
        <v>180290</v>
      </c>
    </row>
    <row r="223" spans="1:7" x14ac:dyDescent="0.25">
      <c r="A223" t="str">
        <f t="shared" si="11"/>
        <v>La Serena Población de 65 años o mas</v>
      </c>
      <c r="B223" t="s">
        <v>2248</v>
      </c>
      <c r="C223" t="s">
        <v>2236</v>
      </c>
      <c r="D223" t="s">
        <v>46</v>
      </c>
      <c r="E223" s="2" t="s">
        <v>2235</v>
      </c>
      <c r="F223">
        <f t="shared" si="9"/>
        <v>7</v>
      </c>
      <c r="G223" s="2">
        <f t="shared" si="10"/>
        <v>36299</v>
      </c>
    </row>
    <row r="224" spans="1:7" x14ac:dyDescent="0.25">
      <c r="A224" t="str">
        <f t="shared" si="11"/>
        <v>Coquimbo Hombre</v>
      </c>
      <c r="B224" t="s">
        <v>2248</v>
      </c>
      <c r="C224" t="s">
        <v>2229</v>
      </c>
      <c r="D224" t="s">
        <v>58</v>
      </c>
      <c r="E224" s="2" t="s">
        <v>2234</v>
      </c>
      <c r="F224">
        <f t="shared" si="9"/>
        <v>8</v>
      </c>
      <c r="G224" s="2">
        <f t="shared" si="10"/>
        <v>134319</v>
      </c>
    </row>
    <row r="225" spans="1:7" x14ac:dyDescent="0.25">
      <c r="A225" t="str">
        <f t="shared" si="11"/>
        <v>Coquimbo Mujer</v>
      </c>
      <c r="B225" t="s">
        <v>2248</v>
      </c>
      <c r="C225" t="s">
        <v>2229</v>
      </c>
      <c r="D225" t="s">
        <v>56</v>
      </c>
      <c r="E225" s="2" t="s">
        <v>2233</v>
      </c>
      <c r="F225">
        <f t="shared" si="9"/>
        <v>8</v>
      </c>
      <c r="G225" s="2">
        <f t="shared" si="10"/>
        <v>141325</v>
      </c>
    </row>
    <row r="226" spans="1:7" x14ac:dyDescent="0.25">
      <c r="A226" t="str">
        <f t="shared" si="11"/>
        <v>Coquimbo Población total</v>
      </c>
      <c r="B226" t="s">
        <v>2248</v>
      </c>
      <c r="C226" t="s">
        <v>2229</v>
      </c>
      <c r="D226" t="s">
        <v>54</v>
      </c>
      <c r="E226" s="2" t="s">
        <v>2232</v>
      </c>
      <c r="F226">
        <f t="shared" si="9"/>
        <v>8</v>
      </c>
      <c r="G226" s="2">
        <f t="shared" si="10"/>
        <v>275644</v>
      </c>
    </row>
    <row r="227" spans="1:7" x14ac:dyDescent="0.25">
      <c r="A227" t="str">
        <f t="shared" si="11"/>
        <v>Coquimbo Población  de 0 a 14 años</v>
      </c>
      <c r="B227" t="s">
        <v>2248</v>
      </c>
      <c r="C227" t="s">
        <v>2229</v>
      </c>
      <c r="D227" t="s">
        <v>52</v>
      </c>
      <c r="E227" s="2" t="s">
        <v>2231</v>
      </c>
      <c r="F227">
        <f t="shared" si="9"/>
        <v>7</v>
      </c>
      <c r="G227" s="2">
        <f t="shared" si="10"/>
        <v>55207</v>
      </c>
    </row>
    <row r="228" spans="1:7" x14ac:dyDescent="0.25">
      <c r="A228" t="str">
        <f t="shared" si="11"/>
        <v>Coquimbo Población  de 15 a 64 años</v>
      </c>
      <c r="B228" t="s">
        <v>2248</v>
      </c>
      <c r="C228" t="s">
        <v>2229</v>
      </c>
      <c r="D228" t="s">
        <v>50</v>
      </c>
      <c r="E228" s="2" t="s">
        <v>2230</v>
      </c>
      <c r="F228">
        <f t="shared" si="9"/>
        <v>8</v>
      </c>
      <c r="G228" s="2">
        <f t="shared" si="10"/>
        <v>184127</v>
      </c>
    </row>
    <row r="229" spans="1:7" x14ac:dyDescent="0.25">
      <c r="A229" t="str">
        <f t="shared" si="11"/>
        <v>Coquimbo Población de 65 años o mas</v>
      </c>
      <c r="B229" t="s">
        <v>2248</v>
      </c>
      <c r="C229" t="s">
        <v>2229</v>
      </c>
      <c r="D229" t="s">
        <v>46</v>
      </c>
      <c r="E229" s="2" t="s">
        <v>2228</v>
      </c>
      <c r="F229">
        <f t="shared" si="9"/>
        <v>7</v>
      </c>
      <c r="G229" s="2">
        <f t="shared" si="10"/>
        <v>36310</v>
      </c>
    </row>
    <row r="230" spans="1:7" x14ac:dyDescent="0.25">
      <c r="A230" t="str">
        <f t="shared" si="11"/>
        <v>Paiguano Hombre</v>
      </c>
      <c r="B230" t="s">
        <v>2248</v>
      </c>
      <c r="C230" t="s">
        <v>2222</v>
      </c>
      <c r="D230" t="s">
        <v>58</v>
      </c>
      <c r="E230" s="2" t="s">
        <v>2227</v>
      </c>
      <c r="F230">
        <f t="shared" si="9"/>
        <v>6</v>
      </c>
      <c r="G230" s="2">
        <f t="shared" si="10"/>
        <v>2320</v>
      </c>
    </row>
    <row r="231" spans="1:7" x14ac:dyDescent="0.25">
      <c r="A231" t="str">
        <f t="shared" si="11"/>
        <v>Paiguano Mujer</v>
      </c>
      <c r="B231" t="s">
        <v>2248</v>
      </c>
      <c r="C231" t="s">
        <v>2222</v>
      </c>
      <c r="D231" t="s">
        <v>56</v>
      </c>
      <c r="E231" s="2" t="s">
        <v>2226</v>
      </c>
      <c r="F231">
        <f t="shared" si="9"/>
        <v>6</v>
      </c>
      <c r="G231" s="2">
        <f t="shared" si="10"/>
        <v>2389</v>
      </c>
    </row>
    <row r="232" spans="1:7" x14ac:dyDescent="0.25">
      <c r="A232" t="str">
        <f t="shared" si="11"/>
        <v>Paiguano Población total</v>
      </c>
      <c r="B232" t="s">
        <v>2248</v>
      </c>
      <c r="C232" t="s">
        <v>2222</v>
      </c>
      <c r="D232" t="s">
        <v>54</v>
      </c>
      <c r="E232" s="2" t="s">
        <v>2225</v>
      </c>
      <c r="F232">
        <f t="shared" si="9"/>
        <v>6</v>
      </c>
      <c r="G232" s="2">
        <f t="shared" si="10"/>
        <v>4709</v>
      </c>
    </row>
    <row r="233" spans="1:7" x14ac:dyDescent="0.25">
      <c r="A233" t="str">
        <f t="shared" si="11"/>
        <v>Paiguano Población  de 0 a 14 años</v>
      </c>
      <c r="B233" t="s">
        <v>2248</v>
      </c>
      <c r="C233" t="s">
        <v>2222</v>
      </c>
      <c r="D233" t="s">
        <v>52</v>
      </c>
      <c r="E233" s="2" t="s">
        <v>2224</v>
      </c>
      <c r="F233">
        <f t="shared" si="9"/>
        <v>5</v>
      </c>
      <c r="G233" s="2">
        <f t="shared" si="10"/>
        <v>790</v>
      </c>
    </row>
    <row r="234" spans="1:7" x14ac:dyDescent="0.25">
      <c r="A234" t="str">
        <f t="shared" si="11"/>
        <v>Paiguano Población  de 15 a 64 años</v>
      </c>
      <c r="B234" t="s">
        <v>2248</v>
      </c>
      <c r="C234" t="s">
        <v>2222</v>
      </c>
      <c r="D234" t="s">
        <v>50</v>
      </c>
      <c r="E234" s="2" t="s">
        <v>2223</v>
      </c>
      <c r="F234">
        <f t="shared" si="9"/>
        <v>6</v>
      </c>
      <c r="G234" s="2">
        <f t="shared" si="10"/>
        <v>3062</v>
      </c>
    </row>
    <row r="235" spans="1:7" x14ac:dyDescent="0.25">
      <c r="A235" t="str">
        <f t="shared" si="11"/>
        <v>Paiguano Población de 65 años o mas</v>
      </c>
      <c r="B235" t="s">
        <v>2248</v>
      </c>
      <c r="C235" t="s">
        <v>2222</v>
      </c>
      <c r="D235" t="s">
        <v>46</v>
      </c>
      <c r="E235" s="2" t="s">
        <v>2221</v>
      </c>
      <c r="F235">
        <f t="shared" si="9"/>
        <v>5</v>
      </c>
      <c r="G235" s="2">
        <f t="shared" si="10"/>
        <v>857</v>
      </c>
    </row>
    <row r="236" spans="1:7" x14ac:dyDescent="0.25">
      <c r="A236" t="str">
        <f t="shared" si="11"/>
        <v>Vicuña Hombre</v>
      </c>
      <c r="B236" t="s">
        <v>2248</v>
      </c>
      <c r="C236" t="s">
        <v>2216</v>
      </c>
      <c r="D236" t="s">
        <v>58</v>
      </c>
      <c r="E236" s="2" t="s">
        <v>2220</v>
      </c>
      <c r="F236">
        <f t="shared" si="9"/>
        <v>7</v>
      </c>
      <c r="G236" s="2">
        <f t="shared" si="10"/>
        <v>15019</v>
      </c>
    </row>
    <row r="237" spans="1:7" x14ac:dyDescent="0.25">
      <c r="A237" t="str">
        <f t="shared" si="11"/>
        <v>Vicuña Mujer</v>
      </c>
      <c r="B237" t="s">
        <v>2248</v>
      </c>
      <c r="C237" t="s">
        <v>2216</v>
      </c>
      <c r="D237" t="s">
        <v>56</v>
      </c>
      <c r="E237" s="2" t="s">
        <v>1467</v>
      </c>
      <c r="F237">
        <f t="shared" si="9"/>
        <v>7</v>
      </c>
      <c r="G237" s="2">
        <f t="shared" si="10"/>
        <v>15522</v>
      </c>
    </row>
    <row r="238" spans="1:7" x14ac:dyDescent="0.25">
      <c r="A238" t="str">
        <f t="shared" si="11"/>
        <v>Vicuña Población total</v>
      </c>
      <c r="B238" t="s">
        <v>2248</v>
      </c>
      <c r="C238" t="s">
        <v>2216</v>
      </c>
      <c r="D238" t="s">
        <v>54</v>
      </c>
      <c r="E238" s="2" t="s">
        <v>2219</v>
      </c>
      <c r="F238">
        <f t="shared" si="9"/>
        <v>7</v>
      </c>
      <c r="G238" s="2">
        <f t="shared" si="10"/>
        <v>30541</v>
      </c>
    </row>
    <row r="239" spans="1:7" x14ac:dyDescent="0.25">
      <c r="A239" t="str">
        <f t="shared" si="11"/>
        <v>Vicuña Población  de 0 a 14 años</v>
      </c>
      <c r="B239" t="s">
        <v>2248</v>
      </c>
      <c r="C239" t="s">
        <v>2216</v>
      </c>
      <c r="D239" t="s">
        <v>52</v>
      </c>
      <c r="E239" s="2" t="s">
        <v>2218</v>
      </c>
      <c r="F239">
        <f t="shared" si="9"/>
        <v>6</v>
      </c>
      <c r="G239" s="2">
        <f t="shared" si="10"/>
        <v>5978</v>
      </c>
    </row>
    <row r="240" spans="1:7" x14ac:dyDescent="0.25">
      <c r="A240" t="str">
        <f t="shared" si="11"/>
        <v>Vicuña Población  de 15 a 64 años</v>
      </c>
      <c r="B240" t="s">
        <v>2248</v>
      </c>
      <c r="C240" t="s">
        <v>2216</v>
      </c>
      <c r="D240" t="s">
        <v>50</v>
      </c>
      <c r="E240" s="2" t="s">
        <v>2217</v>
      </c>
      <c r="F240">
        <f t="shared" si="9"/>
        <v>7</v>
      </c>
      <c r="G240" s="2">
        <f t="shared" si="10"/>
        <v>19829</v>
      </c>
    </row>
    <row r="241" spans="1:7" x14ac:dyDescent="0.25">
      <c r="A241" t="str">
        <f t="shared" si="11"/>
        <v>Vicuña Población de 65 años o mas</v>
      </c>
      <c r="B241" t="s">
        <v>2248</v>
      </c>
      <c r="C241" t="s">
        <v>2216</v>
      </c>
      <c r="D241" t="s">
        <v>46</v>
      </c>
      <c r="E241" s="2" t="s">
        <v>2215</v>
      </c>
      <c r="F241">
        <f t="shared" si="9"/>
        <v>6</v>
      </c>
      <c r="G241" s="2">
        <f t="shared" si="10"/>
        <v>4734</v>
      </c>
    </row>
    <row r="242" spans="1:7" x14ac:dyDescent="0.25">
      <c r="A242" t="str">
        <f t="shared" si="11"/>
        <v>Andacollo Hombre</v>
      </c>
      <c r="B242" t="s">
        <v>2248</v>
      </c>
      <c r="C242" t="s">
        <v>2211</v>
      </c>
      <c r="D242" t="s">
        <v>58</v>
      </c>
      <c r="E242" s="2" t="s">
        <v>187</v>
      </c>
      <c r="F242">
        <f t="shared" si="9"/>
        <v>6</v>
      </c>
      <c r="G242" s="2">
        <f t="shared" si="10"/>
        <v>5872</v>
      </c>
    </row>
    <row r="243" spans="1:7" x14ac:dyDescent="0.25">
      <c r="A243" t="str">
        <f t="shared" si="11"/>
        <v>Andacollo Mujer</v>
      </c>
      <c r="B243" t="s">
        <v>2248</v>
      </c>
      <c r="C243" t="s">
        <v>2211</v>
      </c>
      <c r="D243" t="s">
        <v>56</v>
      </c>
      <c r="E243" s="2" t="s">
        <v>2214</v>
      </c>
      <c r="F243">
        <f t="shared" si="9"/>
        <v>6</v>
      </c>
      <c r="G243" s="2">
        <f t="shared" si="10"/>
        <v>5964</v>
      </c>
    </row>
    <row r="244" spans="1:7" x14ac:dyDescent="0.25">
      <c r="A244" t="str">
        <f t="shared" si="11"/>
        <v>Andacollo Población total</v>
      </c>
      <c r="B244" t="s">
        <v>2248</v>
      </c>
      <c r="C244" t="s">
        <v>2211</v>
      </c>
      <c r="D244" t="s">
        <v>54</v>
      </c>
      <c r="E244" s="2" t="s">
        <v>2213</v>
      </c>
      <c r="F244">
        <f t="shared" si="9"/>
        <v>7</v>
      </c>
      <c r="G244" s="2">
        <f t="shared" si="10"/>
        <v>11836</v>
      </c>
    </row>
    <row r="245" spans="1:7" x14ac:dyDescent="0.25">
      <c r="A245" t="str">
        <f t="shared" si="11"/>
        <v>Andacollo Población  de 0 a 14 años</v>
      </c>
      <c r="B245" t="s">
        <v>2248</v>
      </c>
      <c r="C245" t="s">
        <v>2211</v>
      </c>
      <c r="D245" t="s">
        <v>52</v>
      </c>
      <c r="E245" s="2" t="s">
        <v>2212</v>
      </c>
      <c r="F245">
        <f t="shared" si="9"/>
        <v>6</v>
      </c>
      <c r="G245" s="2">
        <f t="shared" si="10"/>
        <v>2309</v>
      </c>
    </row>
    <row r="246" spans="1:7" x14ac:dyDescent="0.25">
      <c r="A246" t="str">
        <f t="shared" si="11"/>
        <v>Andacollo Población  de 15 a 64 años</v>
      </c>
      <c r="B246" t="s">
        <v>2248</v>
      </c>
      <c r="C246" t="s">
        <v>2211</v>
      </c>
      <c r="D246" t="s">
        <v>50</v>
      </c>
      <c r="E246" s="2" t="s">
        <v>1458</v>
      </c>
      <c r="F246">
        <f t="shared" si="9"/>
        <v>6</v>
      </c>
      <c r="G246" s="2">
        <f t="shared" si="10"/>
        <v>7542</v>
      </c>
    </row>
    <row r="247" spans="1:7" x14ac:dyDescent="0.25">
      <c r="A247" t="str">
        <f t="shared" si="11"/>
        <v>Andacollo Población de 65 años o mas</v>
      </c>
      <c r="B247" t="s">
        <v>2248</v>
      </c>
      <c r="C247" t="s">
        <v>2211</v>
      </c>
      <c r="D247" t="s">
        <v>46</v>
      </c>
      <c r="E247" s="2" t="s">
        <v>2210</v>
      </c>
      <c r="F247">
        <f t="shared" si="9"/>
        <v>6</v>
      </c>
      <c r="G247" s="2">
        <f t="shared" si="10"/>
        <v>1985</v>
      </c>
    </row>
    <row r="248" spans="1:7" x14ac:dyDescent="0.25">
      <c r="A248" t="str">
        <f t="shared" si="11"/>
        <v>Río Hurtado Hombre</v>
      </c>
      <c r="B248" t="s">
        <v>2248</v>
      </c>
      <c r="C248" t="s">
        <v>2205</v>
      </c>
      <c r="D248" t="s">
        <v>58</v>
      </c>
      <c r="E248" s="2" t="s">
        <v>2209</v>
      </c>
      <c r="F248">
        <f t="shared" si="9"/>
        <v>6</v>
      </c>
      <c r="G248" s="2">
        <f t="shared" si="10"/>
        <v>2113</v>
      </c>
    </row>
    <row r="249" spans="1:7" x14ac:dyDescent="0.25">
      <c r="A249" t="str">
        <f t="shared" si="11"/>
        <v>Río Hurtado Mujer</v>
      </c>
      <c r="B249" t="s">
        <v>2248</v>
      </c>
      <c r="C249" t="s">
        <v>2205</v>
      </c>
      <c r="D249" t="s">
        <v>56</v>
      </c>
      <c r="E249" s="2" t="s">
        <v>2208</v>
      </c>
      <c r="F249">
        <f t="shared" si="9"/>
        <v>6</v>
      </c>
      <c r="G249" s="2">
        <f t="shared" si="10"/>
        <v>2195</v>
      </c>
    </row>
    <row r="250" spans="1:7" x14ac:dyDescent="0.25">
      <c r="A250" t="str">
        <f t="shared" si="11"/>
        <v>Río Hurtado Población total</v>
      </c>
      <c r="B250" t="s">
        <v>2248</v>
      </c>
      <c r="C250" t="s">
        <v>2205</v>
      </c>
      <c r="D250" t="s">
        <v>54</v>
      </c>
      <c r="E250" s="2" t="s">
        <v>2207</v>
      </c>
      <c r="F250">
        <f t="shared" si="9"/>
        <v>6</v>
      </c>
      <c r="G250" s="2">
        <f t="shared" si="10"/>
        <v>4308</v>
      </c>
    </row>
    <row r="251" spans="1:7" x14ac:dyDescent="0.25">
      <c r="A251" t="str">
        <f t="shared" si="11"/>
        <v>Río Hurtado Población  de 0 a 14 años</v>
      </c>
      <c r="B251" t="s">
        <v>2248</v>
      </c>
      <c r="C251" t="s">
        <v>2205</v>
      </c>
      <c r="D251" t="s">
        <v>52</v>
      </c>
      <c r="E251" s="2" t="s">
        <v>1283</v>
      </c>
      <c r="F251">
        <f t="shared" si="9"/>
        <v>5</v>
      </c>
      <c r="G251" s="2">
        <f t="shared" si="10"/>
        <v>664</v>
      </c>
    </row>
    <row r="252" spans="1:7" x14ac:dyDescent="0.25">
      <c r="A252" t="str">
        <f t="shared" si="11"/>
        <v>Río Hurtado Población  de 15 a 64 años</v>
      </c>
      <c r="B252" t="s">
        <v>2248</v>
      </c>
      <c r="C252" t="s">
        <v>2205</v>
      </c>
      <c r="D252" t="s">
        <v>50</v>
      </c>
      <c r="E252" s="2" t="s">
        <v>2206</v>
      </c>
      <c r="F252">
        <f t="shared" si="9"/>
        <v>6</v>
      </c>
      <c r="G252" s="2">
        <f t="shared" si="10"/>
        <v>2601</v>
      </c>
    </row>
    <row r="253" spans="1:7" x14ac:dyDescent="0.25">
      <c r="A253" t="str">
        <f t="shared" si="11"/>
        <v>Río Hurtado Población de 65 años o mas</v>
      </c>
      <c r="B253" t="s">
        <v>2248</v>
      </c>
      <c r="C253" t="s">
        <v>2205</v>
      </c>
      <c r="D253" t="s">
        <v>46</v>
      </c>
      <c r="E253" s="2" t="s">
        <v>2204</v>
      </c>
      <c r="F253">
        <f t="shared" si="9"/>
        <v>6</v>
      </c>
      <c r="G253" s="2">
        <f t="shared" si="10"/>
        <v>1043</v>
      </c>
    </row>
    <row r="254" spans="1:7" x14ac:dyDescent="0.25">
      <c r="A254" t="str">
        <f t="shared" si="11"/>
        <v>Ovalle Hombre</v>
      </c>
      <c r="B254" t="s">
        <v>2248</v>
      </c>
      <c r="C254" t="s">
        <v>2198</v>
      </c>
      <c r="D254" t="s">
        <v>58</v>
      </c>
      <c r="E254" s="2" t="s">
        <v>2203</v>
      </c>
      <c r="F254">
        <f t="shared" si="9"/>
        <v>7</v>
      </c>
      <c r="G254" s="2">
        <f t="shared" si="10"/>
        <v>60896</v>
      </c>
    </row>
    <row r="255" spans="1:7" x14ac:dyDescent="0.25">
      <c r="A255" t="str">
        <f t="shared" si="11"/>
        <v>Ovalle Mujer</v>
      </c>
      <c r="B255" t="s">
        <v>2248</v>
      </c>
      <c r="C255" t="s">
        <v>2198</v>
      </c>
      <c r="D255" t="s">
        <v>56</v>
      </c>
      <c r="E255" s="2" t="s">
        <v>2202</v>
      </c>
      <c r="F255">
        <f t="shared" si="9"/>
        <v>7</v>
      </c>
      <c r="G255" s="2">
        <f t="shared" si="10"/>
        <v>63505</v>
      </c>
    </row>
    <row r="256" spans="1:7" x14ac:dyDescent="0.25">
      <c r="A256" t="str">
        <f t="shared" si="11"/>
        <v>Ovalle Población total</v>
      </c>
      <c r="B256" t="s">
        <v>2248</v>
      </c>
      <c r="C256" t="s">
        <v>2198</v>
      </c>
      <c r="D256" t="s">
        <v>54</v>
      </c>
      <c r="E256" s="2" t="s">
        <v>2201</v>
      </c>
      <c r="F256">
        <f t="shared" si="9"/>
        <v>8</v>
      </c>
      <c r="G256" s="2">
        <f t="shared" si="10"/>
        <v>124401</v>
      </c>
    </row>
    <row r="257" spans="1:7" x14ac:dyDescent="0.25">
      <c r="A257" t="str">
        <f t="shared" si="11"/>
        <v>Ovalle Población  de 0 a 14 años</v>
      </c>
      <c r="B257" t="s">
        <v>2248</v>
      </c>
      <c r="C257" t="s">
        <v>2198</v>
      </c>
      <c r="D257" t="s">
        <v>52</v>
      </c>
      <c r="E257" s="2" t="s">
        <v>2200</v>
      </c>
      <c r="F257">
        <f t="shared" si="9"/>
        <v>7</v>
      </c>
      <c r="G257" s="2">
        <f t="shared" si="10"/>
        <v>24620</v>
      </c>
    </row>
    <row r="258" spans="1:7" x14ac:dyDescent="0.25">
      <c r="A258" t="str">
        <f t="shared" si="11"/>
        <v>Ovalle Población  de 15 a 64 años</v>
      </c>
      <c r="B258" t="s">
        <v>2248</v>
      </c>
      <c r="C258" t="s">
        <v>2198</v>
      </c>
      <c r="D258" t="s">
        <v>50</v>
      </c>
      <c r="E258" s="2" t="s">
        <v>2199</v>
      </c>
      <c r="F258">
        <f t="shared" ref="F258:F321" si="12">+FIND(".",E258)</f>
        <v>7</v>
      </c>
      <c r="G258" s="2">
        <f t="shared" ref="G258:G321" si="13">+LEFT(E258,(F258-1))*1</f>
        <v>81212</v>
      </c>
    </row>
    <row r="259" spans="1:7" x14ac:dyDescent="0.25">
      <c r="A259" t="str">
        <f t="shared" ref="A259:A322" si="14">+C259&amp;D259</f>
        <v>Ovalle Población de 65 años o mas</v>
      </c>
      <c r="B259" t="s">
        <v>2248</v>
      </c>
      <c r="C259" t="s">
        <v>2198</v>
      </c>
      <c r="D259" t="s">
        <v>46</v>
      </c>
      <c r="E259" s="2" t="s">
        <v>2197</v>
      </c>
      <c r="F259">
        <f t="shared" si="12"/>
        <v>7</v>
      </c>
      <c r="G259" s="2">
        <f t="shared" si="13"/>
        <v>18569</v>
      </c>
    </row>
    <row r="260" spans="1:7" x14ac:dyDescent="0.25">
      <c r="A260" t="str">
        <f t="shared" si="14"/>
        <v>Monte Patria Hombre</v>
      </c>
      <c r="B260" t="s">
        <v>2248</v>
      </c>
      <c r="C260" t="s">
        <v>2191</v>
      </c>
      <c r="D260" t="s">
        <v>58</v>
      </c>
      <c r="E260" s="2" t="s">
        <v>2196</v>
      </c>
      <c r="F260">
        <f t="shared" si="12"/>
        <v>7</v>
      </c>
      <c r="G260" s="2">
        <f t="shared" si="13"/>
        <v>16163</v>
      </c>
    </row>
    <row r="261" spans="1:7" x14ac:dyDescent="0.25">
      <c r="A261" t="str">
        <f t="shared" si="14"/>
        <v>Monte Patria Mujer</v>
      </c>
      <c r="B261" t="s">
        <v>2248</v>
      </c>
      <c r="C261" t="s">
        <v>2191</v>
      </c>
      <c r="D261" t="s">
        <v>56</v>
      </c>
      <c r="E261" s="2" t="s">
        <v>2195</v>
      </c>
      <c r="F261">
        <f t="shared" si="12"/>
        <v>7</v>
      </c>
      <c r="G261" s="2">
        <f t="shared" si="13"/>
        <v>16509</v>
      </c>
    </row>
    <row r="262" spans="1:7" x14ac:dyDescent="0.25">
      <c r="A262" t="str">
        <f t="shared" si="14"/>
        <v>Monte Patria Población total</v>
      </c>
      <c r="B262" t="s">
        <v>2248</v>
      </c>
      <c r="C262" t="s">
        <v>2191</v>
      </c>
      <c r="D262" t="s">
        <v>54</v>
      </c>
      <c r="E262" s="2" t="s">
        <v>2194</v>
      </c>
      <c r="F262">
        <f t="shared" si="12"/>
        <v>7</v>
      </c>
      <c r="G262" s="2">
        <f t="shared" si="13"/>
        <v>32672</v>
      </c>
    </row>
    <row r="263" spans="1:7" x14ac:dyDescent="0.25">
      <c r="A263" t="str">
        <f t="shared" si="14"/>
        <v>Monte Patria Población  de 0 a 14 años</v>
      </c>
      <c r="B263" t="s">
        <v>2248</v>
      </c>
      <c r="C263" t="s">
        <v>2191</v>
      </c>
      <c r="D263" t="s">
        <v>52</v>
      </c>
      <c r="E263" s="2" t="s">
        <v>2193</v>
      </c>
      <c r="F263">
        <f t="shared" si="12"/>
        <v>6</v>
      </c>
      <c r="G263" s="2">
        <f t="shared" si="13"/>
        <v>6415</v>
      </c>
    </row>
    <row r="264" spans="1:7" x14ac:dyDescent="0.25">
      <c r="A264" t="str">
        <f t="shared" si="14"/>
        <v>Monte Patria Población  de 15 a 64 años</v>
      </c>
      <c r="B264" t="s">
        <v>2248</v>
      </c>
      <c r="C264" t="s">
        <v>2191</v>
      </c>
      <c r="D264" t="s">
        <v>50</v>
      </c>
      <c r="E264" s="2" t="s">
        <v>2192</v>
      </c>
      <c r="F264">
        <f t="shared" si="12"/>
        <v>7</v>
      </c>
      <c r="G264" s="2">
        <f t="shared" si="13"/>
        <v>20925</v>
      </c>
    </row>
    <row r="265" spans="1:7" x14ac:dyDescent="0.25">
      <c r="A265" t="str">
        <f t="shared" si="14"/>
        <v>Monte Patria Población de 65 años o mas</v>
      </c>
      <c r="B265" t="s">
        <v>2248</v>
      </c>
      <c r="C265" t="s">
        <v>2191</v>
      </c>
      <c r="D265" t="s">
        <v>46</v>
      </c>
      <c r="E265" s="2" t="s">
        <v>2190</v>
      </c>
      <c r="F265">
        <f t="shared" si="12"/>
        <v>6</v>
      </c>
      <c r="G265" s="2">
        <f t="shared" si="13"/>
        <v>5332</v>
      </c>
    </row>
    <row r="266" spans="1:7" x14ac:dyDescent="0.25">
      <c r="A266" t="str">
        <f t="shared" si="14"/>
        <v>Punitaqui Hombre</v>
      </c>
      <c r="B266" t="s">
        <v>2248</v>
      </c>
      <c r="C266" t="s">
        <v>2185</v>
      </c>
      <c r="D266" t="s">
        <v>58</v>
      </c>
      <c r="E266" s="2" t="s">
        <v>2189</v>
      </c>
      <c r="F266">
        <f t="shared" si="12"/>
        <v>6</v>
      </c>
      <c r="G266" s="2">
        <f t="shared" si="13"/>
        <v>6172</v>
      </c>
    </row>
    <row r="267" spans="1:7" x14ac:dyDescent="0.25">
      <c r="A267" t="str">
        <f t="shared" si="14"/>
        <v>Punitaqui Mujer</v>
      </c>
      <c r="B267" t="s">
        <v>2248</v>
      </c>
      <c r="C267" t="s">
        <v>2185</v>
      </c>
      <c r="D267" t="s">
        <v>56</v>
      </c>
      <c r="E267" s="2" t="s">
        <v>2188</v>
      </c>
      <c r="F267">
        <f t="shared" si="12"/>
        <v>6</v>
      </c>
      <c r="G267" s="2">
        <f t="shared" si="13"/>
        <v>6342</v>
      </c>
    </row>
    <row r="268" spans="1:7" x14ac:dyDescent="0.25">
      <c r="A268" t="str">
        <f t="shared" si="14"/>
        <v>Punitaqui Población total</v>
      </c>
      <c r="B268" t="s">
        <v>2248</v>
      </c>
      <c r="C268" t="s">
        <v>2185</v>
      </c>
      <c r="D268" t="s">
        <v>54</v>
      </c>
      <c r="E268" s="2" t="s">
        <v>121</v>
      </c>
      <c r="F268">
        <f t="shared" si="12"/>
        <v>7</v>
      </c>
      <c r="G268" s="2">
        <f t="shared" si="13"/>
        <v>12514</v>
      </c>
    </row>
    <row r="269" spans="1:7" x14ac:dyDescent="0.25">
      <c r="A269" t="str">
        <f t="shared" si="14"/>
        <v>Punitaqui Población  de 0 a 14 años</v>
      </c>
      <c r="B269" t="s">
        <v>2248</v>
      </c>
      <c r="C269" t="s">
        <v>2185</v>
      </c>
      <c r="D269" t="s">
        <v>52</v>
      </c>
      <c r="E269" s="2" t="s">
        <v>2187</v>
      </c>
      <c r="F269">
        <f t="shared" si="12"/>
        <v>6</v>
      </c>
      <c r="G269" s="2">
        <f t="shared" si="13"/>
        <v>2484</v>
      </c>
    </row>
    <row r="270" spans="1:7" x14ac:dyDescent="0.25">
      <c r="A270" t="str">
        <f t="shared" si="14"/>
        <v>Punitaqui Población  de 15 a 64 años</v>
      </c>
      <c r="B270" t="s">
        <v>2248</v>
      </c>
      <c r="C270" t="s">
        <v>2185</v>
      </c>
      <c r="D270" t="s">
        <v>50</v>
      </c>
      <c r="E270" s="2" t="s">
        <v>2186</v>
      </c>
      <c r="F270">
        <f t="shared" si="12"/>
        <v>6</v>
      </c>
      <c r="G270" s="2">
        <f t="shared" si="13"/>
        <v>7719</v>
      </c>
    </row>
    <row r="271" spans="1:7" x14ac:dyDescent="0.25">
      <c r="A271" t="str">
        <f t="shared" si="14"/>
        <v>Punitaqui Población de 65 años o mas</v>
      </c>
      <c r="B271" t="s">
        <v>2248</v>
      </c>
      <c r="C271" t="s">
        <v>2185</v>
      </c>
      <c r="D271" t="s">
        <v>46</v>
      </c>
      <c r="E271" s="2" t="s">
        <v>2184</v>
      </c>
      <c r="F271">
        <f t="shared" si="12"/>
        <v>6</v>
      </c>
      <c r="G271" s="2">
        <f t="shared" si="13"/>
        <v>2311</v>
      </c>
    </row>
    <row r="272" spans="1:7" x14ac:dyDescent="0.25">
      <c r="A272" t="str">
        <f t="shared" si="14"/>
        <v>Combarbalá Hombre</v>
      </c>
      <c r="B272" t="s">
        <v>2248</v>
      </c>
      <c r="C272" t="s">
        <v>2179</v>
      </c>
      <c r="D272" t="s">
        <v>58</v>
      </c>
      <c r="E272" s="2" t="s">
        <v>2183</v>
      </c>
      <c r="F272">
        <f t="shared" si="12"/>
        <v>6</v>
      </c>
      <c r="G272" s="2">
        <f t="shared" si="13"/>
        <v>6826</v>
      </c>
    </row>
    <row r="273" spans="1:7" x14ac:dyDescent="0.25">
      <c r="A273" t="str">
        <f t="shared" si="14"/>
        <v>Combarbalá Mujer</v>
      </c>
      <c r="B273" t="s">
        <v>2248</v>
      </c>
      <c r="C273" t="s">
        <v>2179</v>
      </c>
      <c r="D273" t="s">
        <v>56</v>
      </c>
      <c r="E273" s="2" t="s">
        <v>2182</v>
      </c>
      <c r="F273">
        <f t="shared" si="12"/>
        <v>6</v>
      </c>
      <c r="G273" s="2">
        <f t="shared" si="13"/>
        <v>7029</v>
      </c>
    </row>
    <row r="274" spans="1:7" x14ac:dyDescent="0.25">
      <c r="A274" t="str">
        <f t="shared" si="14"/>
        <v>Combarbalá Población total</v>
      </c>
      <c r="B274" t="s">
        <v>2248</v>
      </c>
      <c r="C274" t="s">
        <v>2179</v>
      </c>
      <c r="D274" t="s">
        <v>54</v>
      </c>
      <c r="E274" s="2" t="s">
        <v>2181</v>
      </c>
      <c r="F274">
        <f t="shared" si="12"/>
        <v>7</v>
      </c>
      <c r="G274" s="2">
        <f t="shared" si="13"/>
        <v>13855</v>
      </c>
    </row>
    <row r="275" spans="1:7" x14ac:dyDescent="0.25">
      <c r="A275" t="str">
        <f t="shared" si="14"/>
        <v>Combarbalá Población  de 0 a 14 años</v>
      </c>
      <c r="B275" t="s">
        <v>2248</v>
      </c>
      <c r="C275" t="s">
        <v>2179</v>
      </c>
      <c r="D275" t="s">
        <v>52</v>
      </c>
      <c r="E275" s="2" t="s">
        <v>620</v>
      </c>
      <c r="F275">
        <f t="shared" si="12"/>
        <v>6</v>
      </c>
      <c r="G275" s="2">
        <f t="shared" si="13"/>
        <v>2231</v>
      </c>
    </row>
    <row r="276" spans="1:7" x14ac:dyDescent="0.25">
      <c r="A276" t="str">
        <f t="shared" si="14"/>
        <v>Combarbalá Población  de 15 a 64 años</v>
      </c>
      <c r="B276" t="s">
        <v>2248</v>
      </c>
      <c r="C276" t="s">
        <v>2179</v>
      </c>
      <c r="D276" t="s">
        <v>50</v>
      </c>
      <c r="E276" s="2" t="s">
        <v>2180</v>
      </c>
      <c r="F276">
        <f t="shared" si="12"/>
        <v>6</v>
      </c>
      <c r="G276" s="2">
        <f t="shared" si="13"/>
        <v>8411</v>
      </c>
    </row>
    <row r="277" spans="1:7" x14ac:dyDescent="0.25">
      <c r="A277" t="str">
        <f t="shared" si="14"/>
        <v>Combarbalá Población de 65 años o mas</v>
      </c>
      <c r="B277" t="s">
        <v>2248</v>
      </c>
      <c r="C277" t="s">
        <v>2179</v>
      </c>
      <c r="D277" t="s">
        <v>46</v>
      </c>
      <c r="E277" s="2" t="s">
        <v>2178</v>
      </c>
      <c r="F277">
        <f t="shared" si="12"/>
        <v>6</v>
      </c>
      <c r="G277" s="2">
        <f t="shared" si="13"/>
        <v>3213</v>
      </c>
    </row>
    <row r="278" spans="1:7" x14ac:dyDescent="0.25">
      <c r="A278" t="str">
        <f t="shared" si="14"/>
        <v>Canela Hombre</v>
      </c>
      <c r="B278" t="s">
        <v>2248</v>
      </c>
      <c r="C278" t="s">
        <v>2172</v>
      </c>
      <c r="D278" t="s">
        <v>58</v>
      </c>
      <c r="E278" s="2" t="s">
        <v>2177</v>
      </c>
      <c r="F278">
        <f t="shared" si="12"/>
        <v>6</v>
      </c>
      <c r="G278" s="2">
        <f t="shared" si="13"/>
        <v>4749</v>
      </c>
    </row>
    <row r="279" spans="1:7" x14ac:dyDescent="0.25">
      <c r="A279" t="str">
        <f t="shared" si="14"/>
        <v>Canela Mujer</v>
      </c>
      <c r="B279" t="s">
        <v>2248</v>
      </c>
      <c r="C279" t="s">
        <v>2172</v>
      </c>
      <c r="D279" t="s">
        <v>56</v>
      </c>
      <c r="E279" s="2" t="s">
        <v>2176</v>
      </c>
      <c r="F279">
        <f t="shared" si="12"/>
        <v>6</v>
      </c>
      <c r="G279" s="2">
        <f t="shared" si="13"/>
        <v>4760</v>
      </c>
    </row>
    <row r="280" spans="1:7" x14ac:dyDescent="0.25">
      <c r="A280" t="str">
        <f t="shared" si="14"/>
        <v>Canela Población total</v>
      </c>
      <c r="B280" t="s">
        <v>2248</v>
      </c>
      <c r="C280" t="s">
        <v>2172</v>
      </c>
      <c r="D280" t="s">
        <v>54</v>
      </c>
      <c r="E280" s="2" t="s">
        <v>2175</v>
      </c>
      <c r="F280">
        <f t="shared" si="12"/>
        <v>6</v>
      </c>
      <c r="G280" s="2">
        <f t="shared" si="13"/>
        <v>9509</v>
      </c>
    </row>
    <row r="281" spans="1:7" x14ac:dyDescent="0.25">
      <c r="A281" t="str">
        <f t="shared" si="14"/>
        <v>Canela Población  de 0 a 14 años</v>
      </c>
      <c r="B281" t="s">
        <v>2248</v>
      </c>
      <c r="C281" t="s">
        <v>2172</v>
      </c>
      <c r="D281" t="s">
        <v>52</v>
      </c>
      <c r="E281" s="2" t="s">
        <v>2174</v>
      </c>
      <c r="F281">
        <f t="shared" si="12"/>
        <v>6</v>
      </c>
      <c r="G281" s="2">
        <f t="shared" si="13"/>
        <v>1508</v>
      </c>
    </row>
    <row r="282" spans="1:7" x14ac:dyDescent="0.25">
      <c r="A282" t="str">
        <f t="shared" si="14"/>
        <v>Canela Población  de 15 a 64 años</v>
      </c>
      <c r="B282" t="s">
        <v>2248</v>
      </c>
      <c r="C282" t="s">
        <v>2172</v>
      </c>
      <c r="D282" t="s">
        <v>50</v>
      </c>
      <c r="E282" s="2" t="s">
        <v>2173</v>
      </c>
      <c r="F282">
        <f t="shared" si="12"/>
        <v>6</v>
      </c>
      <c r="G282" s="2">
        <f t="shared" si="13"/>
        <v>5703</v>
      </c>
    </row>
    <row r="283" spans="1:7" x14ac:dyDescent="0.25">
      <c r="A283" t="str">
        <f t="shared" si="14"/>
        <v>Canela Población de 65 años o mas</v>
      </c>
      <c r="B283" t="s">
        <v>2248</v>
      </c>
      <c r="C283" t="s">
        <v>2172</v>
      </c>
      <c r="D283" t="s">
        <v>46</v>
      </c>
      <c r="E283" s="2" t="s">
        <v>2171</v>
      </c>
      <c r="F283">
        <f t="shared" si="12"/>
        <v>6</v>
      </c>
      <c r="G283" s="2">
        <f t="shared" si="13"/>
        <v>2298</v>
      </c>
    </row>
    <row r="284" spans="1:7" x14ac:dyDescent="0.25">
      <c r="A284" t="str">
        <f t="shared" si="14"/>
        <v>Illapel Hombre</v>
      </c>
      <c r="B284" t="s">
        <v>2248</v>
      </c>
      <c r="C284" t="s">
        <v>2166</v>
      </c>
      <c r="D284" t="s">
        <v>58</v>
      </c>
      <c r="E284" s="2" t="s">
        <v>2170</v>
      </c>
      <c r="F284">
        <f t="shared" si="12"/>
        <v>7</v>
      </c>
      <c r="G284" s="2">
        <f t="shared" si="13"/>
        <v>16045</v>
      </c>
    </row>
    <row r="285" spans="1:7" x14ac:dyDescent="0.25">
      <c r="A285" t="str">
        <f t="shared" si="14"/>
        <v>Illapel Mujer</v>
      </c>
      <c r="B285" t="s">
        <v>2248</v>
      </c>
      <c r="C285" t="s">
        <v>2166</v>
      </c>
      <c r="D285" t="s">
        <v>56</v>
      </c>
      <c r="E285" s="2" t="s">
        <v>2169</v>
      </c>
      <c r="F285">
        <f t="shared" si="12"/>
        <v>7</v>
      </c>
      <c r="G285" s="2">
        <f t="shared" si="13"/>
        <v>16976</v>
      </c>
    </row>
    <row r="286" spans="1:7" x14ac:dyDescent="0.25">
      <c r="A286" t="str">
        <f t="shared" si="14"/>
        <v>Illapel Población total</v>
      </c>
      <c r="B286" t="s">
        <v>2248</v>
      </c>
      <c r="C286" t="s">
        <v>2166</v>
      </c>
      <c r="D286" t="s">
        <v>54</v>
      </c>
      <c r="E286" s="2" t="s">
        <v>1591</v>
      </c>
      <c r="F286">
        <f t="shared" si="12"/>
        <v>7</v>
      </c>
      <c r="G286" s="2">
        <f t="shared" si="13"/>
        <v>33021</v>
      </c>
    </row>
    <row r="287" spans="1:7" x14ac:dyDescent="0.25">
      <c r="A287" t="str">
        <f t="shared" si="14"/>
        <v>Illapel Población  de 0 a 14 años</v>
      </c>
      <c r="B287" t="s">
        <v>2248</v>
      </c>
      <c r="C287" t="s">
        <v>2166</v>
      </c>
      <c r="D287" t="s">
        <v>52</v>
      </c>
      <c r="E287" s="2" t="s">
        <v>2168</v>
      </c>
      <c r="F287">
        <f t="shared" si="12"/>
        <v>6</v>
      </c>
      <c r="G287" s="2">
        <f t="shared" si="13"/>
        <v>6348</v>
      </c>
    </row>
    <row r="288" spans="1:7" x14ac:dyDescent="0.25">
      <c r="A288" t="str">
        <f t="shared" si="14"/>
        <v>Illapel Población  de 15 a 64 años</v>
      </c>
      <c r="B288" t="s">
        <v>2248</v>
      </c>
      <c r="C288" t="s">
        <v>2166</v>
      </c>
      <c r="D288" t="s">
        <v>50</v>
      </c>
      <c r="E288" s="2" t="s">
        <v>2167</v>
      </c>
      <c r="F288">
        <f t="shared" si="12"/>
        <v>7</v>
      </c>
      <c r="G288" s="2">
        <f t="shared" si="13"/>
        <v>20972</v>
      </c>
    </row>
    <row r="289" spans="1:7" x14ac:dyDescent="0.25">
      <c r="A289" t="str">
        <f t="shared" si="14"/>
        <v>Illapel Población de 65 años o mas</v>
      </c>
      <c r="B289" t="s">
        <v>2248</v>
      </c>
      <c r="C289" t="s">
        <v>2166</v>
      </c>
      <c r="D289" t="s">
        <v>46</v>
      </c>
      <c r="E289" s="2" t="s">
        <v>2165</v>
      </c>
      <c r="F289">
        <f t="shared" si="12"/>
        <v>6</v>
      </c>
      <c r="G289" s="2">
        <f t="shared" si="13"/>
        <v>5701</v>
      </c>
    </row>
    <row r="290" spans="1:7" x14ac:dyDescent="0.25">
      <c r="A290" t="str">
        <f t="shared" si="14"/>
        <v>Salamanca Hombre</v>
      </c>
      <c r="B290" t="s">
        <v>2248</v>
      </c>
      <c r="C290" t="s">
        <v>2161</v>
      </c>
      <c r="D290" t="s">
        <v>58</v>
      </c>
      <c r="E290" s="2" t="s">
        <v>1646</v>
      </c>
      <c r="F290">
        <f t="shared" si="12"/>
        <v>7</v>
      </c>
      <c r="G290" s="2">
        <f t="shared" si="13"/>
        <v>14909</v>
      </c>
    </row>
    <row r="291" spans="1:7" x14ac:dyDescent="0.25">
      <c r="A291" t="str">
        <f t="shared" si="14"/>
        <v>Salamanca Mujer</v>
      </c>
      <c r="B291" t="s">
        <v>2248</v>
      </c>
      <c r="C291" t="s">
        <v>2161</v>
      </c>
      <c r="D291" t="s">
        <v>56</v>
      </c>
      <c r="E291" s="2" t="s">
        <v>1456</v>
      </c>
      <c r="F291">
        <f t="shared" si="12"/>
        <v>7</v>
      </c>
      <c r="G291" s="2">
        <f t="shared" si="13"/>
        <v>15007</v>
      </c>
    </row>
    <row r="292" spans="1:7" x14ac:dyDescent="0.25">
      <c r="A292" t="str">
        <f t="shared" si="14"/>
        <v>Salamanca Población total</v>
      </c>
      <c r="B292" t="s">
        <v>2248</v>
      </c>
      <c r="C292" t="s">
        <v>2161</v>
      </c>
      <c r="D292" t="s">
        <v>54</v>
      </c>
      <c r="E292" s="2" t="s">
        <v>2164</v>
      </c>
      <c r="F292">
        <f t="shared" si="12"/>
        <v>7</v>
      </c>
      <c r="G292" s="2">
        <f t="shared" si="13"/>
        <v>29916</v>
      </c>
    </row>
    <row r="293" spans="1:7" x14ac:dyDescent="0.25">
      <c r="A293" t="str">
        <f t="shared" si="14"/>
        <v>Salamanca Población  de 0 a 14 años</v>
      </c>
      <c r="B293" t="s">
        <v>2248</v>
      </c>
      <c r="C293" t="s">
        <v>2161</v>
      </c>
      <c r="D293" t="s">
        <v>52</v>
      </c>
      <c r="E293" s="2" t="s">
        <v>2163</v>
      </c>
      <c r="F293">
        <f t="shared" si="12"/>
        <v>6</v>
      </c>
      <c r="G293" s="2">
        <f t="shared" si="13"/>
        <v>5637</v>
      </c>
    </row>
    <row r="294" spans="1:7" x14ac:dyDescent="0.25">
      <c r="A294" t="str">
        <f t="shared" si="14"/>
        <v>Salamanca Población  de 15 a 64 años</v>
      </c>
      <c r="B294" t="s">
        <v>2248</v>
      </c>
      <c r="C294" t="s">
        <v>2161</v>
      </c>
      <c r="D294" t="s">
        <v>50</v>
      </c>
      <c r="E294" s="2" t="s">
        <v>2162</v>
      </c>
      <c r="F294">
        <f t="shared" si="12"/>
        <v>7</v>
      </c>
      <c r="G294" s="2">
        <f t="shared" si="13"/>
        <v>19318</v>
      </c>
    </row>
    <row r="295" spans="1:7" x14ac:dyDescent="0.25">
      <c r="A295" t="str">
        <f t="shared" si="14"/>
        <v>Salamanca Población de 65 años o mas</v>
      </c>
      <c r="B295" t="s">
        <v>2248</v>
      </c>
      <c r="C295" t="s">
        <v>2161</v>
      </c>
      <c r="D295" t="s">
        <v>46</v>
      </c>
      <c r="E295" s="2" t="s">
        <v>2160</v>
      </c>
      <c r="F295">
        <f t="shared" si="12"/>
        <v>6</v>
      </c>
      <c r="G295" s="2">
        <f t="shared" si="13"/>
        <v>4961</v>
      </c>
    </row>
    <row r="296" spans="1:7" x14ac:dyDescent="0.25">
      <c r="A296" t="str">
        <f t="shared" si="14"/>
        <v>Los Vilos Hombre</v>
      </c>
      <c r="B296" t="s">
        <v>2248</v>
      </c>
      <c r="C296" t="s">
        <v>2154</v>
      </c>
      <c r="D296" t="s">
        <v>58</v>
      </c>
      <c r="E296" s="2" t="s">
        <v>2159</v>
      </c>
      <c r="F296">
        <f t="shared" si="12"/>
        <v>7</v>
      </c>
      <c r="G296" s="2">
        <f t="shared" si="13"/>
        <v>12265</v>
      </c>
    </row>
    <row r="297" spans="1:7" x14ac:dyDescent="0.25">
      <c r="A297" t="str">
        <f t="shared" si="14"/>
        <v>Los Vilos Mujer</v>
      </c>
      <c r="B297" t="s">
        <v>2248</v>
      </c>
      <c r="C297" t="s">
        <v>2154</v>
      </c>
      <c r="D297" t="s">
        <v>56</v>
      </c>
      <c r="E297" s="2" t="s">
        <v>2158</v>
      </c>
      <c r="F297">
        <f t="shared" si="12"/>
        <v>7</v>
      </c>
      <c r="G297" s="2">
        <f t="shared" si="13"/>
        <v>12143</v>
      </c>
    </row>
    <row r="298" spans="1:7" x14ac:dyDescent="0.25">
      <c r="A298" t="str">
        <f t="shared" si="14"/>
        <v>Los Vilos Población total</v>
      </c>
      <c r="B298" t="s">
        <v>2248</v>
      </c>
      <c r="C298" t="s">
        <v>2154</v>
      </c>
      <c r="D298" t="s">
        <v>54</v>
      </c>
      <c r="E298" s="2" t="s">
        <v>2157</v>
      </c>
      <c r="F298">
        <f t="shared" si="12"/>
        <v>7</v>
      </c>
      <c r="G298" s="2">
        <f t="shared" si="13"/>
        <v>24408</v>
      </c>
    </row>
    <row r="299" spans="1:7" x14ac:dyDescent="0.25">
      <c r="A299" t="str">
        <f t="shared" si="14"/>
        <v>Los Vilos Población  de 0 a 14 años</v>
      </c>
      <c r="B299" t="s">
        <v>2248</v>
      </c>
      <c r="C299" t="s">
        <v>2154</v>
      </c>
      <c r="D299" t="s">
        <v>52</v>
      </c>
      <c r="E299" s="2" t="s">
        <v>2156</v>
      </c>
      <c r="F299">
        <f t="shared" si="12"/>
        <v>6</v>
      </c>
      <c r="G299" s="2">
        <f t="shared" si="13"/>
        <v>4632</v>
      </c>
    </row>
    <row r="300" spans="1:7" x14ac:dyDescent="0.25">
      <c r="A300" t="str">
        <f t="shared" si="14"/>
        <v>Los Vilos Población  de 15 a 64 años</v>
      </c>
      <c r="B300" t="s">
        <v>2248</v>
      </c>
      <c r="C300" t="s">
        <v>2154</v>
      </c>
      <c r="D300" t="s">
        <v>50</v>
      </c>
      <c r="E300" s="2" t="s">
        <v>2155</v>
      </c>
      <c r="F300">
        <f t="shared" si="12"/>
        <v>7</v>
      </c>
      <c r="G300" s="2">
        <f t="shared" si="13"/>
        <v>15823</v>
      </c>
    </row>
    <row r="301" spans="1:7" x14ac:dyDescent="0.25">
      <c r="A301" t="str">
        <f t="shared" si="14"/>
        <v>Los Vilos Población de 65 años o mas</v>
      </c>
      <c r="B301" t="s">
        <v>2248</v>
      </c>
      <c r="C301" t="s">
        <v>2154</v>
      </c>
      <c r="D301" t="s">
        <v>46</v>
      </c>
      <c r="E301" s="2" t="s">
        <v>2153</v>
      </c>
      <c r="F301">
        <f t="shared" si="12"/>
        <v>6</v>
      </c>
      <c r="G301" s="2">
        <f t="shared" si="13"/>
        <v>3953</v>
      </c>
    </row>
    <row r="302" spans="1:7" x14ac:dyDescent="0.25">
      <c r="A302" t="str">
        <f t="shared" si="14"/>
        <v>Región De Valparaíso Hombre</v>
      </c>
      <c r="B302" t="s">
        <v>2147</v>
      </c>
      <c r="C302" t="s">
        <v>2147</v>
      </c>
      <c r="D302" t="s">
        <v>58</v>
      </c>
      <c r="E302" s="2" t="s">
        <v>2152</v>
      </c>
      <c r="F302">
        <f t="shared" si="12"/>
        <v>8</v>
      </c>
      <c r="G302" s="2">
        <f t="shared" si="13"/>
        <v>990348</v>
      </c>
    </row>
    <row r="303" spans="1:7" x14ac:dyDescent="0.25">
      <c r="A303" t="str">
        <f t="shared" si="14"/>
        <v>Región De Valparaíso Mujer</v>
      </c>
      <c r="B303" t="s">
        <v>2147</v>
      </c>
      <c r="C303" t="s">
        <v>2147</v>
      </c>
      <c r="D303" t="s">
        <v>56</v>
      </c>
      <c r="E303" s="2" t="s">
        <v>2151</v>
      </c>
      <c r="F303">
        <f t="shared" si="12"/>
        <v>9</v>
      </c>
      <c r="G303" s="2">
        <f t="shared" si="13"/>
        <v>1035345</v>
      </c>
    </row>
    <row r="304" spans="1:7" x14ac:dyDescent="0.25">
      <c r="A304" t="str">
        <f t="shared" si="14"/>
        <v>Región De Valparaíso Población total</v>
      </c>
      <c r="B304" t="s">
        <v>2147</v>
      </c>
      <c r="C304" t="s">
        <v>2147</v>
      </c>
      <c r="D304" t="s">
        <v>54</v>
      </c>
      <c r="E304" s="2" t="s">
        <v>2150</v>
      </c>
      <c r="F304">
        <f t="shared" si="12"/>
        <v>9</v>
      </c>
      <c r="G304" s="2">
        <f t="shared" si="13"/>
        <v>2025693</v>
      </c>
    </row>
    <row r="305" spans="1:7" x14ac:dyDescent="0.25">
      <c r="A305" t="str">
        <f t="shared" si="14"/>
        <v>Región De Valparaíso Población  de 0 a 14 años</v>
      </c>
      <c r="B305" t="s">
        <v>2147</v>
      </c>
      <c r="C305" t="s">
        <v>2147</v>
      </c>
      <c r="D305" t="s">
        <v>52</v>
      </c>
      <c r="E305" s="2" t="s">
        <v>2149</v>
      </c>
      <c r="F305">
        <f t="shared" si="12"/>
        <v>8</v>
      </c>
      <c r="G305" s="2">
        <f t="shared" si="13"/>
        <v>354619</v>
      </c>
    </row>
    <row r="306" spans="1:7" x14ac:dyDescent="0.25">
      <c r="A306" t="str">
        <f t="shared" si="14"/>
        <v>Región De Valparaíso Población  de 15 a 64 años</v>
      </c>
      <c r="B306" t="s">
        <v>2147</v>
      </c>
      <c r="C306" t="s">
        <v>2147</v>
      </c>
      <c r="D306" t="s">
        <v>50</v>
      </c>
      <c r="E306" s="2" t="s">
        <v>2148</v>
      </c>
      <c r="F306">
        <f t="shared" si="12"/>
        <v>9</v>
      </c>
      <c r="G306" s="2">
        <f t="shared" si="13"/>
        <v>1334614</v>
      </c>
    </row>
    <row r="307" spans="1:7" x14ac:dyDescent="0.25">
      <c r="A307" t="str">
        <f t="shared" si="14"/>
        <v>Región De Valparaíso Población de 65 años o mas</v>
      </c>
      <c r="B307" t="s">
        <v>2147</v>
      </c>
      <c r="C307" t="s">
        <v>2147</v>
      </c>
      <c r="D307" t="s">
        <v>46</v>
      </c>
      <c r="E307" s="2" t="s">
        <v>2146</v>
      </c>
      <c r="F307">
        <f t="shared" si="12"/>
        <v>8</v>
      </c>
      <c r="G307" s="2">
        <f t="shared" si="13"/>
        <v>336460</v>
      </c>
    </row>
    <row r="308" spans="1:7" x14ac:dyDescent="0.25">
      <c r="A308" t="str">
        <f t="shared" si="14"/>
        <v>Isla De Pascua Hombre</v>
      </c>
      <c r="B308" t="s">
        <v>2147</v>
      </c>
      <c r="C308" t="s">
        <v>2141</v>
      </c>
      <c r="D308" t="s">
        <v>58</v>
      </c>
      <c r="E308" s="2" t="s">
        <v>2145</v>
      </c>
      <c r="F308">
        <f t="shared" si="12"/>
        <v>6</v>
      </c>
      <c r="G308" s="2">
        <f t="shared" si="13"/>
        <v>4381</v>
      </c>
    </row>
    <row r="309" spans="1:7" x14ac:dyDescent="0.25">
      <c r="A309" t="str">
        <f t="shared" si="14"/>
        <v>Isla De Pascua Mujer</v>
      </c>
      <c r="B309" t="s">
        <v>2147</v>
      </c>
      <c r="C309" t="s">
        <v>2141</v>
      </c>
      <c r="D309" t="s">
        <v>56</v>
      </c>
      <c r="E309" s="2" t="s">
        <v>1488</v>
      </c>
      <c r="F309">
        <f t="shared" si="12"/>
        <v>6</v>
      </c>
      <c r="G309" s="2">
        <f t="shared" si="13"/>
        <v>4491</v>
      </c>
    </row>
    <row r="310" spans="1:7" x14ac:dyDescent="0.25">
      <c r="A310" t="str">
        <f t="shared" si="14"/>
        <v>Isla De Pascua Población total</v>
      </c>
      <c r="B310" t="s">
        <v>2147</v>
      </c>
      <c r="C310" t="s">
        <v>2141</v>
      </c>
      <c r="D310" t="s">
        <v>54</v>
      </c>
      <c r="E310" s="2" t="s">
        <v>2144</v>
      </c>
      <c r="F310">
        <f t="shared" si="12"/>
        <v>6</v>
      </c>
      <c r="G310" s="2">
        <f t="shared" si="13"/>
        <v>8872</v>
      </c>
    </row>
    <row r="311" spans="1:7" x14ac:dyDescent="0.25">
      <c r="A311" t="str">
        <f t="shared" si="14"/>
        <v>Isla De Pascua Población  de 0 a 14 años</v>
      </c>
      <c r="B311" t="s">
        <v>2147</v>
      </c>
      <c r="C311" t="s">
        <v>2141</v>
      </c>
      <c r="D311" t="s">
        <v>52</v>
      </c>
      <c r="E311" s="2" t="s">
        <v>2143</v>
      </c>
      <c r="F311">
        <f t="shared" si="12"/>
        <v>6</v>
      </c>
      <c r="G311" s="2">
        <f t="shared" si="13"/>
        <v>1871</v>
      </c>
    </row>
    <row r="312" spans="1:7" x14ac:dyDescent="0.25">
      <c r="A312" t="str">
        <f t="shared" si="14"/>
        <v>Isla De Pascua Población  de 15 a 64 años</v>
      </c>
      <c r="B312" t="s">
        <v>2147</v>
      </c>
      <c r="C312" t="s">
        <v>2141</v>
      </c>
      <c r="D312" t="s">
        <v>50</v>
      </c>
      <c r="E312" s="2" t="s">
        <v>2142</v>
      </c>
      <c r="F312">
        <f t="shared" si="12"/>
        <v>6</v>
      </c>
      <c r="G312" s="2">
        <f t="shared" si="13"/>
        <v>6351</v>
      </c>
    </row>
    <row r="313" spans="1:7" x14ac:dyDescent="0.25">
      <c r="A313" t="str">
        <f t="shared" si="14"/>
        <v>Isla De Pascua Población de 65 años o mas</v>
      </c>
      <c r="B313" t="s">
        <v>2147</v>
      </c>
      <c r="C313" t="s">
        <v>2141</v>
      </c>
      <c r="D313" t="s">
        <v>46</v>
      </c>
      <c r="E313" s="2" t="s">
        <v>2140</v>
      </c>
      <c r="F313">
        <f t="shared" si="12"/>
        <v>5</v>
      </c>
      <c r="G313" s="2">
        <f t="shared" si="13"/>
        <v>650</v>
      </c>
    </row>
    <row r="314" spans="1:7" x14ac:dyDescent="0.25">
      <c r="A314" t="str">
        <f t="shared" si="14"/>
        <v>Petorca Hombre</v>
      </c>
      <c r="B314" t="s">
        <v>2147</v>
      </c>
      <c r="C314" t="s">
        <v>2134</v>
      </c>
      <c r="D314" t="s">
        <v>58</v>
      </c>
      <c r="E314" s="2" t="s">
        <v>2139</v>
      </c>
      <c r="F314">
        <f t="shared" si="12"/>
        <v>6</v>
      </c>
      <c r="G314" s="2">
        <f t="shared" si="13"/>
        <v>5281</v>
      </c>
    </row>
    <row r="315" spans="1:7" x14ac:dyDescent="0.25">
      <c r="A315" t="str">
        <f t="shared" si="14"/>
        <v>Petorca Mujer</v>
      </c>
      <c r="B315" t="s">
        <v>2147</v>
      </c>
      <c r="C315" t="s">
        <v>2134</v>
      </c>
      <c r="D315" t="s">
        <v>56</v>
      </c>
      <c r="E315" s="2" t="s">
        <v>2138</v>
      </c>
      <c r="F315">
        <f t="shared" si="12"/>
        <v>6</v>
      </c>
      <c r="G315" s="2">
        <f t="shared" si="13"/>
        <v>5352</v>
      </c>
    </row>
    <row r="316" spans="1:7" x14ac:dyDescent="0.25">
      <c r="A316" t="str">
        <f t="shared" si="14"/>
        <v>Petorca Población total</v>
      </c>
      <c r="B316" t="s">
        <v>2147</v>
      </c>
      <c r="C316" t="s">
        <v>2134</v>
      </c>
      <c r="D316" t="s">
        <v>54</v>
      </c>
      <c r="E316" s="2" t="s">
        <v>2137</v>
      </c>
      <c r="F316">
        <f t="shared" si="12"/>
        <v>7</v>
      </c>
      <c r="G316" s="2">
        <f t="shared" si="13"/>
        <v>10633</v>
      </c>
    </row>
    <row r="317" spans="1:7" x14ac:dyDescent="0.25">
      <c r="A317" t="str">
        <f t="shared" si="14"/>
        <v>Petorca Población  de 0 a 14 años</v>
      </c>
      <c r="B317" t="s">
        <v>2147</v>
      </c>
      <c r="C317" t="s">
        <v>2134</v>
      </c>
      <c r="D317" t="s">
        <v>52</v>
      </c>
      <c r="E317" s="2" t="s">
        <v>2136</v>
      </c>
      <c r="F317">
        <f t="shared" si="12"/>
        <v>6</v>
      </c>
      <c r="G317" s="2">
        <f t="shared" si="13"/>
        <v>1830</v>
      </c>
    </row>
    <row r="318" spans="1:7" x14ac:dyDescent="0.25">
      <c r="A318" t="str">
        <f t="shared" si="14"/>
        <v>Petorca Población  de 15 a 64 años</v>
      </c>
      <c r="B318" t="s">
        <v>2147</v>
      </c>
      <c r="C318" t="s">
        <v>2134</v>
      </c>
      <c r="D318" t="s">
        <v>50</v>
      </c>
      <c r="E318" s="2" t="s">
        <v>2135</v>
      </c>
      <c r="F318">
        <f t="shared" si="12"/>
        <v>6</v>
      </c>
      <c r="G318" s="2">
        <f t="shared" si="13"/>
        <v>6906</v>
      </c>
    </row>
    <row r="319" spans="1:7" x14ac:dyDescent="0.25">
      <c r="A319" t="str">
        <f t="shared" si="14"/>
        <v>Petorca Población de 65 años o mas</v>
      </c>
      <c r="B319" t="s">
        <v>2147</v>
      </c>
      <c r="C319" t="s">
        <v>2134</v>
      </c>
      <c r="D319" t="s">
        <v>46</v>
      </c>
      <c r="E319" s="2" t="s">
        <v>1513</v>
      </c>
      <c r="F319">
        <f t="shared" si="12"/>
        <v>6</v>
      </c>
      <c r="G319" s="2">
        <f t="shared" si="13"/>
        <v>1897</v>
      </c>
    </row>
    <row r="320" spans="1:7" x14ac:dyDescent="0.25">
      <c r="A320" t="str">
        <f t="shared" si="14"/>
        <v>Cabildo Hombre</v>
      </c>
      <c r="B320" t="s">
        <v>2147</v>
      </c>
      <c r="C320" t="s">
        <v>2128</v>
      </c>
      <c r="D320" t="s">
        <v>58</v>
      </c>
      <c r="E320" s="2" t="s">
        <v>2133</v>
      </c>
      <c r="F320">
        <f t="shared" si="12"/>
        <v>7</v>
      </c>
      <c r="G320" s="2">
        <f t="shared" si="13"/>
        <v>10211</v>
      </c>
    </row>
    <row r="321" spans="1:7" x14ac:dyDescent="0.25">
      <c r="A321" t="str">
        <f t="shared" si="14"/>
        <v>Cabildo Mujer</v>
      </c>
      <c r="B321" t="s">
        <v>2147</v>
      </c>
      <c r="C321" t="s">
        <v>2128</v>
      </c>
      <c r="D321" t="s">
        <v>56</v>
      </c>
      <c r="E321" s="2" t="s">
        <v>2132</v>
      </c>
      <c r="F321">
        <f t="shared" si="12"/>
        <v>7</v>
      </c>
      <c r="G321" s="2">
        <f t="shared" si="13"/>
        <v>10546</v>
      </c>
    </row>
    <row r="322" spans="1:7" x14ac:dyDescent="0.25">
      <c r="A322" t="str">
        <f t="shared" si="14"/>
        <v>Cabildo Población total</v>
      </c>
      <c r="B322" t="s">
        <v>2147</v>
      </c>
      <c r="C322" t="s">
        <v>2128</v>
      </c>
      <c r="D322" t="s">
        <v>54</v>
      </c>
      <c r="E322" s="2" t="s">
        <v>2131</v>
      </c>
      <c r="F322">
        <f t="shared" ref="F322:F385" si="15">+FIND(".",E322)</f>
        <v>7</v>
      </c>
      <c r="G322" s="2">
        <f t="shared" ref="G322:G385" si="16">+LEFT(E322,(F322-1))*1</f>
        <v>20757</v>
      </c>
    </row>
    <row r="323" spans="1:7" x14ac:dyDescent="0.25">
      <c r="A323" t="str">
        <f t="shared" ref="A323:A386" si="17">+C323&amp;D323</f>
        <v>Cabildo Población  de 0 a 14 años</v>
      </c>
      <c r="B323" t="s">
        <v>2147</v>
      </c>
      <c r="C323" t="s">
        <v>2128</v>
      </c>
      <c r="D323" t="s">
        <v>52</v>
      </c>
      <c r="E323" s="2" t="s">
        <v>2130</v>
      </c>
      <c r="F323">
        <f t="shared" si="15"/>
        <v>6</v>
      </c>
      <c r="G323" s="2">
        <f t="shared" si="16"/>
        <v>4160</v>
      </c>
    </row>
    <row r="324" spans="1:7" x14ac:dyDescent="0.25">
      <c r="A324" t="str">
        <f t="shared" si="17"/>
        <v>Cabildo Población  de 15 a 64 años</v>
      </c>
      <c r="B324" t="s">
        <v>2147</v>
      </c>
      <c r="C324" t="s">
        <v>2128</v>
      </c>
      <c r="D324" t="s">
        <v>50</v>
      </c>
      <c r="E324" s="2" t="s">
        <v>2129</v>
      </c>
      <c r="F324">
        <f t="shared" si="15"/>
        <v>7</v>
      </c>
      <c r="G324" s="2">
        <f t="shared" si="16"/>
        <v>13447</v>
      </c>
    </row>
    <row r="325" spans="1:7" x14ac:dyDescent="0.25">
      <c r="A325" t="str">
        <f t="shared" si="17"/>
        <v>Cabildo Población de 65 años o mas</v>
      </c>
      <c r="B325" t="s">
        <v>2147</v>
      </c>
      <c r="C325" t="s">
        <v>2128</v>
      </c>
      <c r="D325" t="s">
        <v>46</v>
      </c>
      <c r="E325" s="2" t="s">
        <v>2127</v>
      </c>
      <c r="F325">
        <f t="shared" si="15"/>
        <v>6</v>
      </c>
      <c r="G325" s="2">
        <f t="shared" si="16"/>
        <v>3150</v>
      </c>
    </row>
    <row r="326" spans="1:7" x14ac:dyDescent="0.25">
      <c r="A326" t="str">
        <f t="shared" si="17"/>
        <v>La Ligua Hombre</v>
      </c>
      <c r="B326" t="s">
        <v>2147</v>
      </c>
      <c r="C326" t="s">
        <v>2121</v>
      </c>
      <c r="D326" t="s">
        <v>58</v>
      </c>
      <c r="E326" s="2" t="s">
        <v>2126</v>
      </c>
      <c r="F326">
        <f t="shared" si="15"/>
        <v>7</v>
      </c>
      <c r="G326" s="2">
        <f t="shared" si="16"/>
        <v>18843</v>
      </c>
    </row>
    <row r="327" spans="1:7" x14ac:dyDescent="0.25">
      <c r="A327" t="str">
        <f t="shared" si="17"/>
        <v>La Ligua Mujer</v>
      </c>
      <c r="B327" t="s">
        <v>2147</v>
      </c>
      <c r="C327" t="s">
        <v>2121</v>
      </c>
      <c r="D327" t="s">
        <v>56</v>
      </c>
      <c r="E327" s="2" t="s">
        <v>2125</v>
      </c>
      <c r="F327">
        <f t="shared" si="15"/>
        <v>7</v>
      </c>
      <c r="G327" s="2">
        <f t="shared" si="16"/>
        <v>19544</v>
      </c>
    </row>
    <row r="328" spans="1:7" x14ac:dyDescent="0.25">
      <c r="A328" t="str">
        <f t="shared" si="17"/>
        <v>La Ligua Población total</v>
      </c>
      <c r="B328" t="s">
        <v>2147</v>
      </c>
      <c r="C328" t="s">
        <v>2121</v>
      </c>
      <c r="D328" t="s">
        <v>54</v>
      </c>
      <c r="E328" s="2" t="s">
        <v>2124</v>
      </c>
      <c r="F328">
        <f t="shared" si="15"/>
        <v>7</v>
      </c>
      <c r="G328" s="2">
        <f t="shared" si="16"/>
        <v>38387</v>
      </c>
    </row>
    <row r="329" spans="1:7" x14ac:dyDescent="0.25">
      <c r="A329" t="str">
        <f t="shared" si="17"/>
        <v>La Ligua Población  de 0 a 14 años</v>
      </c>
      <c r="B329" t="s">
        <v>2147</v>
      </c>
      <c r="C329" t="s">
        <v>2121</v>
      </c>
      <c r="D329" t="s">
        <v>52</v>
      </c>
      <c r="E329" s="2" t="s">
        <v>2123</v>
      </c>
      <c r="F329">
        <f t="shared" si="15"/>
        <v>6</v>
      </c>
      <c r="G329" s="2">
        <f t="shared" si="16"/>
        <v>7042</v>
      </c>
    </row>
    <row r="330" spans="1:7" x14ac:dyDescent="0.25">
      <c r="A330" t="str">
        <f t="shared" si="17"/>
        <v>La Ligua Población  de 15 a 64 años</v>
      </c>
      <c r="B330" t="s">
        <v>2147</v>
      </c>
      <c r="C330" t="s">
        <v>2121</v>
      </c>
      <c r="D330" t="s">
        <v>50</v>
      </c>
      <c r="E330" s="2" t="s">
        <v>2122</v>
      </c>
      <c r="F330">
        <f t="shared" si="15"/>
        <v>7</v>
      </c>
      <c r="G330" s="2">
        <f t="shared" si="16"/>
        <v>25021</v>
      </c>
    </row>
    <row r="331" spans="1:7" x14ac:dyDescent="0.25">
      <c r="A331" t="str">
        <f t="shared" si="17"/>
        <v>La Ligua Población de 65 años o mas</v>
      </c>
      <c r="B331" t="s">
        <v>2147</v>
      </c>
      <c r="C331" t="s">
        <v>2121</v>
      </c>
      <c r="D331" t="s">
        <v>46</v>
      </c>
      <c r="E331" s="2" t="s">
        <v>2120</v>
      </c>
      <c r="F331">
        <f t="shared" si="15"/>
        <v>6</v>
      </c>
      <c r="G331" s="2">
        <f t="shared" si="16"/>
        <v>6324</v>
      </c>
    </row>
    <row r="332" spans="1:7" x14ac:dyDescent="0.25">
      <c r="A332" t="str">
        <f t="shared" si="17"/>
        <v>Papudo Hombre</v>
      </c>
      <c r="B332" t="s">
        <v>2147</v>
      </c>
      <c r="C332" t="s">
        <v>2114</v>
      </c>
      <c r="D332" t="s">
        <v>58</v>
      </c>
      <c r="E332" s="2" t="s">
        <v>2119</v>
      </c>
      <c r="F332">
        <f t="shared" si="15"/>
        <v>6</v>
      </c>
      <c r="G332" s="2">
        <f t="shared" si="16"/>
        <v>3198</v>
      </c>
    </row>
    <row r="333" spans="1:7" x14ac:dyDescent="0.25">
      <c r="A333" t="str">
        <f t="shared" si="17"/>
        <v>Papudo Mujer</v>
      </c>
      <c r="B333" t="s">
        <v>2147</v>
      </c>
      <c r="C333" t="s">
        <v>2114</v>
      </c>
      <c r="D333" t="s">
        <v>56</v>
      </c>
      <c r="E333" s="2" t="s">
        <v>2118</v>
      </c>
      <c r="F333">
        <f t="shared" si="15"/>
        <v>6</v>
      </c>
      <c r="G333" s="2">
        <f t="shared" si="16"/>
        <v>3240</v>
      </c>
    </row>
    <row r="334" spans="1:7" x14ac:dyDescent="0.25">
      <c r="A334" t="str">
        <f t="shared" si="17"/>
        <v>Papudo Población total</v>
      </c>
      <c r="B334" t="s">
        <v>2147</v>
      </c>
      <c r="C334" t="s">
        <v>2114</v>
      </c>
      <c r="D334" t="s">
        <v>54</v>
      </c>
      <c r="E334" s="2" t="s">
        <v>2117</v>
      </c>
      <c r="F334">
        <f t="shared" si="15"/>
        <v>6</v>
      </c>
      <c r="G334" s="2">
        <f t="shared" si="16"/>
        <v>6438</v>
      </c>
    </row>
    <row r="335" spans="1:7" x14ac:dyDescent="0.25">
      <c r="A335" t="str">
        <f t="shared" si="17"/>
        <v>Papudo Población  de 0 a 14 años</v>
      </c>
      <c r="B335" t="s">
        <v>2147</v>
      </c>
      <c r="C335" t="s">
        <v>2114</v>
      </c>
      <c r="D335" t="s">
        <v>52</v>
      </c>
      <c r="E335" s="2" t="s">
        <v>2116</v>
      </c>
      <c r="F335">
        <f t="shared" si="15"/>
        <v>6</v>
      </c>
      <c r="G335" s="2">
        <f t="shared" si="16"/>
        <v>1131</v>
      </c>
    </row>
    <row r="336" spans="1:7" x14ac:dyDescent="0.25">
      <c r="A336" t="str">
        <f t="shared" si="17"/>
        <v>Papudo Población  de 15 a 64 años</v>
      </c>
      <c r="B336" t="s">
        <v>2147</v>
      </c>
      <c r="C336" t="s">
        <v>2114</v>
      </c>
      <c r="D336" t="s">
        <v>50</v>
      </c>
      <c r="E336" s="2" t="s">
        <v>2115</v>
      </c>
      <c r="F336">
        <f t="shared" si="15"/>
        <v>6</v>
      </c>
      <c r="G336" s="2">
        <f t="shared" si="16"/>
        <v>4270</v>
      </c>
    </row>
    <row r="337" spans="1:7" x14ac:dyDescent="0.25">
      <c r="A337" t="str">
        <f t="shared" si="17"/>
        <v>Papudo Población de 65 años o mas</v>
      </c>
      <c r="B337" t="s">
        <v>2147</v>
      </c>
      <c r="C337" t="s">
        <v>2114</v>
      </c>
      <c r="D337" t="s">
        <v>46</v>
      </c>
      <c r="E337" s="2" t="s">
        <v>2113</v>
      </c>
      <c r="F337">
        <f t="shared" si="15"/>
        <v>6</v>
      </c>
      <c r="G337" s="2">
        <f t="shared" si="16"/>
        <v>1037</v>
      </c>
    </row>
    <row r="338" spans="1:7" x14ac:dyDescent="0.25">
      <c r="A338" t="str">
        <f t="shared" si="17"/>
        <v>Zapallar Hombre</v>
      </c>
      <c r="B338" t="s">
        <v>2147</v>
      </c>
      <c r="C338" t="s">
        <v>2109</v>
      </c>
      <c r="D338" t="s">
        <v>58</v>
      </c>
      <c r="E338" s="2" t="s">
        <v>1130</v>
      </c>
      <c r="F338">
        <f t="shared" si="15"/>
        <v>6</v>
      </c>
      <c r="G338" s="2">
        <f t="shared" si="16"/>
        <v>4161</v>
      </c>
    </row>
    <row r="339" spans="1:7" x14ac:dyDescent="0.25">
      <c r="A339" t="str">
        <f t="shared" si="17"/>
        <v>Zapallar Mujer</v>
      </c>
      <c r="B339" t="s">
        <v>2147</v>
      </c>
      <c r="C339" t="s">
        <v>2109</v>
      </c>
      <c r="D339" t="s">
        <v>56</v>
      </c>
      <c r="E339" s="2" t="s">
        <v>985</v>
      </c>
      <c r="F339">
        <f t="shared" si="15"/>
        <v>6</v>
      </c>
      <c r="G339" s="2">
        <f t="shared" si="16"/>
        <v>4207</v>
      </c>
    </row>
    <row r="340" spans="1:7" x14ac:dyDescent="0.25">
      <c r="A340" t="str">
        <f t="shared" si="17"/>
        <v>Zapallar Población total</v>
      </c>
      <c r="B340" t="s">
        <v>2147</v>
      </c>
      <c r="C340" t="s">
        <v>2109</v>
      </c>
      <c r="D340" t="s">
        <v>54</v>
      </c>
      <c r="E340" s="2" t="s">
        <v>2112</v>
      </c>
      <c r="F340">
        <f t="shared" si="15"/>
        <v>6</v>
      </c>
      <c r="G340" s="2">
        <f t="shared" si="16"/>
        <v>8368</v>
      </c>
    </row>
    <row r="341" spans="1:7" x14ac:dyDescent="0.25">
      <c r="A341" t="str">
        <f t="shared" si="17"/>
        <v>Zapallar Población  de 0 a 14 años</v>
      </c>
      <c r="B341" t="s">
        <v>2147</v>
      </c>
      <c r="C341" t="s">
        <v>2109</v>
      </c>
      <c r="D341" t="s">
        <v>52</v>
      </c>
      <c r="E341" s="2" t="s">
        <v>2111</v>
      </c>
      <c r="F341">
        <f t="shared" si="15"/>
        <v>6</v>
      </c>
      <c r="G341" s="2">
        <f t="shared" si="16"/>
        <v>1409</v>
      </c>
    </row>
    <row r="342" spans="1:7" x14ac:dyDescent="0.25">
      <c r="A342" t="str">
        <f t="shared" si="17"/>
        <v>Zapallar Población  de 15 a 64 años</v>
      </c>
      <c r="B342" t="s">
        <v>2147</v>
      </c>
      <c r="C342" t="s">
        <v>2109</v>
      </c>
      <c r="D342" t="s">
        <v>50</v>
      </c>
      <c r="E342" s="2" t="s">
        <v>2110</v>
      </c>
      <c r="F342">
        <f t="shared" si="15"/>
        <v>6</v>
      </c>
      <c r="G342" s="2">
        <f t="shared" si="16"/>
        <v>5513</v>
      </c>
    </row>
    <row r="343" spans="1:7" x14ac:dyDescent="0.25">
      <c r="A343" t="str">
        <f t="shared" si="17"/>
        <v>Zapallar Población de 65 años o mas</v>
      </c>
      <c r="B343" t="s">
        <v>2147</v>
      </c>
      <c r="C343" t="s">
        <v>2109</v>
      </c>
      <c r="D343" t="s">
        <v>46</v>
      </c>
      <c r="E343" s="2" t="s">
        <v>221</v>
      </c>
      <c r="F343">
        <f t="shared" si="15"/>
        <v>6</v>
      </c>
      <c r="G343" s="2">
        <f t="shared" si="16"/>
        <v>1446</v>
      </c>
    </row>
    <row r="344" spans="1:7" x14ac:dyDescent="0.25">
      <c r="A344" t="str">
        <f t="shared" si="17"/>
        <v>Putaendo Hombre</v>
      </c>
      <c r="B344" t="s">
        <v>2147</v>
      </c>
      <c r="C344" t="s">
        <v>2104</v>
      </c>
      <c r="D344" t="s">
        <v>58</v>
      </c>
      <c r="E344" s="2" t="s">
        <v>2108</v>
      </c>
      <c r="F344">
        <f t="shared" si="15"/>
        <v>6</v>
      </c>
      <c r="G344" s="2">
        <f t="shared" si="16"/>
        <v>8915</v>
      </c>
    </row>
    <row r="345" spans="1:7" x14ac:dyDescent="0.25">
      <c r="A345" t="str">
        <f t="shared" si="17"/>
        <v>Putaendo Mujer</v>
      </c>
      <c r="B345" t="s">
        <v>2147</v>
      </c>
      <c r="C345" t="s">
        <v>2104</v>
      </c>
      <c r="D345" t="s">
        <v>56</v>
      </c>
      <c r="E345" s="2" t="s">
        <v>2107</v>
      </c>
      <c r="F345">
        <f t="shared" si="15"/>
        <v>6</v>
      </c>
      <c r="G345" s="2">
        <f t="shared" si="16"/>
        <v>9108</v>
      </c>
    </row>
    <row r="346" spans="1:7" x14ac:dyDescent="0.25">
      <c r="A346" t="str">
        <f t="shared" si="17"/>
        <v>Putaendo Población total</v>
      </c>
      <c r="B346" t="s">
        <v>2147</v>
      </c>
      <c r="C346" t="s">
        <v>2104</v>
      </c>
      <c r="D346" t="s">
        <v>54</v>
      </c>
      <c r="E346" s="2" t="s">
        <v>2106</v>
      </c>
      <c r="F346">
        <f t="shared" si="15"/>
        <v>7</v>
      </c>
      <c r="G346" s="2">
        <f t="shared" si="16"/>
        <v>18023</v>
      </c>
    </row>
    <row r="347" spans="1:7" x14ac:dyDescent="0.25">
      <c r="A347" t="str">
        <f t="shared" si="17"/>
        <v>Putaendo Población  de 0 a 14 años</v>
      </c>
      <c r="B347" t="s">
        <v>2147</v>
      </c>
      <c r="C347" t="s">
        <v>2104</v>
      </c>
      <c r="D347" t="s">
        <v>52</v>
      </c>
      <c r="E347" s="2" t="s">
        <v>2103</v>
      </c>
      <c r="F347">
        <f t="shared" si="15"/>
        <v>6</v>
      </c>
      <c r="G347" s="2">
        <f t="shared" si="16"/>
        <v>3278</v>
      </c>
    </row>
    <row r="348" spans="1:7" x14ac:dyDescent="0.25">
      <c r="A348" t="str">
        <f t="shared" si="17"/>
        <v>Putaendo Población  de 15 a 64 años</v>
      </c>
      <c r="B348" t="s">
        <v>2147</v>
      </c>
      <c r="C348" t="s">
        <v>2104</v>
      </c>
      <c r="D348" t="s">
        <v>50</v>
      </c>
      <c r="E348" s="2" t="s">
        <v>2105</v>
      </c>
      <c r="F348">
        <f t="shared" si="15"/>
        <v>7</v>
      </c>
      <c r="G348" s="2">
        <f t="shared" si="16"/>
        <v>11467</v>
      </c>
    </row>
    <row r="349" spans="1:7" x14ac:dyDescent="0.25">
      <c r="A349" t="str">
        <f t="shared" si="17"/>
        <v>Putaendo Población de 65 años o mas</v>
      </c>
      <c r="B349" t="s">
        <v>2147</v>
      </c>
      <c r="C349" t="s">
        <v>2104</v>
      </c>
      <c r="D349" t="s">
        <v>46</v>
      </c>
      <c r="E349" s="2" t="s">
        <v>2103</v>
      </c>
      <c r="F349">
        <f t="shared" si="15"/>
        <v>6</v>
      </c>
      <c r="G349" s="2">
        <f t="shared" si="16"/>
        <v>3278</v>
      </c>
    </row>
    <row r="350" spans="1:7" x14ac:dyDescent="0.25">
      <c r="A350" t="str">
        <f t="shared" si="17"/>
        <v>Puchuncaví Hombre</v>
      </c>
      <c r="B350" t="s">
        <v>2147</v>
      </c>
      <c r="C350" t="s">
        <v>2097</v>
      </c>
      <c r="D350" t="s">
        <v>58</v>
      </c>
      <c r="E350" s="2" t="s">
        <v>2102</v>
      </c>
      <c r="F350">
        <f t="shared" si="15"/>
        <v>7</v>
      </c>
      <c r="G350" s="2">
        <f t="shared" si="16"/>
        <v>10529</v>
      </c>
    </row>
    <row r="351" spans="1:7" x14ac:dyDescent="0.25">
      <c r="A351" t="str">
        <f t="shared" si="17"/>
        <v>Puchuncaví Mujer</v>
      </c>
      <c r="B351" t="s">
        <v>2147</v>
      </c>
      <c r="C351" t="s">
        <v>2097</v>
      </c>
      <c r="D351" t="s">
        <v>56</v>
      </c>
      <c r="E351" s="2" t="s">
        <v>2101</v>
      </c>
      <c r="F351">
        <f t="shared" si="15"/>
        <v>7</v>
      </c>
      <c r="G351" s="2">
        <f t="shared" si="16"/>
        <v>10692</v>
      </c>
    </row>
    <row r="352" spans="1:7" x14ac:dyDescent="0.25">
      <c r="A352" t="str">
        <f t="shared" si="17"/>
        <v>Puchuncaví Población total</v>
      </c>
      <c r="B352" t="s">
        <v>2147</v>
      </c>
      <c r="C352" t="s">
        <v>2097</v>
      </c>
      <c r="D352" t="s">
        <v>54</v>
      </c>
      <c r="E352" s="2" t="s">
        <v>2100</v>
      </c>
      <c r="F352">
        <f t="shared" si="15"/>
        <v>7</v>
      </c>
      <c r="G352" s="2">
        <f t="shared" si="16"/>
        <v>21221</v>
      </c>
    </row>
    <row r="353" spans="1:7" x14ac:dyDescent="0.25">
      <c r="A353" t="str">
        <f t="shared" si="17"/>
        <v>Puchuncaví Población  de 0 a 14 años</v>
      </c>
      <c r="B353" t="s">
        <v>2147</v>
      </c>
      <c r="C353" t="s">
        <v>2097</v>
      </c>
      <c r="D353" t="s">
        <v>52</v>
      </c>
      <c r="E353" s="2" t="s">
        <v>2099</v>
      </c>
      <c r="F353">
        <f t="shared" si="15"/>
        <v>6</v>
      </c>
      <c r="G353" s="2">
        <f t="shared" si="16"/>
        <v>3880</v>
      </c>
    </row>
    <row r="354" spans="1:7" x14ac:dyDescent="0.25">
      <c r="A354" t="str">
        <f t="shared" si="17"/>
        <v>Puchuncaví Población  de 15 a 64 años</v>
      </c>
      <c r="B354" t="s">
        <v>2147</v>
      </c>
      <c r="C354" t="s">
        <v>2097</v>
      </c>
      <c r="D354" t="s">
        <v>50</v>
      </c>
      <c r="E354" s="2" t="s">
        <v>2098</v>
      </c>
      <c r="F354">
        <f t="shared" si="15"/>
        <v>7</v>
      </c>
      <c r="G354" s="2">
        <f t="shared" si="16"/>
        <v>13613</v>
      </c>
    </row>
    <row r="355" spans="1:7" x14ac:dyDescent="0.25">
      <c r="A355" t="str">
        <f t="shared" si="17"/>
        <v>Puchuncaví Población de 65 años o mas</v>
      </c>
      <c r="B355" t="s">
        <v>2147</v>
      </c>
      <c r="C355" t="s">
        <v>2097</v>
      </c>
      <c r="D355" t="s">
        <v>46</v>
      </c>
      <c r="E355" s="2" t="s">
        <v>2096</v>
      </c>
      <c r="F355">
        <f t="shared" si="15"/>
        <v>6</v>
      </c>
      <c r="G355" s="2">
        <f t="shared" si="16"/>
        <v>3728</v>
      </c>
    </row>
    <row r="356" spans="1:7" x14ac:dyDescent="0.25">
      <c r="A356" t="str">
        <f t="shared" si="17"/>
        <v>Nogales Hombre</v>
      </c>
      <c r="B356" t="s">
        <v>2147</v>
      </c>
      <c r="C356" t="s">
        <v>2090</v>
      </c>
      <c r="D356" t="s">
        <v>58</v>
      </c>
      <c r="E356" s="2" t="s">
        <v>2095</v>
      </c>
      <c r="F356">
        <f t="shared" si="15"/>
        <v>7</v>
      </c>
      <c r="G356" s="2">
        <f t="shared" si="16"/>
        <v>11660</v>
      </c>
    </row>
    <row r="357" spans="1:7" x14ac:dyDescent="0.25">
      <c r="A357" t="str">
        <f t="shared" si="17"/>
        <v>Nogales Mujer</v>
      </c>
      <c r="B357" t="s">
        <v>2147</v>
      </c>
      <c r="C357" t="s">
        <v>2090</v>
      </c>
      <c r="D357" t="s">
        <v>56</v>
      </c>
      <c r="E357" s="2" t="s">
        <v>2094</v>
      </c>
      <c r="F357">
        <f t="shared" si="15"/>
        <v>7</v>
      </c>
      <c r="G357" s="2">
        <f t="shared" si="16"/>
        <v>11985</v>
      </c>
    </row>
    <row r="358" spans="1:7" x14ac:dyDescent="0.25">
      <c r="A358" t="str">
        <f t="shared" si="17"/>
        <v>Nogales Población total</v>
      </c>
      <c r="B358" t="s">
        <v>2147</v>
      </c>
      <c r="C358" t="s">
        <v>2090</v>
      </c>
      <c r="D358" t="s">
        <v>54</v>
      </c>
      <c r="E358" s="2" t="s">
        <v>2093</v>
      </c>
      <c r="F358">
        <f t="shared" si="15"/>
        <v>7</v>
      </c>
      <c r="G358" s="2">
        <f t="shared" si="16"/>
        <v>23645</v>
      </c>
    </row>
    <row r="359" spans="1:7" x14ac:dyDescent="0.25">
      <c r="A359" t="str">
        <f t="shared" si="17"/>
        <v>Nogales Población  de 0 a 14 años</v>
      </c>
      <c r="B359" t="s">
        <v>2147</v>
      </c>
      <c r="C359" t="s">
        <v>2090</v>
      </c>
      <c r="D359" t="s">
        <v>52</v>
      </c>
      <c r="E359" s="2" t="s">
        <v>2092</v>
      </c>
      <c r="F359">
        <f t="shared" si="15"/>
        <v>6</v>
      </c>
      <c r="G359" s="2">
        <f t="shared" si="16"/>
        <v>4504</v>
      </c>
    </row>
    <row r="360" spans="1:7" x14ac:dyDescent="0.25">
      <c r="A360" t="str">
        <f t="shared" si="17"/>
        <v>Nogales Población  de 15 a 64 años</v>
      </c>
      <c r="B360" t="s">
        <v>2147</v>
      </c>
      <c r="C360" t="s">
        <v>2090</v>
      </c>
      <c r="D360" t="s">
        <v>50</v>
      </c>
      <c r="E360" s="2" t="s">
        <v>2091</v>
      </c>
      <c r="F360">
        <f t="shared" si="15"/>
        <v>7</v>
      </c>
      <c r="G360" s="2">
        <f t="shared" si="16"/>
        <v>15337</v>
      </c>
    </row>
    <row r="361" spans="1:7" x14ac:dyDescent="0.25">
      <c r="A361" t="str">
        <f t="shared" si="17"/>
        <v>Nogales Población de 65 años o mas</v>
      </c>
      <c r="B361" t="s">
        <v>2147</v>
      </c>
      <c r="C361" t="s">
        <v>2090</v>
      </c>
      <c r="D361" t="s">
        <v>46</v>
      </c>
      <c r="E361" s="2" t="s">
        <v>891</v>
      </c>
      <c r="F361">
        <f t="shared" si="15"/>
        <v>6</v>
      </c>
      <c r="G361" s="2">
        <f t="shared" si="16"/>
        <v>3804</v>
      </c>
    </row>
    <row r="362" spans="1:7" x14ac:dyDescent="0.25">
      <c r="A362" t="str">
        <f t="shared" si="17"/>
        <v>Santa María Hombre</v>
      </c>
      <c r="B362" t="s">
        <v>2147</v>
      </c>
      <c r="C362" t="s">
        <v>2085</v>
      </c>
      <c r="D362" t="s">
        <v>58</v>
      </c>
      <c r="E362" s="2" t="s">
        <v>2089</v>
      </c>
      <c r="F362">
        <f t="shared" si="15"/>
        <v>6</v>
      </c>
      <c r="G362" s="2">
        <f t="shared" si="16"/>
        <v>8405</v>
      </c>
    </row>
    <row r="363" spans="1:7" x14ac:dyDescent="0.25">
      <c r="A363" t="str">
        <f t="shared" si="17"/>
        <v>Santa María Mujer</v>
      </c>
      <c r="B363" t="s">
        <v>2147</v>
      </c>
      <c r="C363" t="s">
        <v>2085</v>
      </c>
      <c r="D363" t="s">
        <v>56</v>
      </c>
      <c r="E363" s="2" t="s">
        <v>2088</v>
      </c>
      <c r="F363">
        <f t="shared" si="15"/>
        <v>6</v>
      </c>
      <c r="G363" s="2">
        <f t="shared" si="16"/>
        <v>8557</v>
      </c>
    </row>
    <row r="364" spans="1:7" x14ac:dyDescent="0.25">
      <c r="A364" t="str">
        <f t="shared" si="17"/>
        <v>Santa María Población total</v>
      </c>
      <c r="B364" t="s">
        <v>2147</v>
      </c>
      <c r="C364" t="s">
        <v>2085</v>
      </c>
      <c r="D364" t="s">
        <v>54</v>
      </c>
      <c r="E364" s="2" t="s">
        <v>2087</v>
      </c>
      <c r="F364">
        <f t="shared" si="15"/>
        <v>7</v>
      </c>
      <c r="G364" s="2">
        <f t="shared" si="16"/>
        <v>16962</v>
      </c>
    </row>
    <row r="365" spans="1:7" x14ac:dyDescent="0.25">
      <c r="A365" t="str">
        <f t="shared" si="17"/>
        <v>Santa María Población  de 0 a 14 años</v>
      </c>
      <c r="B365" t="s">
        <v>2147</v>
      </c>
      <c r="C365" t="s">
        <v>2085</v>
      </c>
      <c r="D365" t="s">
        <v>52</v>
      </c>
      <c r="E365" s="2" t="s">
        <v>2086</v>
      </c>
      <c r="F365">
        <f t="shared" si="15"/>
        <v>6</v>
      </c>
      <c r="G365" s="2">
        <f t="shared" si="16"/>
        <v>3216</v>
      </c>
    </row>
    <row r="366" spans="1:7" x14ac:dyDescent="0.25">
      <c r="A366" t="str">
        <f t="shared" si="17"/>
        <v>Santa María Población  de 15 a 64 años</v>
      </c>
      <c r="B366" t="s">
        <v>2147</v>
      </c>
      <c r="C366" t="s">
        <v>2085</v>
      </c>
      <c r="D366" t="s">
        <v>50</v>
      </c>
      <c r="E366" s="2" t="s">
        <v>782</v>
      </c>
      <c r="F366">
        <f t="shared" si="15"/>
        <v>7</v>
      </c>
      <c r="G366" s="2">
        <f t="shared" si="16"/>
        <v>11166</v>
      </c>
    </row>
    <row r="367" spans="1:7" x14ac:dyDescent="0.25">
      <c r="A367" t="str">
        <f t="shared" si="17"/>
        <v>Santa María Población de 65 años o mas</v>
      </c>
      <c r="B367" t="s">
        <v>2147</v>
      </c>
      <c r="C367" t="s">
        <v>2085</v>
      </c>
      <c r="D367" t="s">
        <v>46</v>
      </c>
      <c r="E367" s="2" t="s">
        <v>2084</v>
      </c>
      <c r="F367">
        <f t="shared" si="15"/>
        <v>6</v>
      </c>
      <c r="G367" s="2">
        <f t="shared" si="16"/>
        <v>2580</v>
      </c>
    </row>
    <row r="368" spans="1:7" x14ac:dyDescent="0.25">
      <c r="A368" t="str">
        <f t="shared" si="17"/>
        <v>San Felipe Hombre</v>
      </c>
      <c r="B368" t="s">
        <v>2147</v>
      </c>
      <c r="C368" t="s">
        <v>2078</v>
      </c>
      <c r="D368" t="s">
        <v>58</v>
      </c>
      <c r="E368" s="2" t="s">
        <v>2083</v>
      </c>
      <c r="F368">
        <f t="shared" si="15"/>
        <v>7</v>
      </c>
      <c r="G368" s="2">
        <f t="shared" si="16"/>
        <v>42479</v>
      </c>
    </row>
    <row r="369" spans="1:7" x14ac:dyDescent="0.25">
      <c r="A369" t="str">
        <f t="shared" si="17"/>
        <v>San Felipe Mujer</v>
      </c>
      <c r="B369" t="s">
        <v>2147</v>
      </c>
      <c r="C369" t="s">
        <v>2078</v>
      </c>
      <c r="D369" t="s">
        <v>56</v>
      </c>
      <c r="E369" s="2" t="s">
        <v>2082</v>
      </c>
      <c r="F369">
        <f t="shared" si="15"/>
        <v>7</v>
      </c>
      <c r="G369" s="2">
        <f t="shared" si="16"/>
        <v>44359</v>
      </c>
    </row>
    <row r="370" spans="1:7" x14ac:dyDescent="0.25">
      <c r="A370" t="str">
        <f t="shared" si="17"/>
        <v>San Felipe Población total</v>
      </c>
      <c r="B370" t="s">
        <v>2147</v>
      </c>
      <c r="C370" t="s">
        <v>2078</v>
      </c>
      <c r="D370" t="s">
        <v>54</v>
      </c>
      <c r="E370" s="2" t="s">
        <v>2081</v>
      </c>
      <c r="F370">
        <f t="shared" si="15"/>
        <v>7</v>
      </c>
      <c r="G370" s="2">
        <f t="shared" si="16"/>
        <v>86838</v>
      </c>
    </row>
    <row r="371" spans="1:7" x14ac:dyDescent="0.25">
      <c r="A371" t="str">
        <f t="shared" si="17"/>
        <v>San Felipe Población  de 0 a 14 años</v>
      </c>
      <c r="B371" t="s">
        <v>2147</v>
      </c>
      <c r="C371" t="s">
        <v>2078</v>
      </c>
      <c r="D371" t="s">
        <v>52</v>
      </c>
      <c r="E371" s="2" t="s">
        <v>2080</v>
      </c>
      <c r="F371">
        <f t="shared" si="15"/>
        <v>7</v>
      </c>
      <c r="G371" s="2">
        <f t="shared" si="16"/>
        <v>17069</v>
      </c>
    </row>
    <row r="372" spans="1:7" x14ac:dyDescent="0.25">
      <c r="A372" t="str">
        <f t="shared" si="17"/>
        <v>San Felipe Población  de 15 a 64 años</v>
      </c>
      <c r="B372" t="s">
        <v>2147</v>
      </c>
      <c r="C372" t="s">
        <v>2078</v>
      </c>
      <c r="D372" t="s">
        <v>50</v>
      </c>
      <c r="E372" s="2" t="s">
        <v>2079</v>
      </c>
      <c r="F372">
        <f t="shared" si="15"/>
        <v>7</v>
      </c>
      <c r="G372" s="2">
        <f t="shared" si="16"/>
        <v>57395</v>
      </c>
    </row>
    <row r="373" spans="1:7" x14ac:dyDescent="0.25">
      <c r="A373" t="str">
        <f t="shared" si="17"/>
        <v>San Felipe Población de 65 años o mas</v>
      </c>
      <c r="B373" t="s">
        <v>2147</v>
      </c>
      <c r="C373" t="s">
        <v>2078</v>
      </c>
      <c r="D373" t="s">
        <v>46</v>
      </c>
      <c r="E373" s="2" t="s">
        <v>2077</v>
      </c>
      <c r="F373">
        <f t="shared" si="15"/>
        <v>7</v>
      </c>
      <c r="G373" s="2">
        <f t="shared" si="16"/>
        <v>12374</v>
      </c>
    </row>
    <row r="374" spans="1:7" x14ac:dyDescent="0.25">
      <c r="A374" t="str">
        <f t="shared" si="17"/>
        <v>Panquehue Hombre</v>
      </c>
      <c r="B374" t="s">
        <v>2147</v>
      </c>
      <c r="C374" t="s">
        <v>2072</v>
      </c>
      <c r="D374" t="s">
        <v>58</v>
      </c>
      <c r="E374" s="2" t="s">
        <v>2076</v>
      </c>
      <c r="F374">
        <f t="shared" si="15"/>
        <v>6</v>
      </c>
      <c r="G374" s="2">
        <f t="shared" si="16"/>
        <v>3906</v>
      </c>
    </row>
    <row r="375" spans="1:7" x14ac:dyDescent="0.25">
      <c r="A375" t="str">
        <f t="shared" si="17"/>
        <v>Panquehue Mujer</v>
      </c>
      <c r="B375" t="s">
        <v>2147</v>
      </c>
      <c r="C375" t="s">
        <v>2072</v>
      </c>
      <c r="D375" t="s">
        <v>56</v>
      </c>
      <c r="E375" s="2" t="s">
        <v>2075</v>
      </c>
      <c r="F375">
        <f t="shared" si="15"/>
        <v>6</v>
      </c>
      <c r="G375" s="2">
        <f t="shared" si="16"/>
        <v>3935</v>
      </c>
    </row>
    <row r="376" spans="1:7" x14ac:dyDescent="0.25">
      <c r="A376" t="str">
        <f t="shared" si="17"/>
        <v>Panquehue Población total</v>
      </c>
      <c r="B376" t="s">
        <v>2147</v>
      </c>
      <c r="C376" t="s">
        <v>2072</v>
      </c>
      <c r="D376" t="s">
        <v>54</v>
      </c>
      <c r="E376" s="2" t="s">
        <v>2074</v>
      </c>
      <c r="F376">
        <f t="shared" si="15"/>
        <v>6</v>
      </c>
      <c r="G376" s="2">
        <f t="shared" si="16"/>
        <v>7841</v>
      </c>
    </row>
    <row r="377" spans="1:7" x14ac:dyDescent="0.25">
      <c r="A377" t="str">
        <f t="shared" si="17"/>
        <v>Panquehue Población  de 0 a 14 años</v>
      </c>
      <c r="B377" t="s">
        <v>2147</v>
      </c>
      <c r="C377" t="s">
        <v>2072</v>
      </c>
      <c r="D377" t="s">
        <v>52</v>
      </c>
      <c r="E377" s="2" t="s">
        <v>1327</v>
      </c>
      <c r="F377">
        <f t="shared" si="15"/>
        <v>6</v>
      </c>
      <c r="G377" s="2">
        <f t="shared" si="16"/>
        <v>1505</v>
      </c>
    </row>
    <row r="378" spans="1:7" x14ac:dyDescent="0.25">
      <c r="A378" t="str">
        <f t="shared" si="17"/>
        <v>Panquehue Población  de 15 a 64 años</v>
      </c>
      <c r="B378" t="s">
        <v>2147</v>
      </c>
      <c r="C378" t="s">
        <v>2072</v>
      </c>
      <c r="D378" t="s">
        <v>50</v>
      </c>
      <c r="E378" s="2" t="s">
        <v>2073</v>
      </c>
      <c r="F378">
        <f t="shared" si="15"/>
        <v>6</v>
      </c>
      <c r="G378" s="2">
        <f t="shared" si="16"/>
        <v>5203</v>
      </c>
    </row>
    <row r="379" spans="1:7" x14ac:dyDescent="0.25">
      <c r="A379" t="str">
        <f t="shared" si="17"/>
        <v>Panquehue Población de 65 años o mas</v>
      </c>
      <c r="B379" t="s">
        <v>2147</v>
      </c>
      <c r="C379" t="s">
        <v>2072</v>
      </c>
      <c r="D379" t="s">
        <v>46</v>
      </c>
      <c r="E379" s="2" t="s">
        <v>2071</v>
      </c>
      <c r="F379">
        <f t="shared" si="15"/>
        <v>6</v>
      </c>
      <c r="G379" s="2">
        <f t="shared" si="16"/>
        <v>1133</v>
      </c>
    </row>
    <row r="380" spans="1:7" x14ac:dyDescent="0.25">
      <c r="A380" t="str">
        <f t="shared" si="17"/>
        <v>Catemu Hombre</v>
      </c>
      <c r="B380" t="s">
        <v>2147</v>
      </c>
      <c r="C380" t="s">
        <v>2065</v>
      </c>
      <c r="D380" t="s">
        <v>58</v>
      </c>
      <c r="E380" s="2" t="s">
        <v>2070</v>
      </c>
      <c r="F380">
        <f t="shared" si="15"/>
        <v>6</v>
      </c>
      <c r="G380" s="2">
        <f t="shared" si="16"/>
        <v>7804</v>
      </c>
    </row>
    <row r="381" spans="1:7" x14ac:dyDescent="0.25">
      <c r="A381" t="str">
        <f t="shared" si="17"/>
        <v>Catemu Mujer</v>
      </c>
      <c r="B381" t="s">
        <v>2147</v>
      </c>
      <c r="C381" t="s">
        <v>2065</v>
      </c>
      <c r="D381" t="s">
        <v>56</v>
      </c>
      <c r="E381" s="2" t="s">
        <v>2069</v>
      </c>
      <c r="F381">
        <f t="shared" si="15"/>
        <v>6</v>
      </c>
      <c r="G381" s="2">
        <f t="shared" si="16"/>
        <v>7910</v>
      </c>
    </row>
    <row r="382" spans="1:7" x14ac:dyDescent="0.25">
      <c r="A382" t="str">
        <f t="shared" si="17"/>
        <v>Catemu Población total</v>
      </c>
      <c r="B382" t="s">
        <v>2147</v>
      </c>
      <c r="C382" t="s">
        <v>2065</v>
      </c>
      <c r="D382" t="s">
        <v>54</v>
      </c>
      <c r="E382" s="2" t="s">
        <v>2068</v>
      </c>
      <c r="F382">
        <f t="shared" si="15"/>
        <v>7</v>
      </c>
      <c r="G382" s="2">
        <f t="shared" si="16"/>
        <v>15714</v>
      </c>
    </row>
    <row r="383" spans="1:7" x14ac:dyDescent="0.25">
      <c r="A383" t="str">
        <f t="shared" si="17"/>
        <v>Catemu Población  de 0 a 14 años</v>
      </c>
      <c r="B383" t="s">
        <v>2147</v>
      </c>
      <c r="C383" t="s">
        <v>2065</v>
      </c>
      <c r="D383" t="s">
        <v>52</v>
      </c>
      <c r="E383" s="2" t="s">
        <v>2067</v>
      </c>
      <c r="F383">
        <f t="shared" si="15"/>
        <v>6</v>
      </c>
      <c r="G383" s="2">
        <f t="shared" si="16"/>
        <v>2998</v>
      </c>
    </row>
    <row r="384" spans="1:7" x14ac:dyDescent="0.25">
      <c r="A384" t="str">
        <f t="shared" si="17"/>
        <v>Catemu Población  de 15 a 64 años</v>
      </c>
      <c r="B384" t="s">
        <v>2147</v>
      </c>
      <c r="C384" t="s">
        <v>2065</v>
      </c>
      <c r="D384" t="s">
        <v>50</v>
      </c>
      <c r="E384" s="2" t="s">
        <v>2066</v>
      </c>
      <c r="F384">
        <f t="shared" si="15"/>
        <v>7</v>
      </c>
      <c r="G384" s="2">
        <f t="shared" si="16"/>
        <v>10213</v>
      </c>
    </row>
    <row r="385" spans="1:7" x14ac:dyDescent="0.25">
      <c r="A385" t="str">
        <f t="shared" si="17"/>
        <v>Catemu Población de 65 años o mas</v>
      </c>
      <c r="B385" t="s">
        <v>2147</v>
      </c>
      <c r="C385" t="s">
        <v>2065</v>
      </c>
      <c r="D385" t="s">
        <v>46</v>
      </c>
      <c r="E385" s="2" t="s">
        <v>912</v>
      </c>
      <c r="F385">
        <f t="shared" si="15"/>
        <v>6</v>
      </c>
      <c r="G385" s="2">
        <f t="shared" si="16"/>
        <v>2503</v>
      </c>
    </row>
    <row r="386" spans="1:7" x14ac:dyDescent="0.25">
      <c r="A386" t="str">
        <f t="shared" si="17"/>
        <v>Quintero Hombre</v>
      </c>
      <c r="B386" t="s">
        <v>2147</v>
      </c>
      <c r="C386" t="s">
        <v>2059</v>
      </c>
      <c r="D386" t="s">
        <v>58</v>
      </c>
      <c r="E386" s="2" t="s">
        <v>2064</v>
      </c>
      <c r="F386">
        <f t="shared" ref="F386:F449" si="18">+FIND(".",E386)</f>
        <v>7</v>
      </c>
      <c r="G386" s="2">
        <f t="shared" ref="G386:G449" si="19">+LEFT(E386,(F386-1))*1</f>
        <v>19081</v>
      </c>
    </row>
    <row r="387" spans="1:7" x14ac:dyDescent="0.25">
      <c r="A387" t="str">
        <f t="shared" ref="A387:A450" si="20">+C387&amp;D387</f>
        <v>Quintero Mujer</v>
      </c>
      <c r="B387" t="s">
        <v>2147</v>
      </c>
      <c r="C387" t="s">
        <v>2059</v>
      </c>
      <c r="D387" t="s">
        <v>56</v>
      </c>
      <c r="E387" s="2" t="s">
        <v>2063</v>
      </c>
      <c r="F387">
        <f t="shared" si="18"/>
        <v>7</v>
      </c>
      <c r="G387" s="2">
        <f t="shared" si="19"/>
        <v>19532</v>
      </c>
    </row>
    <row r="388" spans="1:7" x14ac:dyDescent="0.25">
      <c r="A388" t="str">
        <f t="shared" si="20"/>
        <v>Quintero Población total</v>
      </c>
      <c r="B388" t="s">
        <v>2147</v>
      </c>
      <c r="C388" t="s">
        <v>2059</v>
      </c>
      <c r="D388" t="s">
        <v>54</v>
      </c>
      <c r="E388" s="2" t="s">
        <v>2062</v>
      </c>
      <c r="F388">
        <f t="shared" si="18"/>
        <v>7</v>
      </c>
      <c r="G388" s="2">
        <f t="shared" si="19"/>
        <v>38613</v>
      </c>
    </row>
    <row r="389" spans="1:7" x14ac:dyDescent="0.25">
      <c r="A389" t="str">
        <f t="shared" si="20"/>
        <v>Quintero Población  de 0 a 14 años</v>
      </c>
      <c r="B389" t="s">
        <v>2147</v>
      </c>
      <c r="C389" t="s">
        <v>2059</v>
      </c>
      <c r="D389" t="s">
        <v>52</v>
      </c>
      <c r="E389" s="2" t="s">
        <v>2061</v>
      </c>
      <c r="F389">
        <f t="shared" si="18"/>
        <v>6</v>
      </c>
      <c r="G389" s="2">
        <f t="shared" si="19"/>
        <v>7321</v>
      </c>
    </row>
    <row r="390" spans="1:7" x14ac:dyDescent="0.25">
      <c r="A390" t="str">
        <f t="shared" si="20"/>
        <v>Quintero Población  de 15 a 64 años</v>
      </c>
      <c r="B390" t="s">
        <v>2147</v>
      </c>
      <c r="C390" t="s">
        <v>2059</v>
      </c>
      <c r="D390" t="s">
        <v>50</v>
      </c>
      <c r="E390" s="2" t="s">
        <v>2060</v>
      </c>
      <c r="F390">
        <f t="shared" si="18"/>
        <v>7</v>
      </c>
      <c r="G390" s="2">
        <f t="shared" si="19"/>
        <v>25027</v>
      </c>
    </row>
    <row r="391" spans="1:7" x14ac:dyDescent="0.25">
      <c r="A391" t="str">
        <f t="shared" si="20"/>
        <v>Quintero Población de 65 años o mas</v>
      </c>
      <c r="B391" t="s">
        <v>2147</v>
      </c>
      <c r="C391" t="s">
        <v>2059</v>
      </c>
      <c r="D391" t="s">
        <v>46</v>
      </c>
      <c r="E391" s="2" t="s">
        <v>2058</v>
      </c>
      <c r="F391">
        <f t="shared" si="18"/>
        <v>6</v>
      </c>
      <c r="G391" s="2">
        <f t="shared" si="19"/>
        <v>6265</v>
      </c>
    </row>
    <row r="392" spans="1:7" x14ac:dyDescent="0.25">
      <c r="A392" t="str">
        <f t="shared" si="20"/>
        <v>Calera Hombre</v>
      </c>
      <c r="B392" t="s">
        <v>2147</v>
      </c>
      <c r="C392" t="s">
        <v>2052</v>
      </c>
      <c r="D392" t="s">
        <v>58</v>
      </c>
      <c r="E392" s="2" t="s">
        <v>2057</v>
      </c>
      <c r="F392">
        <f t="shared" si="18"/>
        <v>7</v>
      </c>
      <c r="G392" s="2">
        <f t="shared" si="19"/>
        <v>26433</v>
      </c>
    </row>
    <row r="393" spans="1:7" x14ac:dyDescent="0.25">
      <c r="A393" t="str">
        <f t="shared" si="20"/>
        <v>Calera Mujer</v>
      </c>
      <c r="B393" t="s">
        <v>2147</v>
      </c>
      <c r="C393" t="s">
        <v>2052</v>
      </c>
      <c r="D393" t="s">
        <v>56</v>
      </c>
      <c r="E393" s="2" t="s">
        <v>2056</v>
      </c>
      <c r="F393">
        <f t="shared" si="18"/>
        <v>7</v>
      </c>
      <c r="G393" s="2">
        <f t="shared" si="19"/>
        <v>27469</v>
      </c>
    </row>
    <row r="394" spans="1:7" x14ac:dyDescent="0.25">
      <c r="A394" t="str">
        <f t="shared" si="20"/>
        <v>Calera Población total</v>
      </c>
      <c r="B394" t="s">
        <v>2147</v>
      </c>
      <c r="C394" t="s">
        <v>2052</v>
      </c>
      <c r="D394" t="s">
        <v>54</v>
      </c>
      <c r="E394" s="2" t="s">
        <v>2055</v>
      </c>
      <c r="F394">
        <f t="shared" si="18"/>
        <v>7</v>
      </c>
      <c r="G394" s="2">
        <f t="shared" si="19"/>
        <v>53902</v>
      </c>
    </row>
    <row r="395" spans="1:7" x14ac:dyDescent="0.25">
      <c r="A395" t="str">
        <f t="shared" si="20"/>
        <v>Calera Población  de 0 a 14 años</v>
      </c>
      <c r="B395" t="s">
        <v>2147</v>
      </c>
      <c r="C395" t="s">
        <v>2052</v>
      </c>
      <c r="D395" t="s">
        <v>52</v>
      </c>
      <c r="E395" s="2" t="s">
        <v>2054</v>
      </c>
      <c r="F395">
        <f t="shared" si="18"/>
        <v>7</v>
      </c>
      <c r="G395" s="2">
        <f t="shared" si="19"/>
        <v>10068</v>
      </c>
    </row>
    <row r="396" spans="1:7" x14ac:dyDescent="0.25">
      <c r="A396" t="str">
        <f t="shared" si="20"/>
        <v>Calera Población  de 15 a 64 años</v>
      </c>
      <c r="B396" t="s">
        <v>2147</v>
      </c>
      <c r="C396" t="s">
        <v>2052</v>
      </c>
      <c r="D396" t="s">
        <v>50</v>
      </c>
      <c r="E396" s="2" t="s">
        <v>2053</v>
      </c>
      <c r="F396">
        <f t="shared" si="18"/>
        <v>7</v>
      </c>
      <c r="G396" s="2">
        <f t="shared" si="19"/>
        <v>35255</v>
      </c>
    </row>
    <row r="397" spans="1:7" x14ac:dyDescent="0.25">
      <c r="A397" t="str">
        <f t="shared" si="20"/>
        <v>Calera Población de 65 años o mas</v>
      </c>
      <c r="B397" t="s">
        <v>2147</v>
      </c>
      <c r="C397" t="s">
        <v>2052</v>
      </c>
      <c r="D397" t="s">
        <v>46</v>
      </c>
      <c r="E397" s="2" t="s">
        <v>2051</v>
      </c>
      <c r="F397">
        <f t="shared" si="18"/>
        <v>6</v>
      </c>
      <c r="G397" s="2">
        <f t="shared" si="19"/>
        <v>8579</v>
      </c>
    </row>
    <row r="398" spans="1:7" x14ac:dyDescent="0.25">
      <c r="A398" t="str">
        <f t="shared" si="20"/>
        <v>Hijuelas Hombre</v>
      </c>
      <c r="B398" t="s">
        <v>2147</v>
      </c>
      <c r="C398" t="s">
        <v>2045</v>
      </c>
      <c r="D398" t="s">
        <v>58</v>
      </c>
      <c r="E398" s="2" t="s">
        <v>2050</v>
      </c>
      <c r="F398">
        <f t="shared" si="18"/>
        <v>6</v>
      </c>
      <c r="G398" s="2">
        <f t="shared" si="19"/>
        <v>9678</v>
      </c>
    </row>
    <row r="399" spans="1:7" x14ac:dyDescent="0.25">
      <c r="A399" t="str">
        <f t="shared" si="20"/>
        <v>Hijuelas Mujer</v>
      </c>
      <c r="B399" t="s">
        <v>2147</v>
      </c>
      <c r="C399" t="s">
        <v>2045</v>
      </c>
      <c r="D399" t="s">
        <v>56</v>
      </c>
      <c r="E399" s="2" t="s">
        <v>2049</v>
      </c>
      <c r="F399">
        <f t="shared" si="18"/>
        <v>6</v>
      </c>
      <c r="G399" s="2">
        <f t="shared" si="19"/>
        <v>9786</v>
      </c>
    </row>
    <row r="400" spans="1:7" x14ac:dyDescent="0.25">
      <c r="A400" t="str">
        <f t="shared" si="20"/>
        <v>Hijuelas Población total</v>
      </c>
      <c r="B400" t="s">
        <v>2147</v>
      </c>
      <c r="C400" t="s">
        <v>2045</v>
      </c>
      <c r="D400" t="s">
        <v>54</v>
      </c>
      <c r="E400" s="2" t="s">
        <v>2048</v>
      </c>
      <c r="F400">
        <f t="shared" si="18"/>
        <v>7</v>
      </c>
      <c r="G400" s="2">
        <f t="shared" si="19"/>
        <v>19464</v>
      </c>
    </row>
    <row r="401" spans="1:7" x14ac:dyDescent="0.25">
      <c r="A401" t="str">
        <f t="shared" si="20"/>
        <v>Hijuelas Población  de 0 a 14 años</v>
      </c>
      <c r="B401" t="s">
        <v>2147</v>
      </c>
      <c r="C401" t="s">
        <v>2045</v>
      </c>
      <c r="D401" t="s">
        <v>52</v>
      </c>
      <c r="E401" s="2" t="s">
        <v>2047</v>
      </c>
      <c r="F401">
        <f t="shared" si="18"/>
        <v>6</v>
      </c>
      <c r="G401" s="2">
        <f t="shared" si="19"/>
        <v>3711</v>
      </c>
    </row>
    <row r="402" spans="1:7" x14ac:dyDescent="0.25">
      <c r="A402" t="str">
        <f t="shared" si="20"/>
        <v>Hijuelas Población  de 15 a 64 años</v>
      </c>
      <c r="B402" t="s">
        <v>2147</v>
      </c>
      <c r="C402" t="s">
        <v>2045</v>
      </c>
      <c r="D402" t="s">
        <v>50</v>
      </c>
      <c r="E402" s="2" t="s">
        <v>2046</v>
      </c>
      <c r="F402">
        <f t="shared" si="18"/>
        <v>7</v>
      </c>
      <c r="G402" s="2">
        <f t="shared" si="19"/>
        <v>12954</v>
      </c>
    </row>
    <row r="403" spans="1:7" x14ac:dyDescent="0.25">
      <c r="A403" t="str">
        <f t="shared" si="20"/>
        <v>Hijuelas Población de 65 años o mas</v>
      </c>
      <c r="B403" t="s">
        <v>2147</v>
      </c>
      <c r="C403" t="s">
        <v>2045</v>
      </c>
      <c r="D403" t="s">
        <v>46</v>
      </c>
      <c r="E403" s="2" t="s">
        <v>2044</v>
      </c>
      <c r="F403">
        <f t="shared" si="18"/>
        <v>6</v>
      </c>
      <c r="G403" s="2">
        <f t="shared" si="19"/>
        <v>2799</v>
      </c>
    </row>
    <row r="404" spans="1:7" x14ac:dyDescent="0.25">
      <c r="A404" t="str">
        <f t="shared" si="20"/>
        <v>San Esteban Hombre</v>
      </c>
      <c r="B404" t="s">
        <v>2147</v>
      </c>
      <c r="C404" t="s">
        <v>2038</v>
      </c>
      <c r="D404" t="s">
        <v>58</v>
      </c>
      <c r="E404" s="2" t="s">
        <v>2043</v>
      </c>
      <c r="F404">
        <f t="shared" si="18"/>
        <v>7</v>
      </c>
      <c r="G404" s="2">
        <f t="shared" si="19"/>
        <v>10714</v>
      </c>
    </row>
    <row r="405" spans="1:7" x14ac:dyDescent="0.25">
      <c r="A405" t="str">
        <f t="shared" si="20"/>
        <v>San Esteban Mujer</v>
      </c>
      <c r="B405" t="s">
        <v>2147</v>
      </c>
      <c r="C405" t="s">
        <v>2038</v>
      </c>
      <c r="D405" t="s">
        <v>56</v>
      </c>
      <c r="E405" s="2" t="s">
        <v>2042</v>
      </c>
      <c r="F405">
        <f t="shared" si="18"/>
        <v>7</v>
      </c>
      <c r="G405" s="2">
        <f t="shared" si="19"/>
        <v>11042</v>
      </c>
    </row>
    <row r="406" spans="1:7" x14ac:dyDescent="0.25">
      <c r="A406" t="str">
        <f t="shared" si="20"/>
        <v>San Esteban Población total</v>
      </c>
      <c r="B406" t="s">
        <v>2147</v>
      </c>
      <c r="C406" t="s">
        <v>2038</v>
      </c>
      <c r="D406" t="s">
        <v>54</v>
      </c>
      <c r="E406" s="2" t="s">
        <v>2041</v>
      </c>
      <c r="F406">
        <f t="shared" si="18"/>
        <v>7</v>
      </c>
      <c r="G406" s="2">
        <f t="shared" si="19"/>
        <v>21756</v>
      </c>
    </row>
    <row r="407" spans="1:7" x14ac:dyDescent="0.25">
      <c r="A407" t="str">
        <f t="shared" si="20"/>
        <v>San Esteban Población  de 0 a 14 años</v>
      </c>
      <c r="B407" t="s">
        <v>2147</v>
      </c>
      <c r="C407" t="s">
        <v>2038</v>
      </c>
      <c r="D407" t="s">
        <v>52</v>
      </c>
      <c r="E407" s="2" t="s">
        <v>2040</v>
      </c>
      <c r="F407">
        <f t="shared" si="18"/>
        <v>6</v>
      </c>
      <c r="G407" s="2">
        <f t="shared" si="19"/>
        <v>4350</v>
      </c>
    </row>
    <row r="408" spans="1:7" x14ac:dyDescent="0.25">
      <c r="A408" t="str">
        <f t="shared" si="20"/>
        <v>San Esteban Población  de 15 a 64 años</v>
      </c>
      <c r="B408" t="s">
        <v>2147</v>
      </c>
      <c r="C408" t="s">
        <v>2038</v>
      </c>
      <c r="D408" t="s">
        <v>50</v>
      </c>
      <c r="E408" s="2" t="s">
        <v>2039</v>
      </c>
      <c r="F408">
        <f t="shared" si="18"/>
        <v>7</v>
      </c>
      <c r="G408" s="2">
        <f t="shared" si="19"/>
        <v>14236</v>
      </c>
    </row>
    <row r="409" spans="1:7" x14ac:dyDescent="0.25">
      <c r="A409" t="str">
        <f t="shared" si="20"/>
        <v>San Esteban Población de 65 años o mas</v>
      </c>
      <c r="B409" t="s">
        <v>2147</v>
      </c>
      <c r="C409" t="s">
        <v>2038</v>
      </c>
      <c r="D409" t="s">
        <v>46</v>
      </c>
      <c r="E409" s="2" t="s">
        <v>2037</v>
      </c>
      <c r="F409">
        <f t="shared" si="18"/>
        <v>6</v>
      </c>
      <c r="G409" s="2">
        <f t="shared" si="19"/>
        <v>3170</v>
      </c>
    </row>
    <row r="410" spans="1:7" x14ac:dyDescent="0.25">
      <c r="A410" t="str">
        <f t="shared" si="20"/>
        <v>La Cruz Hombre</v>
      </c>
      <c r="B410" t="s">
        <v>2147</v>
      </c>
      <c r="C410" t="s">
        <v>2031</v>
      </c>
      <c r="D410" t="s">
        <v>58</v>
      </c>
      <c r="E410" s="2" t="s">
        <v>2036</v>
      </c>
      <c r="F410">
        <f t="shared" si="18"/>
        <v>7</v>
      </c>
      <c r="G410" s="2">
        <f t="shared" si="19"/>
        <v>13624</v>
      </c>
    </row>
    <row r="411" spans="1:7" x14ac:dyDescent="0.25">
      <c r="A411" t="str">
        <f t="shared" si="20"/>
        <v>La Cruz Mujer</v>
      </c>
      <c r="B411" t="s">
        <v>2147</v>
      </c>
      <c r="C411" t="s">
        <v>2031</v>
      </c>
      <c r="D411" t="s">
        <v>56</v>
      </c>
      <c r="E411" s="2" t="s">
        <v>2035</v>
      </c>
      <c r="F411">
        <f t="shared" si="18"/>
        <v>7</v>
      </c>
      <c r="G411" s="2">
        <f t="shared" si="19"/>
        <v>14274</v>
      </c>
    </row>
    <row r="412" spans="1:7" x14ac:dyDescent="0.25">
      <c r="A412" t="str">
        <f t="shared" si="20"/>
        <v>La Cruz Población total</v>
      </c>
      <c r="B412" t="s">
        <v>2147</v>
      </c>
      <c r="C412" t="s">
        <v>2031</v>
      </c>
      <c r="D412" t="s">
        <v>54</v>
      </c>
      <c r="E412" s="2" t="s">
        <v>2034</v>
      </c>
      <c r="F412">
        <f t="shared" si="18"/>
        <v>7</v>
      </c>
      <c r="G412" s="2">
        <f t="shared" si="19"/>
        <v>27898</v>
      </c>
    </row>
    <row r="413" spans="1:7" x14ac:dyDescent="0.25">
      <c r="A413" t="str">
        <f t="shared" si="20"/>
        <v>La Cruz Población  de 0 a 14 años</v>
      </c>
      <c r="B413" t="s">
        <v>2147</v>
      </c>
      <c r="C413" t="s">
        <v>2031</v>
      </c>
      <c r="D413" t="s">
        <v>52</v>
      </c>
      <c r="E413" s="2" t="s">
        <v>2033</v>
      </c>
      <c r="F413">
        <f t="shared" si="18"/>
        <v>6</v>
      </c>
      <c r="G413" s="2">
        <f t="shared" si="19"/>
        <v>5832</v>
      </c>
    </row>
    <row r="414" spans="1:7" x14ac:dyDescent="0.25">
      <c r="A414" t="str">
        <f t="shared" si="20"/>
        <v>La Cruz Población  de 15 a 64 años</v>
      </c>
      <c r="B414" t="s">
        <v>2147</v>
      </c>
      <c r="C414" t="s">
        <v>2031</v>
      </c>
      <c r="D414" t="s">
        <v>50</v>
      </c>
      <c r="E414" s="2" t="s">
        <v>2032</v>
      </c>
      <c r="F414">
        <f t="shared" si="18"/>
        <v>7</v>
      </c>
      <c r="G414" s="2">
        <f t="shared" si="19"/>
        <v>18538</v>
      </c>
    </row>
    <row r="415" spans="1:7" x14ac:dyDescent="0.25">
      <c r="A415" t="str">
        <f t="shared" si="20"/>
        <v>La Cruz Población de 65 años o mas</v>
      </c>
      <c r="B415" t="s">
        <v>2147</v>
      </c>
      <c r="C415" t="s">
        <v>2031</v>
      </c>
      <c r="D415" t="s">
        <v>46</v>
      </c>
      <c r="E415" s="2" t="s">
        <v>2030</v>
      </c>
      <c r="F415">
        <f t="shared" si="18"/>
        <v>6</v>
      </c>
      <c r="G415" s="2">
        <f t="shared" si="19"/>
        <v>3528</v>
      </c>
    </row>
    <row r="416" spans="1:7" x14ac:dyDescent="0.25">
      <c r="A416" t="str">
        <f t="shared" si="20"/>
        <v>Los Andes Hombre</v>
      </c>
      <c r="B416" t="s">
        <v>2147</v>
      </c>
      <c r="C416" t="s">
        <v>2024</v>
      </c>
      <c r="D416" t="s">
        <v>58</v>
      </c>
      <c r="E416" s="2" t="s">
        <v>2029</v>
      </c>
      <c r="F416">
        <f t="shared" si="18"/>
        <v>7</v>
      </c>
      <c r="G416" s="2">
        <f t="shared" si="19"/>
        <v>33700</v>
      </c>
    </row>
    <row r="417" spans="1:7" x14ac:dyDescent="0.25">
      <c r="A417" t="str">
        <f t="shared" si="20"/>
        <v>Los Andes Mujer</v>
      </c>
      <c r="B417" t="s">
        <v>2147</v>
      </c>
      <c r="C417" t="s">
        <v>2024</v>
      </c>
      <c r="D417" t="s">
        <v>56</v>
      </c>
      <c r="E417" s="2" t="s">
        <v>2028</v>
      </c>
      <c r="F417">
        <f t="shared" si="18"/>
        <v>7</v>
      </c>
      <c r="G417" s="2">
        <f t="shared" si="19"/>
        <v>35239</v>
      </c>
    </row>
    <row r="418" spans="1:7" x14ac:dyDescent="0.25">
      <c r="A418" t="str">
        <f t="shared" si="20"/>
        <v>Los Andes Población total</v>
      </c>
      <c r="B418" t="s">
        <v>2147</v>
      </c>
      <c r="C418" t="s">
        <v>2024</v>
      </c>
      <c r="D418" t="s">
        <v>54</v>
      </c>
      <c r="E418" s="2" t="s">
        <v>2027</v>
      </c>
      <c r="F418">
        <f t="shared" si="18"/>
        <v>7</v>
      </c>
      <c r="G418" s="2">
        <f t="shared" si="19"/>
        <v>68939</v>
      </c>
    </row>
    <row r="419" spans="1:7" x14ac:dyDescent="0.25">
      <c r="A419" t="str">
        <f t="shared" si="20"/>
        <v>Los Andes Población  de 0 a 14 años</v>
      </c>
      <c r="B419" t="s">
        <v>2147</v>
      </c>
      <c r="C419" t="s">
        <v>2024</v>
      </c>
      <c r="D419" t="s">
        <v>52</v>
      </c>
      <c r="E419" s="2" t="s">
        <v>2026</v>
      </c>
      <c r="F419">
        <f t="shared" si="18"/>
        <v>7</v>
      </c>
      <c r="G419" s="2">
        <f t="shared" si="19"/>
        <v>13048</v>
      </c>
    </row>
    <row r="420" spans="1:7" x14ac:dyDescent="0.25">
      <c r="A420" t="str">
        <f t="shared" si="20"/>
        <v>Los Andes Población  de 15 a 64 años</v>
      </c>
      <c r="B420" t="s">
        <v>2147</v>
      </c>
      <c r="C420" t="s">
        <v>2024</v>
      </c>
      <c r="D420" t="s">
        <v>50</v>
      </c>
      <c r="E420" s="2" t="s">
        <v>2025</v>
      </c>
      <c r="F420">
        <f t="shared" si="18"/>
        <v>7</v>
      </c>
      <c r="G420" s="2">
        <f t="shared" si="19"/>
        <v>45425</v>
      </c>
    </row>
    <row r="421" spans="1:7" x14ac:dyDescent="0.25">
      <c r="A421" t="str">
        <f t="shared" si="20"/>
        <v>Los Andes Población de 65 años o mas</v>
      </c>
      <c r="B421" t="s">
        <v>2147</v>
      </c>
      <c r="C421" t="s">
        <v>2024</v>
      </c>
      <c r="D421" t="s">
        <v>46</v>
      </c>
      <c r="E421" s="2" t="s">
        <v>2023</v>
      </c>
      <c r="F421">
        <f t="shared" si="18"/>
        <v>7</v>
      </c>
      <c r="G421" s="2">
        <f t="shared" si="19"/>
        <v>10466</v>
      </c>
    </row>
    <row r="422" spans="1:7" x14ac:dyDescent="0.25">
      <c r="A422" t="str">
        <f t="shared" si="20"/>
        <v>Llaillay Hombre</v>
      </c>
      <c r="B422" t="s">
        <v>2147</v>
      </c>
      <c r="C422" t="s">
        <v>2017</v>
      </c>
      <c r="D422" t="s">
        <v>58</v>
      </c>
      <c r="E422" s="2" t="s">
        <v>2022</v>
      </c>
      <c r="F422">
        <f t="shared" si="18"/>
        <v>7</v>
      </c>
      <c r="G422" s="2">
        <f t="shared" si="19"/>
        <v>13506</v>
      </c>
    </row>
    <row r="423" spans="1:7" x14ac:dyDescent="0.25">
      <c r="A423" t="str">
        <f t="shared" si="20"/>
        <v>Llaillay Mujer</v>
      </c>
      <c r="B423" t="s">
        <v>2147</v>
      </c>
      <c r="C423" t="s">
        <v>2017</v>
      </c>
      <c r="D423" t="s">
        <v>56</v>
      </c>
      <c r="E423" s="2" t="s">
        <v>2021</v>
      </c>
      <c r="F423">
        <f t="shared" si="18"/>
        <v>7</v>
      </c>
      <c r="G423" s="2">
        <f t="shared" si="19"/>
        <v>13780</v>
      </c>
    </row>
    <row r="424" spans="1:7" x14ac:dyDescent="0.25">
      <c r="A424" t="str">
        <f t="shared" si="20"/>
        <v>Llaillay Población total</v>
      </c>
      <c r="B424" t="s">
        <v>2147</v>
      </c>
      <c r="C424" t="s">
        <v>2017</v>
      </c>
      <c r="D424" t="s">
        <v>54</v>
      </c>
      <c r="E424" s="2" t="s">
        <v>2020</v>
      </c>
      <c r="F424">
        <f t="shared" si="18"/>
        <v>7</v>
      </c>
      <c r="G424" s="2">
        <f t="shared" si="19"/>
        <v>27286</v>
      </c>
    </row>
    <row r="425" spans="1:7" x14ac:dyDescent="0.25">
      <c r="A425" t="str">
        <f t="shared" si="20"/>
        <v>Llaillay Población  de 0 a 14 años</v>
      </c>
      <c r="B425" t="s">
        <v>2147</v>
      </c>
      <c r="C425" t="s">
        <v>2017</v>
      </c>
      <c r="D425" t="s">
        <v>52</v>
      </c>
      <c r="E425" s="2" t="s">
        <v>2019</v>
      </c>
      <c r="F425">
        <f t="shared" si="18"/>
        <v>6</v>
      </c>
      <c r="G425" s="2">
        <f t="shared" si="19"/>
        <v>5335</v>
      </c>
    </row>
    <row r="426" spans="1:7" x14ac:dyDescent="0.25">
      <c r="A426" t="str">
        <f t="shared" si="20"/>
        <v>Llaillay Población  de 15 a 64 años</v>
      </c>
      <c r="B426" t="s">
        <v>2147</v>
      </c>
      <c r="C426" t="s">
        <v>2017</v>
      </c>
      <c r="D426" t="s">
        <v>50</v>
      </c>
      <c r="E426" s="2" t="s">
        <v>2018</v>
      </c>
      <c r="F426">
        <f t="shared" si="18"/>
        <v>7</v>
      </c>
      <c r="G426" s="2">
        <f t="shared" si="19"/>
        <v>17817</v>
      </c>
    </row>
    <row r="427" spans="1:7" x14ac:dyDescent="0.25">
      <c r="A427" t="str">
        <f t="shared" si="20"/>
        <v>Llaillay Población de 65 años o mas</v>
      </c>
      <c r="B427" t="s">
        <v>2147</v>
      </c>
      <c r="C427" t="s">
        <v>2017</v>
      </c>
      <c r="D427" t="s">
        <v>46</v>
      </c>
      <c r="E427" s="2" t="s">
        <v>2016</v>
      </c>
      <c r="F427">
        <f t="shared" si="18"/>
        <v>6</v>
      </c>
      <c r="G427" s="2">
        <f t="shared" si="19"/>
        <v>4134</v>
      </c>
    </row>
    <row r="428" spans="1:7" x14ac:dyDescent="0.25">
      <c r="A428" t="str">
        <f t="shared" si="20"/>
        <v>Rinconada Hombre</v>
      </c>
      <c r="B428" t="s">
        <v>2147</v>
      </c>
      <c r="C428" t="s">
        <v>2010</v>
      </c>
      <c r="D428" t="s">
        <v>58</v>
      </c>
      <c r="E428" s="2" t="s">
        <v>2015</v>
      </c>
      <c r="F428">
        <f t="shared" si="18"/>
        <v>6</v>
      </c>
      <c r="G428" s="2">
        <f t="shared" si="19"/>
        <v>5971</v>
      </c>
    </row>
    <row r="429" spans="1:7" x14ac:dyDescent="0.25">
      <c r="A429" t="str">
        <f t="shared" si="20"/>
        <v>Rinconada Mujer</v>
      </c>
      <c r="B429" t="s">
        <v>2147</v>
      </c>
      <c r="C429" t="s">
        <v>2010</v>
      </c>
      <c r="D429" t="s">
        <v>56</v>
      </c>
      <c r="E429" s="2" t="s">
        <v>2014</v>
      </c>
      <c r="F429">
        <f t="shared" si="18"/>
        <v>6</v>
      </c>
      <c r="G429" s="2">
        <f t="shared" si="19"/>
        <v>6059</v>
      </c>
    </row>
    <row r="430" spans="1:7" x14ac:dyDescent="0.25">
      <c r="A430" t="str">
        <f t="shared" si="20"/>
        <v>Rinconada Población total</v>
      </c>
      <c r="B430" t="s">
        <v>2147</v>
      </c>
      <c r="C430" t="s">
        <v>2010</v>
      </c>
      <c r="D430" t="s">
        <v>54</v>
      </c>
      <c r="E430" s="2" t="s">
        <v>2013</v>
      </c>
      <c r="F430">
        <f t="shared" si="18"/>
        <v>7</v>
      </c>
      <c r="G430" s="2">
        <f t="shared" si="19"/>
        <v>12030</v>
      </c>
    </row>
    <row r="431" spans="1:7" x14ac:dyDescent="0.25">
      <c r="A431" t="str">
        <f t="shared" si="20"/>
        <v>Rinconada Población  de 0 a 14 años</v>
      </c>
      <c r="B431" t="s">
        <v>2147</v>
      </c>
      <c r="C431" t="s">
        <v>2010</v>
      </c>
      <c r="D431" t="s">
        <v>52</v>
      </c>
      <c r="E431" s="2" t="s">
        <v>2012</v>
      </c>
      <c r="F431">
        <f t="shared" si="18"/>
        <v>6</v>
      </c>
      <c r="G431" s="2">
        <f t="shared" si="19"/>
        <v>2560</v>
      </c>
    </row>
    <row r="432" spans="1:7" x14ac:dyDescent="0.25">
      <c r="A432" t="str">
        <f t="shared" si="20"/>
        <v>Rinconada Población  de 15 a 64 años</v>
      </c>
      <c r="B432" t="s">
        <v>2147</v>
      </c>
      <c r="C432" t="s">
        <v>2010</v>
      </c>
      <c r="D432" t="s">
        <v>50</v>
      </c>
      <c r="E432" s="2" t="s">
        <v>2011</v>
      </c>
      <c r="F432">
        <f t="shared" si="18"/>
        <v>6</v>
      </c>
      <c r="G432" s="2">
        <f t="shared" si="19"/>
        <v>7867</v>
      </c>
    </row>
    <row r="433" spans="1:7" x14ac:dyDescent="0.25">
      <c r="A433" t="str">
        <f t="shared" si="20"/>
        <v>Rinconada Población de 65 años o mas</v>
      </c>
      <c r="B433" t="s">
        <v>2147</v>
      </c>
      <c r="C433" t="s">
        <v>2010</v>
      </c>
      <c r="D433" t="s">
        <v>46</v>
      </c>
      <c r="E433" s="2" t="s">
        <v>2009</v>
      </c>
      <c r="F433">
        <f t="shared" si="18"/>
        <v>6</v>
      </c>
      <c r="G433" s="2">
        <f t="shared" si="19"/>
        <v>1603</v>
      </c>
    </row>
    <row r="434" spans="1:7" x14ac:dyDescent="0.25">
      <c r="A434" t="str">
        <f t="shared" si="20"/>
        <v>Calle Larga Hombre</v>
      </c>
      <c r="B434" t="s">
        <v>2147</v>
      </c>
      <c r="C434" t="s">
        <v>2004</v>
      </c>
      <c r="D434" t="s">
        <v>58</v>
      </c>
      <c r="E434" s="2" t="s">
        <v>1993</v>
      </c>
      <c r="F434">
        <f t="shared" si="18"/>
        <v>6</v>
      </c>
      <c r="G434" s="2">
        <f t="shared" si="19"/>
        <v>8689</v>
      </c>
    </row>
    <row r="435" spans="1:7" x14ac:dyDescent="0.25">
      <c r="A435" t="str">
        <f t="shared" si="20"/>
        <v>Calle Larga Mujer</v>
      </c>
      <c r="B435" t="s">
        <v>2147</v>
      </c>
      <c r="C435" t="s">
        <v>2004</v>
      </c>
      <c r="D435" t="s">
        <v>56</v>
      </c>
      <c r="E435" s="2" t="s">
        <v>2008</v>
      </c>
      <c r="F435">
        <f t="shared" si="18"/>
        <v>6</v>
      </c>
      <c r="G435" s="2">
        <f t="shared" si="19"/>
        <v>8984</v>
      </c>
    </row>
    <row r="436" spans="1:7" x14ac:dyDescent="0.25">
      <c r="A436" t="str">
        <f t="shared" si="20"/>
        <v>Calle Larga Población total</v>
      </c>
      <c r="B436" t="s">
        <v>2147</v>
      </c>
      <c r="C436" t="s">
        <v>2004</v>
      </c>
      <c r="D436" t="s">
        <v>54</v>
      </c>
      <c r="E436" s="2" t="s">
        <v>2007</v>
      </c>
      <c r="F436">
        <f t="shared" si="18"/>
        <v>7</v>
      </c>
      <c r="G436" s="2">
        <f t="shared" si="19"/>
        <v>17673</v>
      </c>
    </row>
    <row r="437" spans="1:7" x14ac:dyDescent="0.25">
      <c r="A437" t="str">
        <f t="shared" si="20"/>
        <v>Calle Larga Población  de 0 a 14 años</v>
      </c>
      <c r="B437" t="s">
        <v>2147</v>
      </c>
      <c r="C437" t="s">
        <v>2004</v>
      </c>
      <c r="D437" t="s">
        <v>52</v>
      </c>
      <c r="E437" s="2" t="s">
        <v>2006</v>
      </c>
      <c r="F437">
        <f t="shared" si="18"/>
        <v>6</v>
      </c>
      <c r="G437" s="2">
        <f t="shared" si="19"/>
        <v>3676</v>
      </c>
    </row>
    <row r="438" spans="1:7" x14ac:dyDescent="0.25">
      <c r="A438" t="str">
        <f t="shared" si="20"/>
        <v>Calle Larga Población  de 15 a 64 años</v>
      </c>
      <c r="B438" t="s">
        <v>2147</v>
      </c>
      <c r="C438" t="s">
        <v>2004</v>
      </c>
      <c r="D438" t="s">
        <v>50</v>
      </c>
      <c r="E438" s="2" t="s">
        <v>2005</v>
      </c>
      <c r="F438">
        <f t="shared" si="18"/>
        <v>7</v>
      </c>
      <c r="G438" s="2">
        <f t="shared" si="19"/>
        <v>11552</v>
      </c>
    </row>
    <row r="439" spans="1:7" x14ac:dyDescent="0.25">
      <c r="A439" t="str">
        <f t="shared" si="20"/>
        <v>Calle Larga Población de 65 años o mas</v>
      </c>
      <c r="B439" t="s">
        <v>2147</v>
      </c>
      <c r="C439" t="s">
        <v>2004</v>
      </c>
      <c r="D439" t="s">
        <v>46</v>
      </c>
      <c r="E439" s="2" t="s">
        <v>235</v>
      </c>
      <c r="F439">
        <f t="shared" si="18"/>
        <v>6</v>
      </c>
      <c r="G439" s="2">
        <f t="shared" si="19"/>
        <v>2445</v>
      </c>
    </row>
    <row r="440" spans="1:7" x14ac:dyDescent="0.25">
      <c r="A440" t="str">
        <f t="shared" si="20"/>
        <v>Quillota Hombre</v>
      </c>
      <c r="B440" t="s">
        <v>2147</v>
      </c>
      <c r="C440" t="s">
        <v>1998</v>
      </c>
      <c r="D440" t="s">
        <v>58</v>
      </c>
      <c r="E440" s="2" t="s">
        <v>2003</v>
      </c>
      <c r="F440">
        <f t="shared" si="18"/>
        <v>7</v>
      </c>
      <c r="G440" s="2">
        <f t="shared" si="19"/>
        <v>49274</v>
      </c>
    </row>
    <row r="441" spans="1:7" x14ac:dyDescent="0.25">
      <c r="A441" t="str">
        <f t="shared" si="20"/>
        <v>Quillota Mujer</v>
      </c>
      <c r="B441" t="s">
        <v>2147</v>
      </c>
      <c r="C441" t="s">
        <v>1998</v>
      </c>
      <c r="D441" t="s">
        <v>56</v>
      </c>
      <c r="E441" s="2" t="s">
        <v>2002</v>
      </c>
      <c r="F441">
        <f t="shared" si="18"/>
        <v>7</v>
      </c>
      <c r="G441" s="2">
        <f t="shared" si="19"/>
        <v>51698</v>
      </c>
    </row>
    <row r="442" spans="1:7" x14ac:dyDescent="0.25">
      <c r="A442" t="str">
        <f t="shared" si="20"/>
        <v>Quillota Población total</v>
      </c>
      <c r="B442" t="s">
        <v>2147</v>
      </c>
      <c r="C442" t="s">
        <v>1998</v>
      </c>
      <c r="D442" t="s">
        <v>54</v>
      </c>
      <c r="E442" s="2" t="s">
        <v>2001</v>
      </c>
      <c r="F442">
        <f t="shared" si="18"/>
        <v>8</v>
      </c>
      <c r="G442" s="2">
        <f t="shared" si="19"/>
        <v>100972</v>
      </c>
    </row>
    <row r="443" spans="1:7" x14ac:dyDescent="0.25">
      <c r="A443" t="str">
        <f t="shared" si="20"/>
        <v>Quillota Población  de 0 a 14 años</v>
      </c>
      <c r="B443" t="s">
        <v>2147</v>
      </c>
      <c r="C443" t="s">
        <v>1998</v>
      </c>
      <c r="D443" t="s">
        <v>52</v>
      </c>
      <c r="E443" s="2" t="s">
        <v>2000</v>
      </c>
      <c r="F443">
        <f t="shared" si="18"/>
        <v>7</v>
      </c>
      <c r="G443" s="2">
        <f t="shared" si="19"/>
        <v>18480</v>
      </c>
    </row>
    <row r="444" spans="1:7" x14ac:dyDescent="0.25">
      <c r="A444" t="str">
        <f t="shared" si="20"/>
        <v>Quillota Población  de 15 a 64 años</v>
      </c>
      <c r="B444" t="s">
        <v>2147</v>
      </c>
      <c r="C444" t="s">
        <v>1998</v>
      </c>
      <c r="D444" t="s">
        <v>50</v>
      </c>
      <c r="E444" s="2" t="s">
        <v>1999</v>
      </c>
      <c r="F444">
        <f t="shared" si="18"/>
        <v>7</v>
      </c>
      <c r="G444" s="2">
        <f t="shared" si="19"/>
        <v>66224</v>
      </c>
    </row>
    <row r="445" spans="1:7" x14ac:dyDescent="0.25">
      <c r="A445" t="str">
        <f t="shared" si="20"/>
        <v>Quillota Población de 65 años o mas</v>
      </c>
      <c r="B445" t="s">
        <v>2147</v>
      </c>
      <c r="C445" t="s">
        <v>1998</v>
      </c>
      <c r="D445" t="s">
        <v>46</v>
      </c>
      <c r="E445" s="2" t="s">
        <v>1997</v>
      </c>
      <c r="F445">
        <f t="shared" si="18"/>
        <v>7</v>
      </c>
      <c r="G445" s="2">
        <f t="shared" si="19"/>
        <v>16268</v>
      </c>
    </row>
    <row r="446" spans="1:7" x14ac:dyDescent="0.25">
      <c r="A446" t="str">
        <f t="shared" si="20"/>
        <v>Concón Hombre</v>
      </c>
      <c r="B446" t="s">
        <v>2147</v>
      </c>
      <c r="C446" t="s">
        <v>1991</v>
      </c>
      <c r="D446" t="s">
        <v>58</v>
      </c>
      <c r="E446" s="2" t="s">
        <v>1996</v>
      </c>
      <c r="F446">
        <f t="shared" si="18"/>
        <v>7</v>
      </c>
      <c r="G446" s="2">
        <f t="shared" si="19"/>
        <v>23578</v>
      </c>
    </row>
    <row r="447" spans="1:7" x14ac:dyDescent="0.25">
      <c r="A447" t="str">
        <f t="shared" si="20"/>
        <v>Concón Mujer</v>
      </c>
      <c r="B447" t="s">
        <v>2147</v>
      </c>
      <c r="C447" t="s">
        <v>1991</v>
      </c>
      <c r="D447" t="s">
        <v>56</v>
      </c>
      <c r="E447" s="2" t="s">
        <v>1995</v>
      </c>
      <c r="F447">
        <f t="shared" si="18"/>
        <v>7</v>
      </c>
      <c r="G447" s="2">
        <f t="shared" si="19"/>
        <v>24593</v>
      </c>
    </row>
    <row r="448" spans="1:7" x14ac:dyDescent="0.25">
      <c r="A448" t="str">
        <f t="shared" si="20"/>
        <v>Concón Población total</v>
      </c>
      <c r="B448" t="s">
        <v>2147</v>
      </c>
      <c r="C448" t="s">
        <v>1991</v>
      </c>
      <c r="D448" t="s">
        <v>54</v>
      </c>
      <c r="E448" s="2" t="s">
        <v>1994</v>
      </c>
      <c r="F448">
        <f t="shared" si="18"/>
        <v>7</v>
      </c>
      <c r="G448" s="2">
        <f t="shared" si="19"/>
        <v>48171</v>
      </c>
    </row>
    <row r="449" spans="1:7" x14ac:dyDescent="0.25">
      <c r="A449" t="str">
        <f t="shared" si="20"/>
        <v>Concón Población  de 0 a 14 años</v>
      </c>
      <c r="B449" t="s">
        <v>2147</v>
      </c>
      <c r="C449" t="s">
        <v>1991</v>
      </c>
      <c r="D449" t="s">
        <v>52</v>
      </c>
      <c r="E449" s="2" t="s">
        <v>1993</v>
      </c>
      <c r="F449">
        <f t="shared" si="18"/>
        <v>6</v>
      </c>
      <c r="G449" s="2">
        <f t="shared" si="19"/>
        <v>8689</v>
      </c>
    </row>
    <row r="450" spans="1:7" x14ac:dyDescent="0.25">
      <c r="A450" t="str">
        <f t="shared" si="20"/>
        <v>Concón Población  de 15 a 64 años</v>
      </c>
      <c r="B450" t="s">
        <v>2147</v>
      </c>
      <c r="C450" t="s">
        <v>1991</v>
      </c>
      <c r="D450" t="s">
        <v>50</v>
      </c>
      <c r="E450" s="2" t="s">
        <v>1992</v>
      </c>
      <c r="F450">
        <f t="shared" ref="F450:F513" si="21">+FIND(".",E450)</f>
        <v>7</v>
      </c>
      <c r="G450" s="2">
        <f t="shared" ref="G450:G513" si="22">+LEFT(E450,(F450-1))*1</f>
        <v>32557</v>
      </c>
    </row>
    <row r="451" spans="1:7" x14ac:dyDescent="0.25">
      <c r="A451" t="str">
        <f t="shared" ref="A451:A514" si="23">+C451&amp;D451</f>
        <v>Concón Población de 65 años o mas</v>
      </c>
      <c r="B451" t="s">
        <v>2147</v>
      </c>
      <c r="C451" t="s">
        <v>1991</v>
      </c>
      <c r="D451" t="s">
        <v>46</v>
      </c>
      <c r="E451" s="2" t="s">
        <v>1990</v>
      </c>
      <c r="F451">
        <f t="shared" si="21"/>
        <v>6</v>
      </c>
      <c r="G451" s="2">
        <f t="shared" si="22"/>
        <v>6925</v>
      </c>
    </row>
    <row r="452" spans="1:7" x14ac:dyDescent="0.25">
      <c r="A452" t="str">
        <f t="shared" si="23"/>
        <v>Olmué Hombre</v>
      </c>
      <c r="B452" t="s">
        <v>2147</v>
      </c>
      <c r="C452" t="s">
        <v>1984</v>
      </c>
      <c r="D452" t="s">
        <v>58</v>
      </c>
      <c r="E452" s="2" t="s">
        <v>1989</v>
      </c>
      <c r="F452">
        <f t="shared" si="21"/>
        <v>6</v>
      </c>
      <c r="G452" s="2">
        <f t="shared" si="22"/>
        <v>9956</v>
      </c>
    </row>
    <row r="453" spans="1:7" x14ac:dyDescent="0.25">
      <c r="A453" t="str">
        <f t="shared" si="23"/>
        <v>Olmué Mujer</v>
      </c>
      <c r="B453" t="s">
        <v>2147</v>
      </c>
      <c r="C453" t="s">
        <v>1984</v>
      </c>
      <c r="D453" t="s">
        <v>56</v>
      </c>
      <c r="E453" s="2" t="s">
        <v>1988</v>
      </c>
      <c r="F453">
        <f t="shared" si="21"/>
        <v>7</v>
      </c>
      <c r="G453" s="2">
        <f t="shared" si="22"/>
        <v>10291</v>
      </c>
    </row>
    <row r="454" spans="1:7" x14ac:dyDescent="0.25">
      <c r="A454" t="str">
        <f t="shared" si="23"/>
        <v>Olmué Población total</v>
      </c>
      <c r="B454" t="s">
        <v>2147</v>
      </c>
      <c r="C454" t="s">
        <v>1984</v>
      </c>
      <c r="D454" t="s">
        <v>54</v>
      </c>
      <c r="E454" s="2" t="s">
        <v>1987</v>
      </c>
      <c r="F454">
        <f t="shared" si="21"/>
        <v>7</v>
      </c>
      <c r="G454" s="2">
        <f t="shared" si="22"/>
        <v>20247</v>
      </c>
    </row>
    <row r="455" spans="1:7" x14ac:dyDescent="0.25">
      <c r="A455" t="str">
        <f t="shared" si="23"/>
        <v>Olmué Población  de 0 a 14 años</v>
      </c>
      <c r="B455" t="s">
        <v>2147</v>
      </c>
      <c r="C455" t="s">
        <v>1984</v>
      </c>
      <c r="D455" t="s">
        <v>52</v>
      </c>
      <c r="E455" s="2" t="s">
        <v>1986</v>
      </c>
      <c r="F455">
        <f t="shared" si="21"/>
        <v>6</v>
      </c>
      <c r="G455" s="2">
        <f t="shared" si="22"/>
        <v>3481</v>
      </c>
    </row>
    <row r="456" spans="1:7" x14ac:dyDescent="0.25">
      <c r="A456" t="str">
        <f t="shared" si="23"/>
        <v>Olmué Población  de 15 a 64 años</v>
      </c>
      <c r="B456" t="s">
        <v>2147</v>
      </c>
      <c r="C456" t="s">
        <v>1984</v>
      </c>
      <c r="D456" t="s">
        <v>50</v>
      </c>
      <c r="E456" s="2" t="s">
        <v>1985</v>
      </c>
      <c r="F456">
        <f t="shared" si="21"/>
        <v>7</v>
      </c>
      <c r="G456" s="2">
        <f t="shared" si="22"/>
        <v>12861</v>
      </c>
    </row>
    <row r="457" spans="1:7" x14ac:dyDescent="0.25">
      <c r="A457" t="str">
        <f t="shared" si="23"/>
        <v>Olmué Población de 65 años o mas</v>
      </c>
      <c r="B457" t="s">
        <v>2147</v>
      </c>
      <c r="C457" t="s">
        <v>1984</v>
      </c>
      <c r="D457" t="s">
        <v>46</v>
      </c>
      <c r="E457" s="2" t="s">
        <v>1983</v>
      </c>
      <c r="F457">
        <f t="shared" si="21"/>
        <v>6</v>
      </c>
      <c r="G457" s="2">
        <f t="shared" si="22"/>
        <v>3905</v>
      </c>
    </row>
    <row r="458" spans="1:7" x14ac:dyDescent="0.25">
      <c r="A458" t="str">
        <f t="shared" si="23"/>
        <v>Limache Hombre</v>
      </c>
      <c r="B458" t="s">
        <v>2147</v>
      </c>
      <c r="C458" t="s">
        <v>1977</v>
      </c>
      <c r="D458" t="s">
        <v>58</v>
      </c>
      <c r="E458" s="2" t="s">
        <v>1982</v>
      </c>
      <c r="F458">
        <f t="shared" si="21"/>
        <v>7</v>
      </c>
      <c r="G458" s="2">
        <f t="shared" si="22"/>
        <v>25142</v>
      </c>
    </row>
    <row r="459" spans="1:7" x14ac:dyDescent="0.25">
      <c r="A459" t="str">
        <f t="shared" si="23"/>
        <v>Limache Mujer</v>
      </c>
      <c r="B459" t="s">
        <v>2147</v>
      </c>
      <c r="C459" t="s">
        <v>1977</v>
      </c>
      <c r="D459" t="s">
        <v>56</v>
      </c>
      <c r="E459" s="2" t="s">
        <v>1981</v>
      </c>
      <c r="F459">
        <f t="shared" si="21"/>
        <v>7</v>
      </c>
      <c r="G459" s="2">
        <f t="shared" si="22"/>
        <v>26555</v>
      </c>
    </row>
    <row r="460" spans="1:7" x14ac:dyDescent="0.25">
      <c r="A460" t="str">
        <f t="shared" si="23"/>
        <v>Limache Población total</v>
      </c>
      <c r="B460" t="s">
        <v>2147</v>
      </c>
      <c r="C460" t="s">
        <v>1977</v>
      </c>
      <c r="D460" t="s">
        <v>54</v>
      </c>
      <c r="E460" s="2" t="s">
        <v>1980</v>
      </c>
      <c r="F460">
        <f t="shared" si="21"/>
        <v>7</v>
      </c>
      <c r="G460" s="2">
        <f t="shared" si="22"/>
        <v>51697</v>
      </c>
    </row>
    <row r="461" spans="1:7" x14ac:dyDescent="0.25">
      <c r="A461" t="str">
        <f t="shared" si="23"/>
        <v>Limache Población  de 0 a 14 años</v>
      </c>
      <c r="B461" t="s">
        <v>2147</v>
      </c>
      <c r="C461" t="s">
        <v>1977</v>
      </c>
      <c r="D461" t="s">
        <v>52</v>
      </c>
      <c r="E461" s="2" t="s">
        <v>1979</v>
      </c>
      <c r="F461">
        <f t="shared" si="21"/>
        <v>6</v>
      </c>
      <c r="G461" s="2">
        <f t="shared" si="22"/>
        <v>9622</v>
      </c>
    </row>
    <row r="462" spans="1:7" x14ac:dyDescent="0.25">
      <c r="A462" t="str">
        <f t="shared" si="23"/>
        <v>Limache Población  de 15 a 64 años</v>
      </c>
      <c r="B462" t="s">
        <v>2147</v>
      </c>
      <c r="C462" t="s">
        <v>1977</v>
      </c>
      <c r="D462" t="s">
        <v>50</v>
      </c>
      <c r="E462" s="2" t="s">
        <v>1978</v>
      </c>
      <c r="F462">
        <f t="shared" si="21"/>
        <v>7</v>
      </c>
      <c r="G462" s="2">
        <f t="shared" si="22"/>
        <v>33293</v>
      </c>
    </row>
    <row r="463" spans="1:7" x14ac:dyDescent="0.25">
      <c r="A463" t="str">
        <f t="shared" si="23"/>
        <v>Limache Población de 65 años o mas</v>
      </c>
      <c r="B463" t="s">
        <v>2147</v>
      </c>
      <c r="C463" t="s">
        <v>1977</v>
      </c>
      <c r="D463" t="s">
        <v>46</v>
      </c>
      <c r="E463" s="2" t="s">
        <v>1976</v>
      </c>
      <c r="F463">
        <f t="shared" si="21"/>
        <v>6</v>
      </c>
      <c r="G463" s="2">
        <f t="shared" si="22"/>
        <v>8782</v>
      </c>
    </row>
    <row r="464" spans="1:7" x14ac:dyDescent="0.25">
      <c r="A464" t="str">
        <f t="shared" si="23"/>
        <v>Viña Del Mar Hombre</v>
      </c>
      <c r="B464" t="s">
        <v>2147</v>
      </c>
      <c r="C464" t="s">
        <v>1970</v>
      </c>
      <c r="D464" t="s">
        <v>58</v>
      </c>
      <c r="E464" s="2" t="s">
        <v>1975</v>
      </c>
      <c r="F464">
        <f t="shared" si="21"/>
        <v>8</v>
      </c>
      <c r="G464" s="2">
        <f t="shared" si="22"/>
        <v>179355</v>
      </c>
    </row>
    <row r="465" spans="1:7" x14ac:dyDescent="0.25">
      <c r="A465" t="str">
        <f t="shared" si="23"/>
        <v>Viña Del Mar Mujer</v>
      </c>
      <c r="B465" t="s">
        <v>2147</v>
      </c>
      <c r="C465" t="s">
        <v>1970</v>
      </c>
      <c r="D465" t="s">
        <v>56</v>
      </c>
      <c r="E465" s="2" t="s">
        <v>1974</v>
      </c>
      <c r="F465">
        <f t="shared" si="21"/>
        <v>8</v>
      </c>
      <c r="G465" s="2">
        <f t="shared" si="22"/>
        <v>192135</v>
      </c>
    </row>
    <row r="466" spans="1:7" x14ac:dyDescent="0.25">
      <c r="A466" t="str">
        <f t="shared" si="23"/>
        <v>Viña Del Mar Población total</v>
      </c>
      <c r="B466" t="s">
        <v>2147</v>
      </c>
      <c r="C466" t="s">
        <v>1970</v>
      </c>
      <c r="D466" t="s">
        <v>54</v>
      </c>
      <c r="E466" s="2" t="s">
        <v>1973</v>
      </c>
      <c r="F466">
        <f t="shared" si="21"/>
        <v>8</v>
      </c>
      <c r="G466" s="2">
        <f t="shared" si="22"/>
        <v>371490</v>
      </c>
    </row>
    <row r="467" spans="1:7" x14ac:dyDescent="0.25">
      <c r="A467" t="str">
        <f t="shared" si="23"/>
        <v>Viña Del Mar Población  de 0 a 14 años</v>
      </c>
      <c r="B467" t="s">
        <v>2147</v>
      </c>
      <c r="C467" t="s">
        <v>1970</v>
      </c>
      <c r="D467" t="s">
        <v>52</v>
      </c>
      <c r="E467" s="2" t="s">
        <v>1972</v>
      </c>
      <c r="F467">
        <f t="shared" si="21"/>
        <v>7</v>
      </c>
      <c r="G467" s="2">
        <f t="shared" si="22"/>
        <v>56391</v>
      </c>
    </row>
    <row r="468" spans="1:7" x14ac:dyDescent="0.25">
      <c r="A468" t="str">
        <f t="shared" si="23"/>
        <v>Viña Del Mar Población  de 15 a 64 años</v>
      </c>
      <c r="B468" t="s">
        <v>2147</v>
      </c>
      <c r="C468" t="s">
        <v>1970</v>
      </c>
      <c r="D468" t="s">
        <v>50</v>
      </c>
      <c r="E468" s="2" t="s">
        <v>1971</v>
      </c>
      <c r="F468">
        <f t="shared" si="21"/>
        <v>8</v>
      </c>
      <c r="G468" s="2">
        <f t="shared" si="22"/>
        <v>248168</v>
      </c>
    </row>
    <row r="469" spans="1:7" x14ac:dyDescent="0.25">
      <c r="A469" t="str">
        <f t="shared" si="23"/>
        <v>Viña Del Mar Población de 65 años o mas</v>
      </c>
      <c r="B469" t="s">
        <v>2147</v>
      </c>
      <c r="C469" t="s">
        <v>1970</v>
      </c>
      <c r="D469" t="s">
        <v>46</v>
      </c>
      <c r="E469" s="2" t="s">
        <v>1969</v>
      </c>
      <c r="F469">
        <f t="shared" si="21"/>
        <v>7</v>
      </c>
      <c r="G469" s="2">
        <f t="shared" si="22"/>
        <v>66931</v>
      </c>
    </row>
    <row r="470" spans="1:7" x14ac:dyDescent="0.25">
      <c r="A470" t="str">
        <f t="shared" si="23"/>
        <v>Valparaíso Hombre</v>
      </c>
      <c r="B470" t="s">
        <v>2147</v>
      </c>
      <c r="C470" t="s">
        <v>1963</v>
      </c>
      <c r="D470" t="s">
        <v>58</v>
      </c>
      <c r="E470" s="2" t="s">
        <v>1968</v>
      </c>
      <c r="F470">
        <f t="shared" si="21"/>
        <v>8</v>
      </c>
      <c r="G470" s="2">
        <f t="shared" si="22"/>
        <v>157693</v>
      </c>
    </row>
    <row r="471" spans="1:7" x14ac:dyDescent="0.25">
      <c r="A471" t="str">
        <f t="shared" si="23"/>
        <v>Valparaíso Mujer</v>
      </c>
      <c r="B471" t="s">
        <v>2147</v>
      </c>
      <c r="C471" t="s">
        <v>1963</v>
      </c>
      <c r="D471" t="s">
        <v>56</v>
      </c>
      <c r="E471" s="2" t="s">
        <v>1967</v>
      </c>
      <c r="F471">
        <f t="shared" si="21"/>
        <v>8</v>
      </c>
      <c r="G471" s="2">
        <f t="shared" si="22"/>
        <v>163123</v>
      </c>
    </row>
    <row r="472" spans="1:7" x14ac:dyDescent="0.25">
      <c r="A472" t="str">
        <f t="shared" si="23"/>
        <v>Valparaíso Población total</v>
      </c>
      <c r="B472" t="s">
        <v>2147</v>
      </c>
      <c r="C472" t="s">
        <v>1963</v>
      </c>
      <c r="D472" t="s">
        <v>54</v>
      </c>
      <c r="E472" s="2" t="s">
        <v>1966</v>
      </c>
      <c r="F472">
        <f t="shared" si="21"/>
        <v>8</v>
      </c>
      <c r="G472" s="2">
        <f t="shared" si="22"/>
        <v>320816</v>
      </c>
    </row>
    <row r="473" spans="1:7" x14ac:dyDescent="0.25">
      <c r="A473" t="str">
        <f t="shared" si="23"/>
        <v>Valparaíso Población  de 0 a 14 años</v>
      </c>
      <c r="B473" t="s">
        <v>2147</v>
      </c>
      <c r="C473" t="s">
        <v>1963</v>
      </c>
      <c r="D473" t="s">
        <v>52</v>
      </c>
      <c r="E473" s="2" t="s">
        <v>1965</v>
      </c>
      <c r="F473">
        <f t="shared" si="21"/>
        <v>7</v>
      </c>
      <c r="G473" s="2">
        <f t="shared" si="22"/>
        <v>52366</v>
      </c>
    </row>
    <row r="474" spans="1:7" x14ac:dyDescent="0.25">
      <c r="A474" t="str">
        <f t="shared" si="23"/>
        <v>Valparaíso Población  de 15 a 64 años</v>
      </c>
      <c r="B474" t="s">
        <v>2147</v>
      </c>
      <c r="C474" t="s">
        <v>1963</v>
      </c>
      <c r="D474" t="s">
        <v>50</v>
      </c>
      <c r="E474" s="2" t="s">
        <v>1964</v>
      </c>
      <c r="F474">
        <f t="shared" si="21"/>
        <v>8</v>
      </c>
      <c r="G474" s="2">
        <f t="shared" si="22"/>
        <v>215854</v>
      </c>
    </row>
    <row r="475" spans="1:7" x14ac:dyDescent="0.25">
      <c r="A475" t="str">
        <f t="shared" si="23"/>
        <v>Valparaíso Población de 65 años o mas</v>
      </c>
      <c r="B475" t="s">
        <v>2147</v>
      </c>
      <c r="C475" t="s">
        <v>1963</v>
      </c>
      <c r="D475" t="s">
        <v>46</v>
      </c>
      <c r="E475" s="2" t="s">
        <v>1962</v>
      </c>
      <c r="F475">
        <f t="shared" si="21"/>
        <v>7</v>
      </c>
      <c r="G475" s="2">
        <f t="shared" si="22"/>
        <v>52596</v>
      </c>
    </row>
    <row r="476" spans="1:7" x14ac:dyDescent="0.25">
      <c r="A476" t="str">
        <f t="shared" si="23"/>
        <v>Villa Alemana Hombre</v>
      </c>
      <c r="B476" t="s">
        <v>2147</v>
      </c>
      <c r="C476" t="s">
        <v>1956</v>
      </c>
      <c r="D476" t="s">
        <v>58</v>
      </c>
      <c r="E476" s="2" t="s">
        <v>1961</v>
      </c>
      <c r="F476">
        <f t="shared" si="21"/>
        <v>7</v>
      </c>
      <c r="G476" s="2">
        <f t="shared" si="22"/>
        <v>71537</v>
      </c>
    </row>
    <row r="477" spans="1:7" x14ac:dyDescent="0.25">
      <c r="A477" t="str">
        <f t="shared" si="23"/>
        <v>Villa Alemana Mujer</v>
      </c>
      <c r="B477" t="s">
        <v>2147</v>
      </c>
      <c r="C477" t="s">
        <v>1956</v>
      </c>
      <c r="D477" t="s">
        <v>56</v>
      </c>
      <c r="E477" s="2" t="s">
        <v>1960</v>
      </c>
      <c r="F477">
        <f t="shared" si="21"/>
        <v>7</v>
      </c>
      <c r="G477" s="2">
        <f t="shared" si="22"/>
        <v>75881</v>
      </c>
    </row>
    <row r="478" spans="1:7" x14ac:dyDescent="0.25">
      <c r="A478" t="str">
        <f t="shared" si="23"/>
        <v>Villa Alemana Población total</v>
      </c>
      <c r="B478" t="s">
        <v>2147</v>
      </c>
      <c r="C478" t="s">
        <v>1956</v>
      </c>
      <c r="D478" t="s">
        <v>54</v>
      </c>
      <c r="E478" s="2" t="s">
        <v>1959</v>
      </c>
      <c r="F478">
        <f t="shared" si="21"/>
        <v>8</v>
      </c>
      <c r="G478" s="2">
        <f t="shared" si="22"/>
        <v>147418</v>
      </c>
    </row>
    <row r="479" spans="1:7" x14ac:dyDescent="0.25">
      <c r="A479" t="str">
        <f t="shared" si="23"/>
        <v>Villa Alemana Población  de 0 a 14 años</v>
      </c>
      <c r="B479" t="s">
        <v>2147</v>
      </c>
      <c r="C479" t="s">
        <v>1956</v>
      </c>
      <c r="D479" t="s">
        <v>52</v>
      </c>
      <c r="E479" s="2" t="s">
        <v>1958</v>
      </c>
      <c r="F479">
        <f t="shared" si="21"/>
        <v>7</v>
      </c>
      <c r="G479" s="2">
        <f t="shared" si="22"/>
        <v>27008</v>
      </c>
    </row>
    <row r="480" spans="1:7" x14ac:dyDescent="0.25">
      <c r="A480" t="str">
        <f t="shared" si="23"/>
        <v>Villa Alemana Población  de 15 a 64 años</v>
      </c>
      <c r="B480" t="s">
        <v>2147</v>
      </c>
      <c r="C480" t="s">
        <v>1956</v>
      </c>
      <c r="D480" t="s">
        <v>50</v>
      </c>
      <c r="E480" s="2" t="s">
        <v>1957</v>
      </c>
      <c r="F480">
        <f t="shared" si="21"/>
        <v>7</v>
      </c>
      <c r="G480" s="2">
        <f t="shared" si="22"/>
        <v>96987</v>
      </c>
    </row>
    <row r="481" spans="1:7" x14ac:dyDescent="0.25">
      <c r="A481" t="str">
        <f t="shared" si="23"/>
        <v>Villa Alemana Población de 65 años o mas</v>
      </c>
      <c r="B481" t="s">
        <v>2147</v>
      </c>
      <c r="C481" t="s">
        <v>1956</v>
      </c>
      <c r="D481" t="s">
        <v>46</v>
      </c>
      <c r="E481" s="2" t="s">
        <v>1955</v>
      </c>
      <c r="F481">
        <f t="shared" si="21"/>
        <v>7</v>
      </c>
      <c r="G481" s="2">
        <f t="shared" si="22"/>
        <v>23423</v>
      </c>
    </row>
    <row r="482" spans="1:7" x14ac:dyDescent="0.25">
      <c r="A482" t="str">
        <f t="shared" si="23"/>
        <v>Quilpué Hombre</v>
      </c>
      <c r="B482" t="s">
        <v>2147</v>
      </c>
      <c r="C482" t="s">
        <v>1949</v>
      </c>
      <c r="D482" t="s">
        <v>58</v>
      </c>
      <c r="E482" s="2" t="s">
        <v>1954</v>
      </c>
      <c r="F482">
        <f t="shared" si="21"/>
        <v>7</v>
      </c>
      <c r="G482" s="2">
        <f t="shared" si="22"/>
        <v>84226</v>
      </c>
    </row>
    <row r="483" spans="1:7" x14ac:dyDescent="0.25">
      <c r="A483" t="str">
        <f t="shared" si="23"/>
        <v>Quilpué Mujer</v>
      </c>
      <c r="B483" t="s">
        <v>2147</v>
      </c>
      <c r="C483" t="s">
        <v>1949</v>
      </c>
      <c r="D483" t="s">
        <v>56</v>
      </c>
      <c r="E483" s="2" t="s">
        <v>1953</v>
      </c>
      <c r="F483">
        <f t="shared" si="21"/>
        <v>7</v>
      </c>
      <c r="G483" s="2">
        <f t="shared" si="22"/>
        <v>89365</v>
      </c>
    </row>
    <row r="484" spans="1:7" x14ac:dyDescent="0.25">
      <c r="A484" t="str">
        <f t="shared" si="23"/>
        <v>Quilpué Población total</v>
      </c>
      <c r="B484" t="s">
        <v>2147</v>
      </c>
      <c r="C484" t="s">
        <v>1949</v>
      </c>
      <c r="D484" t="s">
        <v>54</v>
      </c>
      <c r="E484" s="2" t="s">
        <v>1952</v>
      </c>
      <c r="F484">
        <f t="shared" si="21"/>
        <v>8</v>
      </c>
      <c r="G484" s="2">
        <f t="shared" si="22"/>
        <v>173591</v>
      </c>
    </row>
    <row r="485" spans="1:7" x14ac:dyDescent="0.25">
      <c r="A485" t="str">
        <f t="shared" si="23"/>
        <v>Quilpué Población  de 0 a 14 años</v>
      </c>
      <c r="B485" t="s">
        <v>2147</v>
      </c>
      <c r="C485" t="s">
        <v>1949</v>
      </c>
      <c r="D485" t="s">
        <v>52</v>
      </c>
      <c r="E485" s="2" t="s">
        <v>1951</v>
      </c>
      <c r="F485">
        <f t="shared" si="21"/>
        <v>7</v>
      </c>
      <c r="G485" s="2">
        <f t="shared" si="22"/>
        <v>29151</v>
      </c>
    </row>
    <row r="486" spans="1:7" x14ac:dyDescent="0.25">
      <c r="A486" t="str">
        <f t="shared" si="23"/>
        <v>Quilpué Población  de 15 a 64 años</v>
      </c>
      <c r="B486" t="s">
        <v>2147</v>
      </c>
      <c r="C486" t="s">
        <v>1949</v>
      </c>
      <c r="D486" t="s">
        <v>50</v>
      </c>
      <c r="E486" s="2" t="s">
        <v>1950</v>
      </c>
      <c r="F486">
        <f t="shared" si="21"/>
        <v>8</v>
      </c>
      <c r="G486" s="2">
        <f t="shared" si="22"/>
        <v>113575</v>
      </c>
    </row>
    <row r="487" spans="1:7" x14ac:dyDescent="0.25">
      <c r="A487" t="str">
        <f t="shared" si="23"/>
        <v>Quilpué Población de 65 años o mas</v>
      </c>
      <c r="B487" t="s">
        <v>2147</v>
      </c>
      <c r="C487" t="s">
        <v>1949</v>
      </c>
      <c r="D487" t="s">
        <v>46</v>
      </c>
      <c r="E487" s="2" t="s">
        <v>1948</v>
      </c>
      <c r="F487">
        <f t="shared" si="21"/>
        <v>7</v>
      </c>
      <c r="G487" s="2">
        <f t="shared" si="22"/>
        <v>30865</v>
      </c>
    </row>
    <row r="488" spans="1:7" x14ac:dyDescent="0.25">
      <c r="A488" t="str">
        <f t="shared" si="23"/>
        <v>Casablanca Hombre</v>
      </c>
      <c r="B488" t="s">
        <v>2147</v>
      </c>
      <c r="C488" t="s">
        <v>1942</v>
      </c>
      <c r="D488" t="s">
        <v>58</v>
      </c>
      <c r="E488" s="2" t="s">
        <v>1947</v>
      </c>
      <c r="F488">
        <f t="shared" si="21"/>
        <v>7</v>
      </c>
      <c r="G488" s="2">
        <f t="shared" si="22"/>
        <v>15069</v>
      </c>
    </row>
    <row r="489" spans="1:7" x14ac:dyDescent="0.25">
      <c r="A489" t="str">
        <f t="shared" si="23"/>
        <v>Casablanca Mujer</v>
      </c>
      <c r="B489" t="s">
        <v>2147</v>
      </c>
      <c r="C489" t="s">
        <v>1942</v>
      </c>
      <c r="D489" t="s">
        <v>56</v>
      </c>
      <c r="E489" s="2" t="s">
        <v>1946</v>
      </c>
      <c r="F489">
        <f t="shared" si="21"/>
        <v>7</v>
      </c>
      <c r="G489" s="2">
        <f t="shared" si="22"/>
        <v>15474</v>
      </c>
    </row>
    <row r="490" spans="1:7" x14ac:dyDescent="0.25">
      <c r="A490" t="str">
        <f t="shared" si="23"/>
        <v>Casablanca Población total</v>
      </c>
      <c r="B490" t="s">
        <v>2147</v>
      </c>
      <c r="C490" t="s">
        <v>1942</v>
      </c>
      <c r="D490" t="s">
        <v>54</v>
      </c>
      <c r="E490" s="2" t="s">
        <v>1945</v>
      </c>
      <c r="F490">
        <f t="shared" si="21"/>
        <v>7</v>
      </c>
      <c r="G490" s="2">
        <f t="shared" si="22"/>
        <v>30543</v>
      </c>
    </row>
    <row r="491" spans="1:7" x14ac:dyDescent="0.25">
      <c r="A491" t="str">
        <f t="shared" si="23"/>
        <v>Casablanca Población  de 0 a 14 años</v>
      </c>
      <c r="B491" t="s">
        <v>2147</v>
      </c>
      <c r="C491" t="s">
        <v>1942</v>
      </c>
      <c r="D491" t="s">
        <v>52</v>
      </c>
      <c r="E491" s="2" t="s">
        <v>1944</v>
      </c>
      <c r="F491">
        <f t="shared" si="21"/>
        <v>6</v>
      </c>
      <c r="G491" s="2">
        <f t="shared" si="22"/>
        <v>5728</v>
      </c>
    </row>
    <row r="492" spans="1:7" x14ac:dyDescent="0.25">
      <c r="A492" t="str">
        <f t="shared" si="23"/>
        <v>Casablanca Población  de 15 a 64 años</v>
      </c>
      <c r="B492" t="s">
        <v>2147</v>
      </c>
      <c r="C492" t="s">
        <v>1942</v>
      </c>
      <c r="D492" t="s">
        <v>50</v>
      </c>
      <c r="E492" s="2" t="s">
        <v>1943</v>
      </c>
      <c r="F492">
        <f t="shared" si="21"/>
        <v>7</v>
      </c>
      <c r="G492" s="2">
        <f t="shared" si="22"/>
        <v>20244</v>
      </c>
    </row>
    <row r="493" spans="1:7" x14ac:dyDescent="0.25">
      <c r="A493" t="str">
        <f t="shared" si="23"/>
        <v>Casablanca Población de 65 años o mas</v>
      </c>
      <c r="B493" t="s">
        <v>2147</v>
      </c>
      <c r="C493" t="s">
        <v>1942</v>
      </c>
      <c r="D493" t="s">
        <v>46</v>
      </c>
      <c r="E493" s="2" t="s">
        <v>1941</v>
      </c>
      <c r="F493">
        <f t="shared" si="21"/>
        <v>6</v>
      </c>
      <c r="G493" s="2">
        <f t="shared" si="22"/>
        <v>4571</v>
      </c>
    </row>
    <row r="494" spans="1:7" x14ac:dyDescent="0.25">
      <c r="A494" t="str">
        <f t="shared" si="23"/>
        <v>Algarrobo Hombre</v>
      </c>
      <c r="B494" t="s">
        <v>2147</v>
      </c>
      <c r="C494" t="s">
        <v>1935</v>
      </c>
      <c r="D494" t="s">
        <v>58</v>
      </c>
      <c r="E494" s="2" t="s">
        <v>1940</v>
      </c>
      <c r="F494">
        <f t="shared" si="21"/>
        <v>6</v>
      </c>
      <c r="G494" s="2">
        <f t="shared" si="22"/>
        <v>7935</v>
      </c>
    </row>
    <row r="495" spans="1:7" x14ac:dyDescent="0.25">
      <c r="A495" t="str">
        <f t="shared" si="23"/>
        <v>Algarrobo Mujer</v>
      </c>
      <c r="B495" t="s">
        <v>2147</v>
      </c>
      <c r="C495" t="s">
        <v>1935</v>
      </c>
      <c r="D495" t="s">
        <v>56</v>
      </c>
      <c r="E495" s="2" t="s">
        <v>1939</v>
      </c>
      <c r="F495">
        <f t="shared" si="21"/>
        <v>6</v>
      </c>
      <c r="G495" s="2">
        <f t="shared" si="22"/>
        <v>8160</v>
      </c>
    </row>
    <row r="496" spans="1:7" x14ac:dyDescent="0.25">
      <c r="A496" t="str">
        <f t="shared" si="23"/>
        <v>Algarrobo Población total</v>
      </c>
      <c r="B496" t="s">
        <v>2147</v>
      </c>
      <c r="C496" t="s">
        <v>1935</v>
      </c>
      <c r="D496" t="s">
        <v>54</v>
      </c>
      <c r="E496" s="2" t="s">
        <v>1938</v>
      </c>
      <c r="F496">
        <f t="shared" si="21"/>
        <v>7</v>
      </c>
      <c r="G496" s="2">
        <f t="shared" si="22"/>
        <v>16095</v>
      </c>
    </row>
    <row r="497" spans="1:7" x14ac:dyDescent="0.25">
      <c r="A497" t="str">
        <f t="shared" si="23"/>
        <v>Algarrobo Población  de 0 a 14 años</v>
      </c>
      <c r="B497" t="s">
        <v>2147</v>
      </c>
      <c r="C497" t="s">
        <v>1935</v>
      </c>
      <c r="D497" t="s">
        <v>52</v>
      </c>
      <c r="E497" s="2" t="s">
        <v>1937</v>
      </c>
      <c r="F497">
        <f t="shared" si="21"/>
        <v>6</v>
      </c>
      <c r="G497" s="2">
        <f t="shared" si="22"/>
        <v>2577</v>
      </c>
    </row>
    <row r="498" spans="1:7" x14ac:dyDescent="0.25">
      <c r="A498" t="str">
        <f t="shared" si="23"/>
        <v>Algarrobo Población  de 15 a 64 años</v>
      </c>
      <c r="B498" t="s">
        <v>2147</v>
      </c>
      <c r="C498" t="s">
        <v>1935</v>
      </c>
      <c r="D498" t="s">
        <v>50</v>
      </c>
      <c r="E498" s="2" t="s">
        <v>1936</v>
      </c>
      <c r="F498">
        <f t="shared" si="21"/>
        <v>6</v>
      </c>
      <c r="G498" s="2">
        <f t="shared" si="22"/>
        <v>9820</v>
      </c>
    </row>
    <row r="499" spans="1:7" x14ac:dyDescent="0.25">
      <c r="A499" t="str">
        <f t="shared" si="23"/>
        <v>Algarrobo Población de 65 años o mas</v>
      </c>
      <c r="B499" t="s">
        <v>2147</v>
      </c>
      <c r="C499" t="s">
        <v>1935</v>
      </c>
      <c r="D499" t="s">
        <v>46</v>
      </c>
      <c r="E499" s="2" t="s">
        <v>1934</v>
      </c>
      <c r="F499">
        <f t="shared" si="21"/>
        <v>6</v>
      </c>
      <c r="G499" s="2">
        <f t="shared" si="22"/>
        <v>3698</v>
      </c>
    </row>
    <row r="500" spans="1:7" x14ac:dyDescent="0.25">
      <c r="A500" t="str">
        <f t="shared" si="23"/>
        <v>El Quisco Hombre</v>
      </c>
      <c r="B500" t="s">
        <v>2147</v>
      </c>
      <c r="C500" t="s">
        <v>1928</v>
      </c>
      <c r="D500" t="s">
        <v>58</v>
      </c>
      <c r="E500" s="2" t="s">
        <v>1933</v>
      </c>
      <c r="F500">
        <f t="shared" si="21"/>
        <v>6</v>
      </c>
      <c r="G500" s="2">
        <f t="shared" si="22"/>
        <v>9294</v>
      </c>
    </row>
    <row r="501" spans="1:7" x14ac:dyDescent="0.25">
      <c r="A501" t="str">
        <f t="shared" si="23"/>
        <v>El Quisco Mujer</v>
      </c>
      <c r="B501" t="s">
        <v>2147</v>
      </c>
      <c r="C501" t="s">
        <v>1928</v>
      </c>
      <c r="D501" t="s">
        <v>56</v>
      </c>
      <c r="E501" s="2" t="s">
        <v>1932</v>
      </c>
      <c r="F501">
        <f t="shared" si="21"/>
        <v>6</v>
      </c>
      <c r="G501" s="2">
        <f t="shared" si="22"/>
        <v>9546</v>
      </c>
    </row>
    <row r="502" spans="1:7" x14ac:dyDescent="0.25">
      <c r="A502" t="str">
        <f t="shared" si="23"/>
        <v>El Quisco Población total</v>
      </c>
      <c r="B502" t="s">
        <v>2147</v>
      </c>
      <c r="C502" t="s">
        <v>1928</v>
      </c>
      <c r="D502" t="s">
        <v>54</v>
      </c>
      <c r="E502" s="2" t="s">
        <v>1931</v>
      </c>
      <c r="F502">
        <f t="shared" si="21"/>
        <v>7</v>
      </c>
      <c r="G502" s="2">
        <f t="shared" si="22"/>
        <v>18840</v>
      </c>
    </row>
    <row r="503" spans="1:7" x14ac:dyDescent="0.25">
      <c r="A503" t="str">
        <f t="shared" si="23"/>
        <v>El Quisco Población  de 0 a 14 años</v>
      </c>
      <c r="B503" t="s">
        <v>2147</v>
      </c>
      <c r="C503" t="s">
        <v>1928</v>
      </c>
      <c r="D503" t="s">
        <v>52</v>
      </c>
      <c r="E503" s="2" t="s">
        <v>1930</v>
      </c>
      <c r="F503">
        <f t="shared" si="21"/>
        <v>6</v>
      </c>
      <c r="G503" s="2">
        <f t="shared" si="22"/>
        <v>3031</v>
      </c>
    </row>
    <row r="504" spans="1:7" x14ac:dyDescent="0.25">
      <c r="A504" t="str">
        <f t="shared" si="23"/>
        <v>El Quisco Población  de 15 a 64 años</v>
      </c>
      <c r="B504" t="s">
        <v>2147</v>
      </c>
      <c r="C504" t="s">
        <v>1928</v>
      </c>
      <c r="D504" t="s">
        <v>50</v>
      </c>
      <c r="E504" s="2" t="s">
        <v>1929</v>
      </c>
      <c r="F504">
        <f t="shared" si="21"/>
        <v>7</v>
      </c>
      <c r="G504" s="2">
        <f t="shared" si="22"/>
        <v>11079</v>
      </c>
    </row>
    <row r="505" spans="1:7" x14ac:dyDescent="0.25">
      <c r="A505" t="str">
        <f t="shared" si="23"/>
        <v>El Quisco Población de 65 años o mas</v>
      </c>
      <c r="B505" t="s">
        <v>2147</v>
      </c>
      <c r="C505" t="s">
        <v>1928</v>
      </c>
      <c r="D505" t="s">
        <v>46</v>
      </c>
      <c r="E505" s="2" t="s">
        <v>1927</v>
      </c>
      <c r="F505">
        <f t="shared" si="21"/>
        <v>6</v>
      </c>
      <c r="G505" s="2">
        <f t="shared" si="22"/>
        <v>4730</v>
      </c>
    </row>
    <row r="506" spans="1:7" x14ac:dyDescent="0.25">
      <c r="A506" t="str">
        <f t="shared" si="23"/>
        <v>El Tabo Hombre</v>
      </c>
      <c r="B506" t="s">
        <v>2147</v>
      </c>
      <c r="C506" t="s">
        <v>1921</v>
      </c>
      <c r="D506" t="s">
        <v>58</v>
      </c>
      <c r="E506" s="2" t="s">
        <v>1926</v>
      </c>
      <c r="F506">
        <f t="shared" si="21"/>
        <v>6</v>
      </c>
      <c r="G506" s="2">
        <f t="shared" si="22"/>
        <v>7540</v>
      </c>
    </row>
    <row r="507" spans="1:7" x14ac:dyDescent="0.25">
      <c r="A507" t="str">
        <f t="shared" si="23"/>
        <v>El Tabo Mujer</v>
      </c>
      <c r="B507" t="s">
        <v>2147</v>
      </c>
      <c r="C507" t="s">
        <v>1921</v>
      </c>
      <c r="D507" t="s">
        <v>56</v>
      </c>
      <c r="E507" s="2" t="s">
        <v>1925</v>
      </c>
      <c r="F507">
        <f t="shared" si="21"/>
        <v>6</v>
      </c>
      <c r="G507" s="2">
        <f t="shared" si="22"/>
        <v>7656</v>
      </c>
    </row>
    <row r="508" spans="1:7" x14ac:dyDescent="0.25">
      <c r="A508" t="str">
        <f t="shared" si="23"/>
        <v>El Tabo Población total</v>
      </c>
      <c r="B508" t="s">
        <v>2147</v>
      </c>
      <c r="C508" t="s">
        <v>1921</v>
      </c>
      <c r="D508" t="s">
        <v>54</v>
      </c>
      <c r="E508" s="2" t="s">
        <v>1924</v>
      </c>
      <c r="F508">
        <f t="shared" si="21"/>
        <v>7</v>
      </c>
      <c r="G508" s="2">
        <f t="shared" si="22"/>
        <v>15196</v>
      </c>
    </row>
    <row r="509" spans="1:7" x14ac:dyDescent="0.25">
      <c r="A509" t="str">
        <f t="shared" si="23"/>
        <v>El Tabo Población  de 0 a 14 años</v>
      </c>
      <c r="B509" t="s">
        <v>2147</v>
      </c>
      <c r="C509" t="s">
        <v>1921</v>
      </c>
      <c r="D509" t="s">
        <v>52</v>
      </c>
      <c r="E509" s="2" t="s">
        <v>1923</v>
      </c>
      <c r="F509">
        <f t="shared" si="21"/>
        <v>6</v>
      </c>
      <c r="G509" s="2">
        <f t="shared" si="22"/>
        <v>2285</v>
      </c>
    </row>
    <row r="510" spans="1:7" x14ac:dyDescent="0.25">
      <c r="A510" t="str">
        <f t="shared" si="23"/>
        <v>El Tabo Población  de 15 a 64 años</v>
      </c>
      <c r="B510" t="s">
        <v>2147</v>
      </c>
      <c r="C510" t="s">
        <v>1921</v>
      </c>
      <c r="D510" t="s">
        <v>50</v>
      </c>
      <c r="E510" s="2" t="s">
        <v>1922</v>
      </c>
      <c r="F510">
        <f t="shared" si="21"/>
        <v>6</v>
      </c>
      <c r="G510" s="2">
        <f t="shared" si="22"/>
        <v>9022</v>
      </c>
    </row>
    <row r="511" spans="1:7" x14ac:dyDescent="0.25">
      <c r="A511" t="str">
        <f t="shared" si="23"/>
        <v>El Tabo Población de 65 años o mas</v>
      </c>
      <c r="B511" t="s">
        <v>2147</v>
      </c>
      <c r="C511" t="s">
        <v>1921</v>
      </c>
      <c r="D511" t="s">
        <v>46</v>
      </c>
      <c r="E511" s="2" t="s">
        <v>1920</v>
      </c>
      <c r="F511">
        <f t="shared" si="21"/>
        <v>6</v>
      </c>
      <c r="G511" s="2">
        <f t="shared" si="22"/>
        <v>3889</v>
      </c>
    </row>
    <row r="512" spans="1:7" x14ac:dyDescent="0.25">
      <c r="A512" t="str">
        <f t="shared" si="23"/>
        <v>Cartagena Hombre</v>
      </c>
      <c r="B512" t="s">
        <v>2147</v>
      </c>
      <c r="C512" t="s">
        <v>1914</v>
      </c>
      <c r="D512" t="s">
        <v>58</v>
      </c>
      <c r="E512" s="2" t="s">
        <v>1919</v>
      </c>
      <c r="F512">
        <f t="shared" si="21"/>
        <v>7</v>
      </c>
      <c r="G512" s="2">
        <f t="shared" si="22"/>
        <v>13353</v>
      </c>
    </row>
    <row r="513" spans="1:7" x14ac:dyDescent="0.25">
      <c r="A513" t="str">
        <f t="shared" si="23"/>
        <v>Cartagena Mujer</v>
      </c>
      <c r="B513" t="s">
        <v>2147</v>
      </c>
      <c r="C513" t="s">
        <v>1914</v>
      </c>
      <c r="D513" t="s">
        <v>56</v>
      </c>
      <c r="E513" s="2" t="s">
        <v>1918</v>
      </c>
      <c r="F513">
        <f t="shared" si="21"/>
        <v>7</v>
      </c>
      <c r="G513" s="2">
        <f t="shared" si="22"/>
        <v>13712</v>
      </c>
    </row>
    <row r="514" spans="1:7" x14ac:dyDescent="0.25">
      <c r="A514" t="str">
        <f t="shared" si="23"/>
        <v>Cartagena Población total</v>
      </c>
      <c r="B514" t="s">
        <v>2147</v>
      </c>
      <c r="C514" t="s">
        <v>1914</v>
      </c>
      <c r="D514" t="s">
        <v>54</v>
      </c>
      <c r="E514" s="2" t="s">
        <v>1917</v>
      </c>
      <c r="F514">
        <f t="shared" ref="F514:F577" si="24">+FIND(".",E514)</f>
        <v>7</v>
      </c>
      <c r="G514" s="2">
        <f t="shared" ref="G514:G577" si="25">+LEFT(E514,(F514-1))*1</f>
        <v>27065</v>
      </c>
    </row>
    <row r="515" spans="1:7" x14ac:dyDescent="0.25">
      <c r="A515" t="str">
        <f t="shared" ref="A515:A578" si="26">+C515&amp;D515</f>
        <v>Cartagena Población  de 0 a 14 años</v>
      </c>
      <c r="B515" t="s">
        <v>2147</v>
      </c>
      <c r="C515" t="s">
        <v>1914</v>
      </c>
      <c r="D515" t="s">
        <v>52</v>
      </c>
      <c r="E515" s="2" t="s">
        <v>1916</v>
      </c>
      <c r="F515">
        <f t="shared" si="24"/>
        <v>6</v>
      </c>
      <c r="G515" s="2">
        <f t="shared" si="25"/>
        <v>4956</v>
      </c>
    </row>
    <row r="516" spans="1:7" x14ac:dyDescent="0.25">
      <c r="A516" t="str">
        <f t="shared" si="26"/>
        <v>Cartagena Población  de 15 a 64 años</v>
      </c>
      <c r="B516" t="s">
        <v>2147</v>
      </c>
      <c r="C516" t="s">
        <v>1914</v>
      </c>
      <c r="D516" t="s">
        <v>50</v>
      </c>
      <c r="E516" s="2" t="s">
        <v>1915</v>
      </c>
      <c r="F516">
        <f t="shared" si="24"/>
        <v>7</v>
      </c>
      <c r="G516" s="2">
        <f t="shared" si="25"/>
        <v>16657</v>
      </c>
    </row>
    <row r="517" spans="1:7" x14ac:dyDescent="0.25">
      <c r="A517" t="str">
        <f t="shared" si="26"/>
        <v>Cartagena Población de 65 años o mas</v>
      </c>
      <c r="B517" t="s">
        <v>2147</v>
      </c>
      <c r="C517" t="s">
        <v>1914</v>
      </c>
      <c r="D517" t="s">
        <v>46</v>
      </c>
      <c r="E517" s="2" t="s">
        <v>1913</v>
      </c>
      <c r="F517">
        <f t="shared" si="24"/>
        <v>6</v>
      </c>
      <c r="G517" s="2">
        <f t="shared" si="25"/>
        <v>5452</v>
      </c>
    </row>
    <row r="518" spans="1:7" x14ac:dyDescent="0.25">
      <c r="A518" t="str">
        <f t="shared" si="26"/>
        <v>Juan Fernández Hombre</v>
      </c>
      <c r="B518" t="s">
        <v>2147</v>
      </c>
      <c r="C518" t="s">
        <v>1907</v>
      </c>
      <c r="D518" t="s">
        <v>58</v>
      </c>
      <c r="E518" s="2" t="s">
        <v>1912</v>
      </c>
      <c r="F518">
        <f t="shared" si="24"/>
        <v>5</v>
      </c>
      <c r="G518" s="2">
        <f t="shared" si="25"/>
        <v>561</v>
      </c>
    </row>
    <row r="519" spans="1:7" x14ac:dyDescent="0.25">
      <c r="A519" t="str">
        <f t="shared" si="26"/>
        <v>Juan Fernández Mujer</v>
      </c>
      <c r="B519" t="s">
        <v>2147</v>
      </c>
      <c r="C519" t="s">
        <v>1907</v>
      </c>
      <c r="D519" t="s">
        <v>56</v>
      </c>
      <c r="E519" s="2" t="s">
        <v>1911</v>
      </c>
      <c r="F519">
        <f t="shared" si="24"/>
        <v>5</v>
      </c>
      <c r="G519" s="2">
        <f t="shared" si="25"/>
        <v>543</v>
      </c>
    </row>
    <row r="520" spans="1:7" x14ac:dyDescent="0.25">
      <c r="A520" t="str">
        <f t="shared" si="26"/>
        <v>Juan Fernández Población total</v>
      </c>
      <c r="B520" t="s">
        <v>2147</v>
      </c>
      <c r="C520" t="s">
        <v>1907</v>
      </c>
      <c r="D520" t="s">
        <v>54</v>
      </c>
      <c r="E520" s="2" t="s">
        <v>1910</v>
      </c>
      <c r="F520">
        <f t="shared" si="24"/>
        <v>6</v>
      </c>
      <c r="G520" s="2">
        <f t="shared" si="25"/>
        <v>1104</v>
      </c>
    </row>
    <row r="521" spans="1:7" x14ac:dyDescent="0.25">
      <c r="A521" t="str">
        <f t="shared" si="26"/>
        <v>Juan Fernández Población  de 0 a 14 años</v>
      </c>
      <c r="B521" t="s">
        <v>2147</v>
      </c>
      <c r="C521" t="s">
        <v>1907</v>
      </c>
      <c r="D521" t="s">
        <v>52</v>
      </c>
      <c r="E521" s="2" t="s">
        <v>1909</v>
      </c>
      <c r="F521">
        <f t="shared" si="24"/>
        <v>5</v>
      </c>
      <c r="G521" s="2">
        <f t="shared" si="25"/>
        <v>212</v>
      </c>
    </row>
    <row r="522" spans="1:7" x14ac:dyDescent="0.25">
      <c r="A522" t="str">
        <f t="shared" si="26"/>
        <v>Juan Fernández Población  de 15 a 64 años</v>
      </c>
      <c r="B522" t="s">
        <v>2147</v>
      </c>
      <c r="C522" t="s">
        <v>1907</v>
      </c>
      <c r="D522" t="s">
        <v>50</v>
      </c>
      <c r="E522" s="2" t="s">
        <v>1908</v>
      </c>
      <c r="F522">
        <f t="shared" si="24"/>
        <v>5</v>
      </c>
      <c r="G522" s="2">
        <f t="shared" si="25"/>
        <v>763</v>
      </c>
    </row>
    <row r="523" spans="1:7" x14ac:dyDescent="0.25">
      <c r="A523" t="str">
        <f t="shared" si="26"/>
        <v>Juan Fernández Población de 65 años o mas</v>
      </c>
      <c r="B523" t="s">
        <v>2147</v>
      </c>
      <c r="C523" t="s">
        <v>1907</v>
      </c>
      <c r="D523" t="s">
        <v>46</v>
      </c>
      <c r="E523" s="2" t="s">
        <v>1906</v>
      </c>
      <c r="F523">
        <f t="shared" si="24"/>
        <v>5</v>
      </c>
      <c r="G523" s="2">
        <f t="shared" si="25"/>
        <v>129</v>
      </c>
    </row>
    <row r="524" spans="1:7" x14ac:dyDescent="0.25">
      <c r="A524" t="str">
        <f t="shared" si="26"/>
        <v>Santo Domingo Hombre</v>
      </c>
      <c r="B524" t="s">
        <v>2147</v>
      </c>
      <c r="C524" t="s">
        <v>1900</v>
      </c>
      <c r="D524" t="s">
        <v>58</v>
      </c>
      <c r="E524" s="2" t="s">
        <v>1905</v>
      </c>
      <c r="F524">
        <f t="shared" si="24"/>
        <v>6</v>
      </c>
      <c r="G524" s="2">
        <f t="shared" si="25"/>
        <v>6246</v>
      </c>
    </row>
    <row r="525" spans="1:7" x14ac:dyDescent="0.25">
      <c r="A525" t="str">
        <f t="shared" si="26"/>
        <v>Santo Domingo Mujer</v>
      </c>
      <c r="B525" t="s">
        <v>2147</v>
      </c>
      <c r="C525" t="s">
        <v>1900</v>
      </c>
      <c r="D525" t="s">
        <v>56</v>
      </c>
      <c r="E525" s="2" t="s">
        <v>1904</v>
      </c>
      <c r="F525">
        <f t="shared" si="24"/>
        <v>6</v>
      </c>
      <c r="G525" s="2">
        <f t="shared" si="25"/>
        <v>6363</v>
      </c>
    </row>
    <row r="526" spans="1:7" x14ac:dyDescent="0.25">
      <c r="A526" t="str">
        <f t="shared" si="26"/>
        <v>Santo Domingo Población total</v>
      </c>
      <c r="B526" t="s">
        <v>2147</v>
      </c>
      <c r="C526" t="s">
        <v>1900</v>
      </c>
      <c r="D526" t="s">
        <v>54</v>
      </c>
      <c r="E526" s="2" t="s">
        <v>1903</v>
      </c>
      <c r="F526">
        <f t="shared" si="24"/>
        <v>7</v>
      </c>
      <c r="G526" s="2">
        <f t="shared" si="25"/>
        <v>12609</v>
      </c>
    </row>
    <row r="527" spans="1:7" x14ac:dyDescent="0.25">
      <c r="A527" t="str">
        <f t="shared" si="26"/>
        <v>Santo Domingo Población  de 0 a 14 años</v>
      </c>
      <c r="B527" t="s">
        <v>2147</v>
      </c>
      <c r="C527" t="s">
        <v>1900</v>
      </c>
      <c r="D527" t="s">
        <v>52</v>
      </c>
      <c r="E527" s="2" t="s">
        <v>1902</v>
      </c>
      <c r="F527">
        <f t="shared" si="24"/>
        <v>6</v>
      </c>
      <c r="G527" s="2">
        <f t="shared" si="25"/>
        <v>2380</v>
      </c>
    </row>
    <row r="528" spans="1:7" x14ac:dyDescent="0.25">
      <c r="A528" t="str">
        <f t="shared" si="26"/>
        <v>Santo Domingo Población  de 15 a 64 años</v>
      </c>
      <c r="B528" t="s">
        <v>2147</v>
      </c>
      <c r="C528" t="s">
        <v>1900</v>
      </c>
      <c r="D528" t="s">
        <v>50</v>
      </c>
      <c r="E528" s="2" t="s">
        <v>1901</v>
      </c>
      <c r="F528">
        <f t="shared" si="24"/>
        <v>6</v>
      </c>
      <c r="G528" s="2">
        <f t="shared" si="25"/>
        <v>8172</v>
      </c>
    </row>
    <row r="529" spans="1:7" x14ac:dyDescent="0.25">
      <c r="A529" t="str">
        <f t="shared" si="26"/>
        <v>Santo Domingo Población de 65 años o mas</v>
      </c>
      <c r="B529" t="s">
        <v>2147</v>
      </c>
      <c r="C529" t="s">
        <v>1900</v>
      </c>
      <c r="D529" t="s">
        <v>46</v>
      </c>
      <c r="E529" s="2" t="s">
        <v>1899</v>
      </c>
      <c r="F529">
        <f t="shared" si="24"/>
        <v>6</v>
      </c>
      <c r="G529" s="2">
        <f t="shared" si="25"/>
        <v>2057</v>
      </c>
    </row>
    <row r="530" spans="1:7" x14ac:dyDescent="0.25">
      <c r="A530" t="str">
        <f t="shared" si="26"/>
        <v>San Antonio Hombre</v>
      </c>
      <c r="B530" t="s">
        <v>2147</v>
      </c>
      <c r="C530" t="s">
        <v>1893</v>
      </c>
      <c r="D530" t="s">
        <v>58</v>
      </c>
      <c r="E530" s="2" t="s">
        <v>1898</v>
      </c>
      <c r="F530">
        <f t="shared" si="24"/>
        <v>7</v>
      </c>
      <c r="G530" s="2">
        <f t="shared" si="25"/>
        <v>48420</v>
      </c>
    </row>
    <row r="531" spans="1:7" x14ac:dyDescent="0.25">
      <c r="A531" t="str">
        <f t="shared" si="26"/>
        <v>San Antonio Mujer</v>
      </c>
      <c r="B531" t="s">
        <v>2147</v>
      </c>
      <c r="C531" t="s">
        <v>1893</v>
      </c>
      <c r="D531" t="s">
        <v>56</v>
      </c>
      <c r="E531" s="2" t="s">
        <v>1897</v>
      </c>
      <c r="F531">
        <f t="shared" si="24"/>
        <v>7</v>
      </c>
      <c r="G531" s="2">
        <f t="shared" si="25"/>
        <v>50159</v>
      </c>
    </row>
    <row r="532" spans="1:7" x14ac:dyDescent="0.25">
      <c r="A532" t="str">
        <f t="shared" si="26"/>
        <v>San Antonio Población total</v>
      </c>
      <c r="B532" t="s">
        <v>2147</v>
      </c>
      <c r="C532" t="s">
        <v>1893</v>
      </c>
      <c r="D532" t="s">
        <v>54</v>
      </c>
      <c r="E532" s="2" t="s">
        <v>1896</v>
      </c>
      <c r="F532">
        <f t="shared" si="24"/>
        <v>7</v>
      </c>
      <c r="G532" s="2">
        <f t="shared" si="25"/>
        <v>98579</v>
      </c>
    </row>
    <row r="533" spans="1:7" x14ac:dyDescent="0.25">
      <c r="A533" t="str">
        <f t="shared" si="26"/>
        <v>San Antonio Población  de 0 a 14 años</v>
      </c>
      <c r="B533" t="s">
        <v>2147</v>
      </c>
      <c r="C533" t="s">
        <v>1893</v>
      </c>
      <c r="D533" t="s">
        <v>52</v>
      </c>
      <c r="E533" s="2" t="s">
        <v>1895</v>
      </c>
      <c r="F533">
        <f t="shared" si="24"/>
        <v>7</v>
      </c>
      <c r="G533" s="2">
        <f t="shared" si="25"/>
        <v>18468</v>
      </c>
    </row>
    <row r="534" spans="1:7" x14ac:dyDescent="0.25">
      <c r="A534" t="str">
        <f t="shared" si="26"/>
        <v>San Antonio Población  de 15 a 64 años</v>
      </c>
      <c r="B534" t="s">
        <v>2147</v>
      </c>
      <c r="C534" t="s">
        <v>1893</v>
      </c>
      <c r="D534" t="s">
        <v>50</v>
      </c>
      <c r="E534" s="2" t="s">
        <v>1894</v>
      </c>
      <c r="F534">
        <f t="shared" si="24"/>
        <v>7</v>
      </c>
      <c r="G534" s="2">
        <f t="shared" si="25"/>
        <v>64765</v>
      </c>
    </row>
    <row r="535" spans="1:7" x14ac:dyDescent="0.25">
      <c r="A535" t="str">
        <f t="shared" si="26"/>
        <v>San Antonio Población de 65 años o mas</v>
      </c>
      <c r="B535" t="s">
        <v>2147</v>
      </c>
      <c r="C535" t="s">
        <v>1893</v>
      </c>
      <c r="D535" t="s">
        <v>46</v>
      </c>
      <c r="E535" s="2" t="s">
        <v>1892</v>
      </c>
      <c r="F535">
        <f t="shared" si="24"/>
        <v>7</v>
      </c>
      <c r="G535" s="2">
        <f t="shared" si="25"/>
        <v>15346</v>
      </c>
    </row>
    <row r="536" spans="1:7" x14ac:dyDescent="0.25">
      <c r="A536" t="str">
        <f t="shared" si="26"/>
        <v>Región Metropolitana De Santiago Hombre</v>
      </c>
      <c r="B536" t="s">
        <v>1525</v>
      </c>
      <c r="C536" t="s">
        <v>1525</v>
      </c>
      <c r="D536" t="s">
        <v>58</v>
      </c>
      <c r="E536" s="2" t="s">
        <v>1891</v>
      </c>
      <c r="F536">
        <f t="shared" si="24"/>
        <v>9</v>
      </c>
      <c r="G536" s="2">
        <f t="shared" si="25"/>
        <v>4166844</v>
      </c>
    </row>
    <row r="537" spans="1:7" x14ac:dyDescent="0.25">
      <c r="A537" t="str">
        <f t="shared" si="26"/>
        <v>Región Metropolitana De Santiago Mujer</v>
      </c>
      <c r="B537" t="s">
        <v>1525</v>
      </c>
      <c r="C537" t="s">
        <v>1525</v>
      </c>
      <c r="D537" t="s">
        <v>56</v>
      </c>
      <c r="E537" s="2" t="s">
        <v>1890</v>
      </c>
      <c r="F537">
        <f t="shared" si="24"/>
        <v>9</v>
      </c>
      <c r="G537" s="2">
        <f t="shared" si="25"/>
        <v>4253885</v>
      </c>
    </row>
    <row r="538" spans="1:7" x14ac:dyDescent="0.25">
      <c r="A538" t="str">
        <f t="shared" si="26"/>
        <v>Región Metropolitana De Santiago Población total</v>
      </c>
      <c r="B538" t="s">
        <v>1525</v>
      </c>
      <c r="C538" t="s">
        <v>1525</v>
      </c>
      <c r="D538" t="s">
        <v>54</v>
      </c>
      <c r="E538" s="2" t="s">
        <v>1889</v>
      </c>
      <c r="F538">
        <f t="shared" si="24"/>
        <v>9</v>
      </c>
      <c r="G538" s="2">
        <f t="shared" si="25"/>
        <v>8420729</v>
      </c>
    </row>
    <row r="539" spans="1:7" x14ac:dyDescent="0.25">
      <c r="A539" t="str">
        <f t="shared" si="26"/>
        <v>Región Metropolitana De Santiago Población  de 0 a 14 años</v>
      </c>
      <c r="B539" t="s">
        <v>1525</v>
      </c>
      <c r="C539" t="s">
        <v>1525</v>
      </c>
      <c r="D539" t="s">
        <v>52</v>
      </c>
      <c r="E539" s="2" t="s">
        <v>1888</v>
      </c>
      <c r="F539">
        <f t="shared" si="24"/>
        <v>9</v>
      </c>
      <c r="G539" s="2">
        <f t="shared" si="25"/>
        <v>1527250</v>
      </c>
    </row>
    <row r="540" spans="1:7" x14ac:dyDescent="0.25">
      <c r="A540" t="str">
        <f t="shared" si="26"/>
        <v>Región Metropolitana De Santiago Población  de 15 a 64 años</v>
      </c>
      <c r="B540" t="s">
        <v>1525</v>
      </c>
      <c r="C540" t="s">
        <v>1525</v>
      </c>
      <c r="D540" t="s">
        <v>50</v>
      </c>
      <c r="E540" s="2" t="s">
        <v>1887</v>
      </c>
      <c r="F540">
        <f t="shared" si="24"/>
        <v>9</v>
      </c>
      <c r="G540" s="2">
        <f t="shared" si="25"/>
        <v>5839488</v>
      </c>
    </row>
    <row r="541" spans="1:7" x14ac:dyDescent="0.25">
      <c r="A541" t="str">
        <f t="shared" si="26"/>
        <v>Región Metropolitana De Santiago Población de 65 años o mas</v>
      </c>
      <c r="B541" t="s">
        <v>1525</v>
      </c>
      <c r="C541" t="s">
        <v>1525</v>
      </c>
      <c r="D541" t="s">
        <v>46</v>
      </c>
      <c r="E541" s="2" t="s">
        <v>1886</v>
      </c>
      <c r="F541">
        <f t="shared" si="24"/>
        <v>9</v>
      </c>
      <c r="G541" s="2">
        <f t="shared" si="25"/>
        <v>1053991</v>
      </c>
    </row>
    <row r="542" spans="1:7" x14ac:dyDescent="0.25">
      <c r="A542" t="str">
        <f t="shared" si="26"/>
        <v>Tiltil Hombre</v>
      </c>
      <c r="B542" t="s">
        <v>1525</v>
      </c>
      <c r="C542" t="s">
        <v>1880</v>
      </c>
      <c r="D542" t="s">
        <v>58</v>
      </c>
      <c r="E542" s="2" t="s">
        <v>1885</v>
      </c>
      <c r="F542">
        <f t="shared" si="24"/>
        <v>7</v>
      </c>
      <c r="G542" s="2">
        <f t="shared" si="25"/>
        <v>11209</v>
      </c>
    </row>
    <row r="543" spans="1:7" x14ac:dyDescent="0.25">
      <c r="A543" t="str">
        <f t="shared" si="26"/>
        <v>Tiltil Mujer</v>
      </c>
      <c r="B543" t="s">
        <v>1525</v>
      </c>
      <c r="C543" t="s">
        <v>1880</v>
      </c>
      <c r="D543" t="s">
        <v>56</v>
      </c>
      <c r="E543" s="2" t="s">
        <v>1884</v>
      </c>
      <c r="F543">
        <f t="shared" si="24"/>
        <v>7</v>
      </c>
      <c r="G543" s="2">
        <f t="shared" si="25"/>
        <v>11273</v>
      </c>
    </row>
    <row r="544" spans="1:7" x14ac:dyDescent="0.25">
      <c r="A544" t="str">
        <f t="shared" si="26"/>
        <v>Tiltil Población total</v>
      </c>
      <c r="B544" t="s">
        <v>1525</v>
      </c>
      <c r="C544" t="s">
        <v>1880</v>
      </c>
      <c r="D544" t="s">
        <v>54</v>
      </c>
      <c r="E544" s="2" t="s">
        <v>1883</v>
      </c>
      <c r="F544">
        <f t="shared" si="24"/>
        <v>7</v>
      </c>
      <c r="G544" s="2">
        <f t="shared" si="25"/>
        <v>22482</v>
      </c>
    </row>
    <row r="545" spans="1:7" x14ac:dyDescent="0.25">
      <c r="A545" t="str">
        <f t="shared" si="26"/>
        <v>Tiltil Población  de 0 a 14 años</v>
      </c>
      <c r="B545" t="s">
        <v>1525</v>
      </c>
      <c r="C545" t="s">
        <v>1880</v>
      </c>
      <c r="D545" t="s">
        <v>52</v>
      </c>
      <c r="E545" s="2" t="s">
        <v>1882</v>
      </c>
      <c r="F545">
        <f t="shared" si="24"/>
        <v>6</v>
      </c>
      <c r="G545" s="2">
        <f t="shared" si="25"/>
        <v>4524</v>
      </c>
    </row>
    <row r="546" spans="1:7" x14ac:dyDescent="0.25">
      <c r="A546" t="str">
        <f t="shared" si="26"/>
        <v>Tiltil Población  de 15 a 64 años</v>
      </c>
      <c r="B546" t="s">
        <v>1525</v>
      </c>
      <c r="C546" t="s">
        <v>1880</v>
      </c>
      <c r="D546" t="s">
        <v>50</v>
      </c>
      <c r="E546" s="2" t="s">
        <v>1881</v>
      </c>
      <c r="F546">
        <f t="shared" si="24"/>
        <v>7</v>
      </c>
      <c r="G546" s="2">
        <f t="shared" si="25"/>
        <v>15197</v>
      </c>
    </row>
    <row r="547" spans="1:7" x14ac:dyDescent="0.25">
      <c r="A547" t="str">
        <f t="shared" si="26"/>
        <v>Tiltil Población de 65 años o mas</v>
      </c>
      <c r="B547" t="s">
        <v>1525</v>
      </c>
      <c r="C547" t="s">
        <v>1880</v>
      </c>
      <c r="D547" t="s">
        <v>46</v>
      </c>
      <c r="E547" s="2" t="s">
        <v>981</v>
      </c>
      <c r="F547">
        <f t="shared" si="24"/>
        <v>6</v>
      </c>
      <c r="G547" s="2">
        <f t="shared" si="25"/>
        <v>2761</v>
      </c>
    </row>
    <row r="548" spans="1:7" x14ac:dyDescent="0.25">
      <c r="A548" t="str">
        <f t="shared" si="26"/>
        <v>Colina Hombre</v>
      </c>
      <c r="B548" t="s">
        <v>1525</v>
      </c>
      <c r="C548" t="s">
        <v>1874</v>
      </c>
      <c r="D548" t="s">
        <v>58</v>
      </c>
      <c r="E548" s="2" t="s">
        <v>1879</v>
      </c>
      <c r="F548">
        <f t="shared" si="24"/>
        <v>7</v>
      </c>
      <c r="G548" s="2">
        <f t="shared" si="25"/>
        <v>97934</v>
      </c>
    </row>
    <row r="549" spans="1:7" x14ac:dyDescent="0.25">
      <c r="A549" t="str">
        <f t="shared" si="26"/>
        <v>Colina Mujer</v>
      </c>
      <c r="B549" t="s">
        <v>1525</v>
      </c>
      <c r="C549" t="s">
        <v>1874</v>
      </c>
      <c r="D549" t="s">
        <v>56</v>
      </c>
      <c r="E549" s="2" t="s">
        <v>1878</v>
      </c>
      <c r="F549">
        <f t="shared" si="24"/>
        <v>7</v>
      </c>
      <c r="G549" s="2">
        <f t="shared" si="25"/>
        <v>99436</v>
      </c>
    </row>
    <row r="550" spans="1:7" x14ac:dyDescent="0.25">
      <c r="A550" t="str">
        <f t="shared" si="26"/>
        <v>Colina Población total</v>
      </c>
      <c r="B550" t="s">
        <v>1525</v>
      </c>
      <c r="C550" t="s">
        <v>1874</v>
      </c>
      <c r="D550" t="s">
        <v>54</v>
      </c>
      <c r="E550" s="2" t="s">
        <v>1877</v>
      </c>
      <c r="F550">
        <f t="shared" si="24"/>
        <v>8</v>
      </c>
      <c r="G550" s="2">
        <f t="shared" si="25"/>
        <v>197370</v>
      </c>
    </row>
    <row r="551" spans="1:7" x14ac:dyDescent="0.25">
      <c r="A551" t="str">
        <f t="shared" si="26"/>
        <v>Colina Población  de 0 a 14 años</v>
      </c>
      <c r="B551" t="s">
        <v>1525</v>
      </c>
      <c r="C551" t="s">
        <v>1874</v>
      </c>
      <c r="D551" t="s">
        <v>52</v>
      </c>
      <c r="E551" s="2" t="s">
        <v>1876</v>
      </c>
      <c r="F551">
        <f t="shared" si="24"/>
        <v>7</v>
      </c>
      <c r="G551" s="2">
        <f t="shared" si="25"/>
        <v>49350</v>
      </c>
    </row>
    <row r="552" spans="1:7" x14ac:dyDescent="0.25">
      <c r="A552" t="str">
        <f t="shared" si="26"/>
        <v>Colina Población  de 15 a 64 años</v>
      </c>
      <c r="B552" t="s">
        <v>1525</v>
      </c>
      <c r="C552" t="s">
        <v>1874</v>
      </c>
      <c r="D552" t="s">
        <v>50</v>
      </c>
      <c r="E552" s="2" t="s">
        <v>1875</v>
      </c>
      <c r="F552">
        <f t="shared" si="24"/>
        <v>8</v>
      </c>
      <c r="G552" s="2">
        <f t="shared" si="25"/>
        <v>134152</v>
      </c>
    </row>
    <row r="553" spans="1:7" x14ac:dyDescent="0.25">
      <c r="A553" t="str">
        <f t="shared" si="26"/>
        <v>Colina Población de 65 años o mas</v>
      </c>
      <c r="B553" t="s">
        <v>1525</v>
      </c>
      <c r="C553" t="s">
        <v>1874</v>
      </c>
      <c r="D553" t="s">
        <v>46</v>
      </c>
      <c r="E553" s="2" t="s">
        <v>1873</v>
      </c>
      <c r="F553">
        <f t="shared" si="24"/>
        <v>7</v>
      </c>
      <c r="G553" s="2">
        <f t="shared" si="25"/>
        <v>13868</v>
      </c>
    </row>
    <row r="554" spans="1:7" x14ac:dyDescent="0.25">
      <c r="A554" t="str">
        <f t="shared" si="26"/>
        <v>Lampa Hombre</v>
      </c>
      <c r="B554" t="s">
        <v>1525</v>
      </c>
      <c r="C554" t="s">
        <v>1867</v>
      </c>
      <c r="D554" t="s">
        <v>58</v>
      </c>
      <c r="E554" s="2" t="s">
        <v>1872</v>
      </c>
      <c r="F554">
        <f t="shared" si="24"/>
        <v>7</v>
      </c>
      <c r="G554" s="2">
        <f t="shared" si="25"/>
        <v>71220</v>
      </c>
    </row>
    <row r="555" spans="1:7" x14ac:dyDescent="0.25">
      <c r="A555" t="str">
        <f t="shared" si="26"/>
        <v>Lampa Mujer</v>
      </c>
      <c r="B555" t="s">
        <v>1525</v>
      </c>
      <c r="C555" t="s">
        <v>1867</v>
      </c>
      <c r="D555" t="s">
        <v>56</v>
      </c>
      <c r="E555" s="2" t="s">
        <v>1871</v>
      </c>
      <c r="F555">
        <f t="shared" si="24"/>
        <v>7</v>
      </c>
      <c r="G555" s="2">
        <f t="shared" si="25"/>
        <v>71812</v>
      </c>
    </row>
    <row r="556" spans="1:7" x14ac:dyDescent="0.25">
      <c r="A556" t="str">
        <f t="shared" si="26"/>
        <v>Lampa Población total</v>
      </c>
      <c r="B556" t="s">
        <v>1525</v>
      </c>
      <c r="C556" t="s">
        <v>1867</v>
      </c>
      <c r="D556" t="s">
        <v>54</v>
      </c>
      <c r="E556" s="2" t="s">
        <v>1870</v>
      </c>
      <c r="F556">
        <f t="shared" si="24"/>
        <v>8</v>
      </c>
      <c r="G556" s="2">
        <f t="shared" si="25"/>
        <v>143032</v>
      </c>
    </row>
    <row r="557" spans="1:7" x14ac:dyDescent="0.25">
      <c r="A557" t="str">
        <f t="shared" si="26"/>
        <v>Lampa Población  de 0 a 14 años</v>
      </c>
      <c r="B557" t="s">
        <v>1525</v>
      </c>
      <c r="C557" t="s">
        <v>1867</v>
      </c>
      <c r="D557" t="s">
        <v>52</v>
      </c>
      <c r="E557" s="2" t="s">
        <v>1869</v>
      </c>
      <c r="F557">
        <f t="shared" si="24"/>
        <v>7</v>
      </c>
      <c r="G557" s="2">
        <f t="shared" si="25"/>
        <v>35392</v>
      </c>
    </row>
    <row r="558" spans="1:7" x14ac:dyDescent="0.25">
      <c r="A558" t="str">
        <f t="shared" si="26"/>
        <v>Lampa Población  de 15 a 64 años</v>
      </c>
      <c r="B558" t="s">
        <v>1525</v>
      </c>
      <c r="C558" t="s">
        <v>1867</v>
      </c>
      <c r="D558" t="s">
        <v>50</v>
      </c>
      <c r="E558" s="2" t="s">
        <v>1868</v>
      </c>
      <c r="F558">
        <f t="shared" si="24"/>
        <v>7</v>
      </c>
      <c r="G558" s="2">
        <f t="shared" si="25"/>
        <v>97805</v>
      </c>
    </row>
    <row r="559" spans="1:7" x14ac:dyDescent="0.25">
      <c r="A559" t="str">
        <f t="shared" si="26"/>
        <v>Lampa Población de 65 años o mas</v>
      </c>
      <c r="B559" t="s">
        <v>1525</v>
      </c>
      <c r="C559" t="s">
        <v>1867</v>
      </c>
      <c r="D559" t="s">
        <v>46</v>
      </c>
      <c r="E559" s="2" t="s">
        <v>1866</v>
      </c>
      <c r="F559">
        <f t="shared" si="24"/>
        <v>6</v>
      </c>
      <c r="G559" s="2">
        <f t="shared" si="25"/>
        <v>9835</v>
      </c>
    </row>
    <row r="560" spans="1:7" x14ac:dyDescent="0.25">
      <c r="A560" t="str">
        <f t="shared" si="26"/>
        <v>Lo Barnechea Hombre</v>
      </c>
      <c r="B560" t="s">
        <v>1525</v>
      </c>
      <c r="C560" t="s">
        <v>1860</v>
      </c>
      <c r="D560" t="s">
        <v>58</v>
      </c>
      <c r="E560" s="2" t="s">
        <v>1865</v>
      </c>
      <c r="F560">
        <f t="shared" si="24"/>
        <v>7</v>
      </c>
      <c r="G560" s="2">
        <f t="shared" si="25"/>
        <v>63762</v>
      </c>
    </row>
    <row r="561" spans="1:7" x14ac:dyDescent="0.25">
      <c r="A561" t="str">
        <f t="shared" si="26"/>
        <v>Lo Barnechea Mujer</v>
      </c>
      <c r="B561" t="s">
        <v>1525</v>
      </c>
      <c r="C561" t="s">
        <v>1860</v>
      </c>
      <c r="D561" t="s">
        <v>56</v>
      </c>
      <c r="E561" s="2" t="s">
        <v>1864</v>
      </c>
      <c r="F561">
        <f t="shared" si="24"/>
        <v>7</v>
      </c>
      <c r="G561" s="2">
        <f t="shared" si="25"/>
        <v>67291</v>
      </c>
    </row>
    <row r="562" spans="1:7" x14ac:dyDescent="0.25">
      <c r="A562" t="str">
        <f t="shared" si="26"/>
        <v>Lo Barnechea Población total</v>
      </c>
      <c r="B562" t="s">
        <v>1525</v>
      </c>
      <c r="C562" t="s">
        <v>1860</v>
      </c>
      <c r="D562" t="s">
        <v>54</v>
      </c>
      <c r="E562" s="2" t="s">
        <v>1863</v>
      </c>
      <c r="F562">
        <f t="shared" si="24"/>
        <v>8</v>
      </c>
      <c r="G562" s="2">
        <f t="shared" si="25"/>
        <v>131053</v>
      </c>
    </row>
    <row r="563" spans="1:7" x14ac:dyDescent="0.25">
      <c r="A563" t="str">
        <f t="shared" si="26"/>
        <v>Lo Barnechea Población  de 0 a 14 años</v>
      </c>
      <c r="B563" t="s">
        <v>1525</v>
      </c>
      <c r="C563" t="s">
        <v>1860</v>
      </c>
      <c r="D563" t="s">
        <v>52</v>
      </c>
      <c r="E563" s="2" t="s">
        <v>1862</v>
      </c>
      <c r="F563">
        <f t="shared" si="24"/>
        <v>7</v>
      </c>
      <c r="G563" s="2">
        <f t="shared" si="25"/>
        <v>29730</v>
      </c>
    </row>
    <row r="564" spans="1:7" x14ac:dyDescent="0.25">
      <c r="A564" t="str">
        <f t="shared" si="26"/>
        <v>Lo Barnechea Población  de 15 a 64 años</v>
      </c>
      <c r="B564" t="s">
        <v>1525</v>
      </c>
      <c r="C564" t="s">
        <v>1860</v>
      </c>
      <c r="D564" t="s">
        <v>50</v>
      </c>
      <c r="E564" s="2" t="s">
        <v>1861</v>
      </c>
      <c r="F564">
        <f t="shared" si="24"/>
        <v>7</v>
      </c>
      <c r="G564" s="2">
        <f t="shared" si="25"/>
        <v>89342</v>
      </c>
    </row>
    <row r="565" spans="1:7" x14ac:dyDescent="0.25">
      <c r="A565" t="str">
        <f t="shared" si="26"/>
        <v>Lo Barnechea Población de 65 años o mas</v>
      </c>
      <c r="B565" t="s">
        <v>1525</v>
      </c>
      <c r="C565" t="s">
        <v>1860</v>
      </c>
      <c r="D565" t="s">
        <v>46</v>
      </c>
      <c r="E565" s="2" t="s">
        <v>1859</v>
      </c>
      <c r="F565">
        <f t="shared" si="24"/>
        <v>7</v>
      </c>
      <c r="G565" s="2">
        <f t="shared" si="25"/>
        <v>11981</v>
      </c>
    </row>
    <row r="566" spans="1:7" x14ac:dyDescent="0.25">
      <c r="A566" t="str">
        <f t="shared" si="26"/>
        <v>Quilicura Hombre</v>
      </c>
      <c r="B566" t="s">
        <v>1525</v>
      </c>
      <c r="C566" t="s">
        <v>1853</v>
      </c>
      <c r="D566" t="s">
        <v>58</v>
      </c>
      <c r="E566" s="2" t="s">
        <v>1858</v>
      </c>
      <c r="F566">
        <f t="shared" si="24"/>
        <v>8</v>
      </c>
      <c r="G566" s="2">
        <f t="shared" si="25"/>
        <v>137276</v>
      </c>
    </row>
    <row r="567" spans="1:7" x14ac:dyDescent="0.25">
      <c r="A567" t="str">
        <f t="shared" si="26"/>
        <v>Quilicura Mujer</v>
      </c>
      <c r="B567" t="s">
        <v>1525</v>
      </c>
      <c r="C567" t="s">
        <v>1853</v>
      </c>
      <c r="D567" t="s">
        <v>56</v>
      </c>
      <c r="E567" s="2" t="s">
        <v>1857</v>
      </c>
      <c r="F567">
        <f t="shared" si="24"/>
        <v>8</v>
      </c>
      <c r="G567" s="2">
        <f t="shared" si="25"/>
        <v>138468</v>
      </c>
    </row>
    <row r="568" spans="1:7" x14ac:dyDescent="0.25">
      <c r="A568" t="str">
        <f t="shared" si="26"/>
        <v>Quilicura Población total</v>
      </c>
      <c r="B568" t="s">
        <v>1525</v>
      </c>
      <c r="C568" t="s">
        <v>1853</v>
      </c>
      <c r="D568" t="s">
        <v>54</v>
      </c>
      <c r="E568" s="2" t="s">
        <v>1856</v>
      </c>
      <c r="F568">
        <f t="shared" si="24"/>
        <v>8</v>
      </c>
      <c r="G568" s="2">
        <f t="shared" si="25"/>
        <v>275744</v>
      </c>
    </row>
    <row r="569" spans="1:7" x14ac:dyDescent="0.25">
      <c r="A569" t="str">
        <f t="shared" si="26"/>
        <v>Quilicura Población  de 0 a 14 años</v>
      </c>
      <c r="B569" t="s">
        <v>1525</v>
      </c>
      <c r="C569" t="s">
        <v>1853</v>
      </c>
      <c r="D569" t="s">
        <v>52</v>
      </c>
      <c r="E569" s="2" t="s">
        <v>1855</v>
      </c>
      <c r="F569">
        <f t="shared" si="24"/>
        <v>7</v>
      </c>
      <c r="G569" s="2">
        <f t="shared" si="25"/>
        <v>59689</v>
      </c>
    </row>
    <row r="570" spans="1:7" x14ac:dyDescent="0.25">
      <c r="A570" t="str">
        <f t="shared" si="26"/>
        <v>Quilicura Población  de 15 a 64 años</v>
      </c>
      <c r="B570" t="s">
        <v>1525</v>
      </c>
      <c r="C570" t="s">
        <v>1853</v>
      </c>
      <c r="D570" t="s">
        <v>50</v>
      </c>
      <c r="E570" s="2" t="s">
        <v>1854</v>
      </c>
      <c r="F570">
        <f t="shared" si="24"/>
        <v>8</v>
      </c>
      <c r="G570" s="2">
        <f t="shared" si="25"/>
        <v>198070</v>
      </c>
    </row>
    <row r="571" spans="1:7" x14ac:dyDescent="0.25">
      <c r="A571" t="str">
        <f t="shared" si="26"/>
        <v>Quilicura Población de 65 años o mas</v>
      </c>
      <c r="B571" t="s">
        <v>1525</v>
      </c>
      <c r="C571" t="s">
        <v>1853</v>
      </c>
      <c r="D571" t="s">
        <v>46</v>
      </c>
      <c r="E571" s="2" t="s">
        <v>1852</v>
      </c>
      <c r="F571">
        <f t="shared" si="24"/>
        <v>7</v>
      </c>
      <c r="G571" s="2">
        <f t="shared" si="25"/>
        <v>17985</v>
      </c>
    </row>
    <row r="572" spans="1:7" x14ac:dyDescent="0.25">
      <c r="A572" t="str">
        <f t="shared" si="26"/>
        <v>Huechuraba Hombre</v>
      </c>
      <c r="B572" t="s">
        <v>1525</v>
      </c>
      <c r="C572" t="s">
        <v>1846</v>
      </c>
      <c r="D572" t="s">
        <v>58</v>
      </c>
      <c r="E572" s="2" t="s">
        <v>1851</v>
      </c>
      <c r="F572">
        <f t="shared" si="24"/>
        <v>7</v>
      </c>
      <c r="G572" s="2">
        <f t="shared" si="25"/>
        <v>58373</v>
      </c>
    </row>
    <row r="573" spans="1:7" x14ac:dyDescent="0.25">
      <c r="A573" t="str">
        <f t="shared" si="26"/>
        <v>Huechuraba Mujer</v>
      </c>
      <c r="B573" t="s">
        <v>1525</v>
      </c>
      <c r="C573" t="s">
        <v>1846</v>
      </c>
      <c r="D573" t="s">
        <v>56</v>
      </c>
      <c r="E573" s="2" t="s">
        <v>1850</v>
      </c>
      <c r="F573">
        <f t="shared" si="24"/>
        <v>7</v>
      </c>
      <c r="G573" s="2">
        <f t="shared" si="25"/>
        <v>59954</v>
      </c>
    </row>
    <row r="574" spans="1:7" x14ac:dyDescent="0.25">
      <c r="A574" t="str">
        <f t="shared" si="26"/>
        <v>Huechuraba Población total</v>
      </c>
      <c r="B574" t="s">
        <v>1525</v>
      </c>
      <c r="C574" t="s">
        <v>1846</v>
      </c>
      <c r="D574" t="s">
        <v>54</v>
      </c>
      <c r="E574" s="2" t="s">
        <v>1849</v>
      </c>
      <c r="F574">
        <f t="shared" si="24"/>
        <v>8</v>
      </c>
      <c r="G574" s="2">
        <f t="shared" si="25"/>
        <v>118327</v>
      </c>
    </row>
    <row r="575" spans="1:7" x14ac:dyDescent="0.25">
      <c r="A575" t="str">
        <f t="shared" si="26"/>
        <v>Huechuraba Población  de 0 a 14 años</v>
      </c>
      <c r="B575" t="s">
        <v>1525</v>
      </c>
      <c r="C575" t="s">
        <v>1846</v>
      </c>
      <c r="D575" t="s">
        <v>52</v>
      </c>
      <c r="E575" s="2" t="s">
        <v>1848</v>
      </c>
      <c r="F575">
        <f t="shared" si="24"/>
        <v>7</v>
      </c>
      <c r="G575" s="2">
        <f t="shared" si="25"/>
        <v>25857</v>
      </c>
    </row>
    <row r="576" spans="1:7" x14ac:dyDescent="0.25">
      <c r="A576" t="str">
        <f t="shared" si="26"/>
        <v>Huechuraba Población  de 15 a 64 años</v>
      </c>
      <c r="B576" t="s">
        <v>1525</v>
      </c>
      <c r="C576" t="s">
        <v>1846</v>
      </c>
      <c r="D576" t="s">
        <v>50</v>
      </c>
      <c r="E576" s="2" t="s">
        <v>1847</v>
      </c>
      <c r="F576">
        <f t="shared" si="24"/>
        <v>7</v>
      </c>
      <c r="G576" s="2">
        <f t="shared" si="25"/>
        <v>79287</v>
      </c>
    </row>
    <row r="577" spans="1:7" x14ac:dyDescent="0.25">
      <c r="A577" t="str">
        <f t="shared" si="26"/>
        <v>Huechuraba Población de 65 años o mas</v>
      </c>
      <c r="B577" t="s">
        <v>1525</v>
      </c>
      <c r="C577" t="s">
        <v>1846</v>
      </c>
      <c r="D577" t="s">
        <v>46</v>
      </c>
      <c r="E577" s="2" t="s">
        <v>1845</v>
      </c>
      <c r="F577">
        <f t="shared" si="24"/>
        <v>7</v>
      </c>
      <c r="G577" s="2">
        <f t="shared" si="25"/>
        <v>13183</v>
      </c>
    </row>
    <row r="578" spans="1:7" x14ac:dyDescent="0.25">
      <c r="A578" t="str">
        <f t="shared" si="26"/>
        <v>Conchalí Hombre</v>
      </c>
      <c r="B578" t="s">
        <v>1525</v>
      </c>
      <c r="C578" t="s">
        <v>1839</v>
      </c>
      <c r="D578" t="s">
        <v>58</v>
      </c>
      <c r="E578" s="2" t="s">
        <v>1844</v>
      </c>
      <c r="F578">
        <f t="shared" ref="F578:F641" si="27">+FIND(".",E578)</f>
        <v>7</v>
      </c>
      <c r="G578" s="2">
        <f t="shared" ref="G578:G641" si="28">+LEFT(E578,(F578-1))*1</f>
        <v>67711</v>
      </c>
    </row>
    <row r="579" spans="1:7" x14ac:dyDescent="0.25">
      <c r="A579" t="str">
        <f t="shared" ref="A579:A642" si="29">+C579&amp;D579</f>
        <v>Conchalí Mujer</v>
      </c>
      <c r="B579" t="s">
        <v>1525</v>
      </c>
      <c r="C579" t="s">
        <v>1839</v>
      </c>
      <c r="D579" t="s">
        <v>56</v>
      </c>
      <c r="E579" s="2" t="s">
        <v>1843</v>
      </c>
      <c r="F579">
        <f t="shared" si="27"/>
        <v>7</v>
      </c>
      <c r="G579" s="2">
        <f t="shared" si="28"/>
        <v>68963</v>
      </c>
    </row>
    <row r="580" spans="1:7" x14ac:dyDescent="0.25">
      <c r="A580" t="str">
        <f t="shared" si="29"/>
        <v>Conchalí Población total</v>
      </c>
      <c r="B580" t="s">
        <v>1525</v>
      </c>
      <c r="C580" t="s">
        <v>1839</v>
      </c>
      <c r="D580" t="s">
        <v>54</v>
      </c>
      <c r="E580" s="2" t="s">
        <v>1842</v>
      </c>
      <c r="F580">
        <f t="shared" si="27"/>
        <v>8</v>
      </c>
      <c r="G580" s="2">
        <f t="shared" si="28"/>
        <v>136674</v>
      </c>
    </row>
    <row r="581" spans="1:7" x14ac:dyDescent="0.25">
      <c r="A581" t="str">
        <f t="shared" si="29"/>
        <v>Conchalí Población  de 0 a 14 años</v>
      </c>
      <c r="B581" t="s">
        <v>1525</v>
      </c>
      <c r="C581" t="s">
        <v>1839</v>
      </c>
      <c r="D581" t="s">
        <v>52</v>
      </c>
      <c r="E581" s="2" t="s">
        <v>1841</v>
      </c>
      <c r="F581">
        <f t="shared" si="27"/>
        <v>7</v>
      </c>
      <c r="G581" s="2">
        <f t="shared" si="28"/>
        <v>23643</v>
      </c>
    </row>
    <row r="582" spans="1:7" x14ac:dyDescent="0.25">
      <c r="A582" t="str">
        <f t="shared" si="29"/>
        <v>Conchalí Población  de 15 a 64 años</v>
      </c>
      <c r="B582" t="s">
        <v>1525</v>
      </c>
      <c r="C582" t="s">
        <v>1839</v>
      </c>
      <c r="D582" t="s">
        <v>50</v>
      </c>
      <c r="E582" s="2" t="s">
        <v>1840</v>
      </c>
      <c r="F582">
        <f t="shared" si="27"/>
        <v>7</v>
      </c>
      <c r="G582" s="2">
        <f t="shared" si="28"/>
        <v>91052</v>
      </c>
    </row>
    <row r="583" spans="1:7" x14ac:dyDescent="0.25">
      <c r="A583" t="str">
        <f t="shared" si="29"/>
        <v>Conchalí Población de 65 años o mas</v>
      </c>
      <c r="B583" t="s">
        <v>1525</v>
      </c>
      <c r="C583" t="s">
        <v>1839</v>
      </c>
      <c r="D583" t="s">
        <v>46</v>
      </c>
      <c r="E583" s="2" t="s">
        <v>1838</v>
      </c>
      <c r="F583">
        <f t="shared" si="27"/>
        <v>7</v>
      </c>
      <c r="G583" s="2">
        <f t="shared" si="28"/>
        <v>21979</v>
      </c>
    </row>
    <row r="584" spans="1:7" x14ac:dyDescent="0.25">
      <c r="A584" t="str">
        <f t="shared" si="29"/>
        <v>Vitacura Hombre</v>
      </c>
      <c r="B584" t="s">
        <v>1525</v>
      </c>
      <c r="C584" t="s">
        <v>1832</v>
      </c>
      <c r="D584" t="s">
        <v>58</v>
      </c>
      <c r="E584" s="2" t="s">
        <v>1837</v>
      </c>
      <c r="F584">
        <f t="shared" si="27"/>
        <v>7</v>
      </c>
      <c r="G584" s="2">
        <f t="shared" si="28"/>
        <v>46788</v>
      </c>
    </row>
    <row r="585" spans="1:7" x14ac:dyDescent="0.25">
      <c r="A585" t="str">
        <f t="shared" si="29"/>
        <v>Vitacura Mujer</v>
      </c>
      <c r="B585" t="s">
        <v>1525</v>
      </c>
      <c r="C585" t="s">
        <v>1832</v>
      </c>
      <c r="D585" t="s">
        <v>56</v>
      </c>
      <c r="E585" s="2" t="s">
        <v>1836</v>
      </c>
      <c r="F585">
        <f t="shared" si="27"/>
        <v>7</v>
      </c>
      <c r="G585" s="2">
        <f t="shared" si="28"/>
        <v>50261</v>
      </c>
    </row>
    <row r="586" spans="1:7" x14ac:dyDescent="0.25">
      <c r="A586" t="str">
        <f t="shared" si="29"/>
        <v>Vitacura Población total</v>
      </c>
      <c r="B586" t="s">
        <v>1525</v>
      </c>
      <c r="C586" t="s">
        <v>1832</v>
      </c>
      <c r="D586" t="s">
        <v>54</v>
      </c>
      <c r="E586" s="2" t="s">
        <v>1835</v>
      </c>
      <c r="F586">
        <f t="shared" si="27"/>
        <v>7</v>
      </c>
      <c r="G586" s="2">
        <f t="shared" si="28"/>
        <v>97049</v>
      </c>
    </row>
    <row r="587" spans="1:7" x14ac:dyDescent="0.25">
      <c r="A587" t="str">
        <f t="shared" si="29"/>
        <v>Vitacura Población  de 0 a 14 años</v>
      </c>
      <c r="B587" t="s">
        <v>1525</v>
      </c>
      <c r="C587" t="s">
        <v>1832</v>
      </c>
      <c r="D587" t="s">
        <v>52</v>
      </c>
      <c r="E587" s="2" t="s">
        <v>1834</v>
      </c>
      <c r="F587">
        <f t="shared" si="27"/>
        <v>7</v>
      </c>
      <c r="G587" s="2">
        <f t="shared" si="28"/>
        <v>16421</v>
      </c>
    </row>
    <row r="588" spans="1:7" x14ac:dyDescent="0.25">
      <c r="A588" t="str">
        <f t="shared" si="29"/>
        <v>Vitacura Población  de 15 a 64 años</v>
      </c>
      <c r="B588" t="s">
        <v>1525</v>
      </c>
      <c r="C588" t="s">
        <v>1832</v>
      </c>
      <c r="D588" t="s">
        <v>50</v>
      </c>
      <c r="E588" s="2" t="s">
        <v>1833</v>
      </c>
      <c r="F588">
        <f t="shared" si="27"/>
        <v>7</v>
      </c>
      <c r="G588" s="2">
        <f t="shared" si="28"/>
        <v>60908</v>
      </c>
    </row>
    <row r="589" spans="1:7" x14ac:dyDescent="0.25">
      <c r="A589" t="str">
        <f t="shared" si="29"/>
        <v>Vitacura Población de 65 años o mas</v>
      </c>
      <c r="B589" t="s">
        <v>1525</v>
      </c>
      <c r="C589" t="s">
        <v>1832</v>
      </c>
      <c r="D589" t="s">
        <v>46</v>
      </c>
      <c r="E589" s="2" t="s">
        <v>1831</v>
      </c>
      <c r="F589">
        <f t="shared" si="27"/>
        <v>7</v>
      </c>
      <c r="G589" s="2">
        <f t="shared" si="28"/>
        <v>19720</v>
      </c>
    </row>
    <row r="590" spans="1:7" x14ac:dyDescent="0.25">
      <c r="A590" t="str">
        <f t="shared" si="29"/>
        <v>Curacaví Hombre</v>
      </c>
      <c r="B590" t="s">
        <v>1525</v>
      </c>
      <c r="C590" t="s">
        <v>1825</v>
      </c>
      <c r="D590" t="s">
        <v>58</v>
      </c>
      <c r="E590" s="2" t="s">
        <v>1830</v>
      </c>
      <c r="F590">
        <f t="shared" si="27"/>
        <v>7</v>
      </c>
      <c r="G590" s="2">
        <f t="shared" si="28"/>
        <v>19069</v>
      </c>
    </row>
    <row r="591" spans="1:7" x14ac:dyDescent="0.25">
      <c r="A591" t="str">
        <f t="shared" si="29"/>
        <v>Curacaví Mujer</v>
      </c>
      <c r="B591" t="s">
        <v>1525</v>
      </c>
      <c r="C591" t="s">
        <v>1825</v>
      </c>
      <c r="D591" t="s">
        <v>56</v>
      </c>
      <c r="E591" s="2" t="s">
        <v>1829</v>
      </c>
      <c r="F591">
        <f t="shared" si="27"/>
        <v>7</v>
      </c>
      <c r="G591" s="2">
        <f t="shared" si="28"/>
        <v>19298</v>
      </c>
    </row>
    <row r="592" spans="1:7" x14ac:dyDescent="0.25">
      <c r="A592" t="str">
        <f t="shared" si="29"/>
        <v>Curacaví Población total</v>
      </c>
      <c r="B592" t="s">
        <v>1525</v>
      </c>
      <c r="C592" t="s">
        <v>1825</v>
      </c>
      <c r="D592" t="s">
        <v>54</v>
      </c>
      <c r="E592" s="2" t="s">
        <v>1828</v>
      </c>
      <c r="F592">
        <f t="shared" si="27"/>
        <v>7</v>
      </c>
      <c r="G592" s="2">
        <f t="shared" si="28"/>
        <v>38367</v>
      </c>
    </row>
    <row r="593" spans="1:7" x14ac:dyDescent="0.25">
      <c r="A593" t="str">
        <f t="shared" si="29"/>
        <v>Curacaví Población  de 0 a 14 años</v>
      </c>
      <c r="B593" t="s">
        <v>1525</v>
      </c>
      <c r="C593" t="s">
        <v>1825</v>
      </c>
      <c r="D593" t="s">
        <v>52</v>
      </c>
      <c r="E593" s="2" t="s">
        <v>1827</v>
      </c>
      <c r="F593">
        <f t="shared" si="27"/>
        <v>6</v>
      </c>
      <c r="G593" s="2">
        <f t="shared" si="28"/>
        <v>7384</v>
      </c>
    </row>
    <row r="594" spans="1:7" x14ac:dyDescent="0.25">
      <c r="A594" t="str">
        <f t="shared" si="29"/>
        <v>Curacaví Población  de 15 a 64 años</v>
      </c>
      <c r="B594" t="s">
        <v>1525</v>
      </c>
      <c r="C594" t="s">
        <v>1825</v>
      </c>
      <c r="D594" t="s">
        <v>50</v>
      </c>
      <c r="E594" s="2" t="s">
        <v>1826</v>
      </c>
      <c r="F594">
        <f t="shared" si="27"/>
        <v>7</v>
      </c>
      <c r="G594" s="2">
        <f t="shared" si="28"/>
        <v>25621</v>
      </c>
    </row>
    <row r="595" spans="1:7" x14ac:dyDescent="0.25">
      <c r="A595" t="str">
        <f t="shared" si="29"/>
        <v>Curacaví Población de 65 años o mas</v>
      </c>
      <c r="B595" t="s">
        <v>1525</v>
      </c>
      <c r="C595" t="s">
        <v>1825</v>
      </c>
      <c r="D595" t="s">
        <v>46</v>
      </c>
      <c r="E595" s="2" t="s">
        <v>1824</v>
      </c>
      <c r="F595">
        <f t="shared" si="27"/>
        <v>6</v>
      </c>
      <c r="G595" s="2">
        <f t="shared" si="28"/>
        <v>5362</v>
      </c>
    </row>
    <row r="596" spans="1:7" x14ac:dyDescent="0.25">
      <c r="A596" t="str">
        <f t="shared" si="29"/>
        <v>Renca Hombre</v>
      </c>
      <c r="B596" t="s">
        <v>1525</v>
      </c>
      <c r="C596" t="s">
        <v>1818</v>
      </c>
      <c r="D596" t="s">
        <v>58</v>
      </c>
      <c r="E596" s="2" t="s">
        <v>1823</v>
      </c>
      <c r="F596">
        <f t="shared" si="27"/>
        <v>7</v>
      </c>
      <c r="G596" s="2">
        <f t="shared" si="28"/>
        <v>80668</v>
      </c>
    </row>
    <row r="597" spans="1:7" x14ac:dyDescent="0.25">
      <c r="A597" t="str">
        <f t="shared" si="29"/>
        <v>Renca Mujer</v>
      </c>
      <c r="B597" t="s">
        <v>1525</v>
      </c>
      <c r="C597" t="s">
        <v>1818</v>
      </c>
      <c r="D597" t="s">
        <v>56</v>
      </c>
      <c r="E597" s="2" t="s">
        <v>1822</v>
      </c>
      <c r="F597">
        <f t="shared" si="27"/>
        <v>7</v>
      </c>
      <c r="G597" s="2">
        <f t="shared" si="28"/>
        <v>82434</v>
      </c>
    </row>
    <row r="598" spans="1:7" x14ac:dyDescent="0.25">
      <c r="A598" t="str">
        <f t="shared" si="29"/>
        <v>Renca Población total</v>
      </c>
      <c r="B598" t="s">
        <v>1525</v>
      </c>
      <c r="C598" t="s">
        <v>1818</v>
      </c>
      <c r="D598" t="s">
        <v>54</v>
      </c>
      <c r="E598" s="2" t="s">
        <v>1821</v>
      </c>
      <c r="F598">
        <f t="shared" si="27"/>
        <v>8</v>
      </c>
      <c r="G598" s="2">
        <f t="shared" si="28"/>
        <v>163102</v>
      </c>
    </row>
    <row r="599" spans="1:7" x14ac:dyDescent="0.25">
      <c r="A599" t="str">
        <f t="shared" si="29"/>
        <v>Renca Población  de 0 a 14 años</v>
      </c>
      <c r="B599" t="s">
        <v>1525</v>
      </c>
      <c r="C599" t="s">
        <v>1818</v>
      </c>
      <c r="D599" t="s">
        <v>52</v>
      </c>
      <c r="E599" s="2" t="s">
        <v>1820</v>
      </c>
      <c r="F599">
        <f t="shared" si="27"/>
        <v>7</v>
      </c>
      <c r="G599" s="2">
        <f t="shared" si="28"/>
        <v>33370</v>
      </c>
    </row>
    <row r="600" spans="1:7" x14ac:dyDescent="0.25">
      <c r="A600" t="str">
        <f t="shared" si="29"/>
        <v>Renca Población  de 15 a 64 años</v>
      </c>
      <c r="B600" t="s">
        <v>1525</v>
      </c>
      <c r="C600" t="s">
        <v>1818</v>
      </c>
      <c r="D600" t="s">
        <v>50</v>
      </c>
      <c r="E600" s="2" t="s">
        <v>1819</v>
      </c>
      <c r="F600">
        <f t="shared" si="27"/>
        <v>8</v>
      </c>
      <c r="G600" s="2">
        <f t="shared" si="28"/>
        <v>110313</v>
      </c>
    </row>
    <row r="601" spans="1:7" x14ac:dyDescent="0.25">
      <c r="A601" t="str">
        <f t="shared" si="29"/>
        <v>Renca Población de 65 años o mas</v>
      </c>
      <c r="B601" t="s">
        <v>1525</v>
      </c>
      <c r="C601" t="s">
        <v>1818</v>
      </c>
      <c r="D601" t="s">
        <v>46</v>
      </c>
      <c r="E601" s="2" t="s">
        <v>1817</v>
      </c>
      <c r="F601">
        <f t="shared" si="27"/>
        <v>7</v>
      </c>
      <c r="G601" s="2">
        <f t="shared" si="28"/>
        <v>19419</v>
      </c>
    </row>
    <row r="602" spans="1:7" x14ac:dyDescent="0.25">
      <c r="A602" t="str">
        <f t="shared" si="29"/>
        <v>Recoleta Hombre</v>
      </c>
      <c r="B602" t="s">
        <v>1525</v>
      </c>
      <c r="C602" t="s">
        <v>1811</v>
      </c>
      <c r="D602" t="s">
        <v>58</v>
      </c>
      <c r="E602" s="2" t="s">
        <v>1816</v>
      </c>
      <c r="F602">
        <f t="shared" si="27"/>
        <v>7</v>
      </c>
      <c r="G602" s="2">
        <f t="shared" si="28"/>
        <v>97842</v>
      </c>
    </row>
    <row r="603" spans="1:7" x14ac:dyDescent="0.25">
      <c r="A603" t="str">
        <f t="shared" si="29"/>
        <v>Recoleta Mujer</v>
      </c>
      <c r="B603" t="s">
        <v>1525</v>
      </c>
      <c r="C603" t="s">
        <v>1811</v>
      </c>
      <c r="D603" t="s">
        <v>56</v>
      </c>
      <c r="E603" s="2" t="s">
        <v>1815</v>
      </c>
      <c r="F603">
        <f t="shared" si="27"/>
        <v>7</v>
      </c>
      <c r="G603" s="2">
        <f t="shared" si="28"/>
        <v>99014</v>
      </c>
    </row>
    <row r="604" spans="1:7" x14ac:dyDescent="0.25">
      <c r="A604" t="str">
        <f t="shared" si="29"/>
        <v>Recoleta Población total</v>
      </c>
      <c r="B604" t="s">
        <v>1525</v>
      </c>
      <c r="C604" t="s">
        <v>1811</v>
      </c>
      <c r="D604" t="s">
        <v>54</v>
      </c>
      <c r="E604" s="2" t="s">
        <v>1814</v>
      </c>
      <c r="F604">
        <f t="shared" si="27"/>
        <v>8</v>
      </c>
      <c r="G604" s="2">
        <f t="shared" si="28"/>
        <v>196856</v>
      </c>
    </row>
    <row r="605" spans="1:7" x14ac:dyDescent="0.25">
      <c r="A605" t="str">
        <f t="shared" si="29"/>
        <v>Recoleta Población  de 0 a 14 años</v>
      </c>
      <c r="B605" t="s">
        <v>1525</v>
      </c>
      <c r="C605" t="s">
        <v>1811</v>
      </c>
      <c r="D605" t="s">
        <v>52</v>
      </c>
      <c r="E605" s="2" t="s">
        <v>1813</v>
      </c>
      <c r="F605">
        <f t="shared" si="27"/>
        <v>7</v>
      </c>
      <c r="G605" s="2">
        <f t="shared" si="28"/>
        <v>33088</v>
      </c>
    </row>
    <row r="606" spans="1:7" x14ac:dyDescent="0.25">
      <c r="A606" t="str">
        <f t="shared" si="29"/>
        <v>Recoleta Población  de 15 a 64 años</v>
      </c>
      <c r="B606" t="s">
        <v>1525</v>
      </c>
      <c r="C606" t="s">
        <v>1811</v>
      </c>
      <c r="D606" t="s">
        <v>50</v>
      </c>
      <c r="E606" s="2" t="s">
        <v>1812</v>
      </c>
      <c r="F606">
        <f t="shared" si="27"/>
        <v>8</v>
      </c>
      <c r="G606" s="2">
        <f t="shared" si="28"/>
        <v>134813</v>
      </c>
    </row>
    <row r="607" spans="1:7" x14ac:dyDescent="0.25">
      <c r="A607" t="str">
        <f t="shared" si="29"/>
        <v>Recoleta Población de 65 años o mas</v>
      </c>
      <c r="B607" t="s">
        <v>1525</v>
      </c>
      <c r="C607" t="s">
        <v>1811</v>
      </c>
      <c r="D607" t="s">
        <v>46</v>
      </c>
      <c r="E607" s="2" t="s">
        <v>1810</v>
      </c>
      <c r="F607">
        <f t="shared" si="27"/>
        <v>7</v>
      </c>
      <c r="G607" s="2">
        <f t="shared" si="28"/>
        <v>28955</v>
      </c>
    </row>
    <row r="608" spans="1:7" x14ac:dyDescent="0.25">
      <c r="A608" t="str">
        <f t="shared" si="29"/>
        <v>Independencia Hombre</v>
      </c>
      <c r="B608" t="s">
        <v>1525</v>
      </c>
      <c r="C608" t="s">
        <v>1804</v>
      </c>
      <c r="D608" t="s">
        <v>58</v>
      </c>
      <c r="E608" s="2" t="s">
        <v>1809</v>
      </c>
      <c r="F608">
        <f t="shared" si="27"/>
        <v>7</v>
      </c>
      <c r="G608" s="2">
        <f t="shared" si="28"/>
        <v>77443</v>
      </c>
    </row>
    <row r="609" spans="1:7" x14ac:dyDescent="0.25">
      <c r="A609" t="str">
        <f t="shared" si="29"/>
        <v>Independencia Mujer</v>
      </c>
      <c r="B609" t="s">
        <v>1525</v>
      </c>
      <c r="C609" t="s">
        <v>1804</v>
      </c>
      <c r="D609" t="s">
        <v>56</v>
      </c>
      <c r="E609" s="2" t="s">
        <v>1808</v>
      </c>
      <c r="F609">
        <f t="shared" si="27"/>
        <v>7</v>
      </c>
      <c r="G609" s="2">
        <f t="shared" si="28"/>
        <v>76181</v>
      </c>
    </row>
    <row r="610" spans="1:7" x14ac:dyDescent="0.25">
      <c r="A610" t="str">
        <f t="shared" si="29"/>
        <v>Independencia Población total</v>
      </c>
      <c r="B610" t="s">
        <v>1525</v>
      </c>
      <c r="C610" t="s">
        <v>1804</v>
      </c>
      <c r="D610" t="s">
        <v>54</v>
      </c>
      <c r="E610" s="2" t="s">
        <v>1807</v>
      </c>
      <c r="F610">
        <f t="shared" si="27"/>
        <v>8</v>
      </c>
      <c r="G610" s="2">
        <f t="shared" si="28"/>
        <v>153624</v>
      </c>
    </row>
    <row r="611" spans="1:7" x14ac:dyDescent="0.25">
      <c r="A611" t="str">
        <f t="shared" si="29"/>
        <v>Independencia Población  de 0 a 14 años</v>
      </c>
      <c r="B611" t="s">
        <v>1525</v>
      </c>
      <c r="C611" t="s">
        <v>1804</v>
      </c>
      <c r="D611" t="s">
        <v>52</v>
      </c>
      <c r="E611" s="2" t="s">
        <v>1806</v>
      </c>
      <c r="F611">
        <f t="shared" si="27"/>
        <v>7</v>
      </c>
      <c r="G611" s="2">
        <f t="shared" si="28"/>
        <v>24104</v>
      </c>
    </row>
    <row r="612" spans="1:7" x14ac:dyDescent="0.25">
      <c r="A612" t="str">
        <f t="shared" si="29"/>
        <v>Independencia Población  de 15 a 64 años</v>
      </c>
      <c r="B612" t="s">
        <v>1525</v>
      </c>
      <c r="C612" t="s">
        <v>1804</v>
      </c>
      <c r="D612" t="s">
        <v>50</v>
      </c>
      <c r="E612" s="2" t="s">
        <v>1805</v>
      </c>
      <c r="F612">
        <f t="shared" si="27"/>
        <v>8</v>
      </c>
      <c r="G612" s="2">
        <f t="shared" si="28"/>
        <v>110149</v>
      </c>
    </row>
    <row r="613" spans="1:7" x14ac:dyDescent="0.25">
      <c r="A613" t="str">
        <f t="shared" si="29"/>
        <v>Independencia Población de 65 años o mas</v>
      </c>
      <c r="B613" t="s">
        <v>1525</v>
      </c>
      <c r="C613" t="s">
        <v>1804</v>
      </c>
      <c r="D613" t="s">
        <v>46</v>
      </c>
      <c r="E613" s="2" t="s">
        <v>1803</v>
      </c>
      <c r="F613">
        <f t="shared" si="27"/>
        <v>7</v>
      </c>
      <c r="G613" s="2">
        <f t="shared" si="28"/>
        <v>19371</v>
      </c>
    </row>
    <row r="614" spans="1:7" x14ac:dyDescent="0.25">
      <c r="A614" t="str">
        <f t="shared" si="29"/>
        <v>Las Condes Hombre</v>
      </c>
      <c r="B614" t="s">
        <v>1525</v>
      </c>
      <c r="C614" t="s">
        <v>1797</v>
      </c>
      <c r="D614" t="s">
        <v>58</v>
      </c>
      <c r="E614" s="2" t="s">
        <v>1802</v>
      </c>
      <c r="F614">
        <f t="shared" si="27"/>
        <v>8</v>
      </c>
      <c r="G614" s="2">
        <f t="shared" si="28"/>
        <v>167662</v>
      </c>
    </row>
    <row r="615" spans="1:7" x14ac:dyDescent="0.25">
      <c r="A615" t="str">
        <f t="shared" si="29"/>
        <v>Las Condes Mujer</v>
      </c>
      <c r="B615" t="s">
        <v>1525</v>
      </c>
      <c r="C615" t="s">
        <v>1797</v>
      </c>
      <c r="D615" t="s">
        <v>56</v>
      </c>
      <c r="E615" s="2" t="s">
        <v>1801</v>
      </c>
      <c r="F615">
        <f t="shared" si="27"/>
        <v>8</v>
      </c>
      <c r="G615" s="2">
        <f t="shared" si="28"/>
        <v>175970</v>
      </c>
    </row>
    <row r="616" spans="1:7" x14ac:dyDescent="0.25">
      <c r="A616" t="str">
        <f t="shared" si="29"/>
        <v>Las Condes Población total</v>
      </c>
      <c r="B616" t="s">
        <v>1525</v>
      </c>
      <c r="C616" t="s">
        <v>1797</v>
      </c>
      <c r="D616" t="s">
        <v>54</v>
      </c>
      <c r="E616" s="2" t="s">
        <v>1800</v>
      </c>
      <c r="F616">
        <f t="shared" si="27"/>
        <v>8</v>
      </c>
      <c r="G616" s="2">
        <f t="shared" si="28"/>
        <v>343632</v>
      </c>
    </row>
    <row r="617" spans="1:7" x14ac:dyDescent="0.25">
      <c r="A617" t="str">
        <f t="shared" si="29"/>
        <v>Las Condes Población  de 0 a 14 años</v>
      </c>
      <c r="B617" t="s">
        <v>1525</v>
      </c>
      <c r="C617" t="s">
        <v>1797</v>
      </c>
      <c r="D617" t="s">
        <v>52</v>
      </c>
      <c r="E617" s="2" t="s">
        <v>1799</v>
      </c>
      <c r="F617">
        <f t="shared" si="27"/>
        <v>7</v>
      </c>
      <c r="G617" s="2">
        <f t="shared" si="28"/>
        <v>49282</v>
      </c>
    </row>
    <row r="618" spans="1:7" x14ac:dyDescent="0.25">
      <c r="A618" t="str">
        <f t="shared" si="29"/>
        <v>Las Condes Población  de 15 a 64 años</v>
      </c>
      <c r="B618" t="s">
        <v>1525</v>
      </c>
      <c r="C618" t="s">
        <v>1797</v>
      </c>
      <c r="D618" t="s">
        <v>50</v>
      </c>
      <c r="E618" s="2" t="s">
        <v>1798</v>
      </c>
      <c r="F618">
        <f t="shared" si="27"/>
        <v>8</v>
      </c>
      <c r="G618" s="2">
        <f t="shared" si="28"/>
        <v>232604</v>
      </c>
    </row>
    <row r="619" spans="1:7" x14ac:dyDescent="0.25">
      <c r="A619" t="str">
        <f t="shared" si="29"/>
        <v>Las Condes Población de 65 años o mas</v>
      </c>
      <c r="B619" t="s">
        <v>1525</v>
      </c>
      <c r="C619" t="s">
        <v>1797</v>
      </c>
      <c r="D619" t="s">
        <v>46</v>
      </c>
      <c r="E619" s="2" t="s">
        <v>1796</v>
      </c>
      <c r="F619">
        <f t="shared" si="27"/>
        <v>7</v>
      </c>
      <c r="G619" s="2">
        <f t="shared" si="28"/>
        <v>61746</v>
      </c>
    </row>
    <row r="620" spans="1:7" x14ac:dyDescent="0.25">
      <c r="A620" t="str">
        <f t="shared" si="29"/>
        <v>Cerro Navia Hombre</v>
      </c>
      <c r="B620" t="s">
        <v>1525</v>
      </c>
      <c r="C620" t="s">
        <v>1790</v>
      </c>
      <c r="D620" t="s">
        <v>58</v>
      </c>
      <c r="E620" s="2" t="s">
        <v>1795</v>
      </c>
      <c r="F620">
        <f t="shared" si="27"/>
        <v>7</v>
      </c>
      <c r="G620" s="2">
        <f t="shared" si="28"/>
        <v>69456</v>
      </c>
    </row>
    <row r="621" spans="1:7" x14ac:dyDescent="0.25">
      <c r="A621" t="str">
        <f t="shared" si="29"/>
        <v>Cerro Navia Mujer</v>
      </c>
      <c r="B621" t="s">
        <v>1525</v>
      </c>
      <c r="C621" t="s">
        <v>1790</v>
      </c>
      <c r="D621" t="s">
        <v>56</v>
      </c>
      <c r="E621" s="2" t="s">
        <v>1794</v>
      </c>
      <c r="F621">
        <f t="shared" si="27"/>
        <v>7</v>
      </c>
      <c r="G621" s="2">
        <f t="shared" si="28"/>
        <v>70176</v>
      </c>
    </row>
    <row r="622" spans="1:7" x14ac:dyDescent="0.25">
      <c r="A622" t="str">
        <f t="shared" si="29"/>
        <v>Cerro Navia Población total</v>
      </c>
      <c r="B622" t="s">
        <v>1525</v>
      </c>
      <c r="C622" t="s">
        <v>1790</v>
      </c>
      <c r="D622" t="s">
        <v>54</v>
      </c>
      <c r="E622" s="2" t="s">
        <v>1793</v>
      </c>
      <c r="F622">
        <f t="shared" si="27"/>
        <v>8</v>
      </c>
      <c r="G622" s="2">
        <f t="shared" si="28"/>
        <v>139632</v>
      </c>
    </row>
    <row r="623" spans="1:7" x14ac:dyDescent="0.25">
      <c r="A623" t="str">
        <f t="shared" si="29"/>
        <v>Cerro Navia Población  de 0 a 14 años</v>
      </c>
      <c r="B623" t="s">
        <v>1525</v>
      </c>
      <c r="C623" t="s">
        <v>1790</v>
      </c>
      <c r="D623" t="s">
        <v>52</v>
      </c>
      <c r="E623" s="2" t="s">
        <v>1792</v>
      </c>
      <c r="F623">
        <f t="shared" si="27"/>
        <v>7</v>
      </c>
      <c r="G623" s="2">
        <f t="shared" si="28"/>
        <v>25744</v>
      </c>
    </row>
    <row r="624" spans="1:7" x14ac:dyDescent="0.25">
      <c r="A624" t="str">
        <f t="shared" si="29"/>
        <v>Cerro Navia Población  de 15 a 64 años</v>
      </c>
      <c r="B624" t="s">
        <v>1525</v>
      </c>
      <c r="C624" t="s">
        <v>1790</v>
      </c>
      <c r="D624" t="s">
        <v>50</v>
      </c>
      <c r="E624" s="2" t="s">
        <v>1791</v>
      </c>
      <c r="F624">
        <f t="shared" si="27"/>
        <v>7</v>
      </c>
      <c r="G624" s="2">
        <f t="shared" si="28"/>
        <v>93465</v>
      </c>
    </row>
    <row r="625" spans="1:7" x14ac:dyDescent="0.25">
      <c r="A625" t="str">
        <f t="shared" si="29"/>
        <v>Cerro Navia Población de 65 años o mas</v>
      </c>
      <c r="B625" t="s">
        <v>1525</v>
      </c>
      <c r="C625" t="s">
        <v>1790</v>
      </c>
      <c r="D625" t="s">
        <v>46</v>
      </c>
      <c r="E625" s="2" t="s">
        <v>1789</v>
      </c>
      <c r="F625">
        <f t="shared" si="27"/>
        <v>7</v>
      </c>
      <c r="G625" s="2">
        <f t="shared" si="28"/>
        <v>20423</v>
      </c>
    </row>
    <row r="626" spans="1:7" x14ac:dyDescent="0.25">
      <c r="A626" t="str">
        <f t="shared" si="29"/>
        <v>Quinta Normal Hombre</v>
      </c>
      <c r="B626" t="s">
        <v>1525</v>
      </c>
      <c r="C626" t="s">
        <v>1783</v>
      </c>
      <c r="D626" t="s">
        <v>58</v>
      </c>
      <c r="E626" s="2" t="s">
        <v>1788</v>
      </c>
      <c r="F626">
        <f t="shared" si="27"/>
        <v>7</v>
      </c>
      <c r="G626" s="2">
        <f t="shared" si="28"/>
        <v>70073</v>
      </c>
    </row>
    <row r="627" spans="1:7" x14ac:dyDescent="0.25">
      <c r="A627" t="str">
        <f t="shared" si="29"/>
        <v>Quinta Normal Mujer</v>
      </c>
      <c r="B627" t="s">
        <v>1525</v>
      </c>
      <c r="C627" t="s">
        <v>1783</v>
      </c>
      <c r="D627" t="s">
        <v>56</v>
      </c>
      <c r="E627" s="2" t="s">
        <v>1787</v>
      </c>
      <c r="F627">
        <f t="shared" si="27"/>
        <v>7</v>
      </c>
      <c r="G627" s="2">
        <f t="shared" si="28"/>
        <v>71750</v>
      </c>
    </row>
    <row r="628" spans="1:7" x14ac:dyDescent="0.25">
      <c r="A628" t="str">
        <f t="shared" si="29"/>
        <v>Quinta Normal Población total</v>
      </c>
      <c r="B628" t="s">
        <v>1525</v>
      </c>
      <c r="C628" t="s">
        <v>1783</v>
      </c>
      <c r="D628" t="s">
        <v>54</v>
      </c>
      <c r="E628" s="2" t="s">
        <v>1786</v>
      </c>
      <c r="F628">
        <f t="shared" si="27"/>
        <v>8</v>
      </c>
      <c r="G628" s="2">
        <f t="shared" si="28"/>
        <v>141823</v>
      </c>
    </row>
    <row r="629" spans="1:7" x14ac:dyDescent="0.25">
      <c r="A629" t="str">
        <f t="shared" si="29"/>
        <v>Quinta Normal Población  de 0 a 14 años</v>
      </c>
      <c r="B629" t="s">
        <v>1525</v>
      </c>
      <c r="C629" t="s">
        <v>1783</v>
      </c>
      <c r="D629" t="s">
        <v>52</v>
      </c>
      <c r="E629" s="2" t="s">
        <v>1785</v>
      </c>
      <c r="F629">
        <f t="shared" si="27"/>
        <v>7</v>
      </c>
      <c r="G629" s="2">
        <f t="shared" si="28"/>
        <v>23110</v>
      </c>
    </row>
    <row r="630" spans="1:7" x14ac:dyDescent="0.25">
      <c r="A630" t="str">
        <f t="shared" si="29"/>
        <v>Quinta Normal Población  de 15 a 64 años</v>
      </c>
      <c r="B630" t="s">
        <v>1525</v>
      </c>
      <c r="C630" t="s">
        <v>1783</v>
      </c>
      <c r="D630" t="s">
        <v>50</v>
      </c>
      <c r="E630" s="2" t="s">
        <v>1784</v>
      </c>
      <c r="F630">
        <f t="shared" si="27"/>
        <v>7</v>
      </c>
      <c r="G630" s="2">
        <f t="shared" si="28"/>
        <v>97327</v>
      </c>
    </row>
    <row r="631" spans="1:7" x14ac:dyDescent="0.25">
      <c r="A631" t="str">
        <f t="shared" si="29"/>
        <v>Quinta Normal Población de 65 años o mas</v>
      </c>
      <c r="B631" t="s">
        <v>1525</v>
      </c>
      <c r="C631" t="s">
        <v>1783</v>
      </c>
      <c r="D631" t="s">
        <v>46</v>
      </c>
      <c r="E631" s="2" t="s">
        <v>1782</v>
      </c>
      <c r="F631">
        <f t="shared" si="27"/>
        <v>7</v>
      </c>
      <c r="G631" s="2">
        <f t="shared" si="28"/>
        <v>21386</v>
      </c>
    </row>
    <row r="632" spans="1:7" x14ac:dyDescent="0.25">
      <c r="A632" t="str">
        <f t="shared" si="29"/>
        <v>Providencia Hombre</v>
      </c>
      <c r="B632" t="s">
        <v>1525</v>
      </c>
      <c r="C632" t="s">
        <v>1776</v>
      </c>
      <c r="D632" t="s">
        <v>58</v>
      </c>
      <c r="E632" s="2" t="s">
        <v>1781</v>
      </c>
      <c r="F632">
        <f t="shared" si="27"/>
        <v>7</v>
      </c>
      <c r="G632" s="2">
        <f t="shared" si="28"/>
        <v>80029</v>
      </c>
    </row>
    <row r="633" spans="1:7" x14ac:dyDescent="0.25">
      <c r="A633" t="str">
        <f t="shared" si="29"/>
        <v>Providencia Mujer</v>
      </c>
      <c r="B633" t="s">
        <v>1525</v>
      </c>
      <c r="C633" t="s">
        <v>1776</v>
      </c>
      <c r="D633" t="s">
        <v>56</v>
      </c>
      <c r="E633" s="2" t="s">
        <v>1780</v>
      </c>
      <c r="F633">
        <f t="shared" si="27"/>
        <v>7</v>
      </c>
      <c r="G633" s="2">
        <f t="shared" si="28"/>
        <v>83980</v>
      </c>
    </row>
    <row r="634" spans="1:7" x14ac:dyDescent="0.25">
      <c r="A634" t="str">
        <f t="shared" si="29"/>
        <v>Providencia Población total</v>
      </c>
      <c r="B634" t="s">
        <v>1525</v>
      </c>
      <c r="C634" t="s">
        <v>1776</v>
      </c>
      <c r="D634" t="s">
        <v>54</v>
      </c>
      <c r="E634" s="2" t="s">
        <v>1779</v>
      </c>
      <c r="F634">
        <f t="shared" si="27"/>
        <v>8</v>
      </c>
      <c r="G634" s="2">
        <f t="shared" si="28"/>
        <v>164009</v>
      </c>
    </row>
    <row r="635" spans="1:7" x14ac:dyDescent="0.25">
      <c r="A635" t="str">
        <f t="shared" si="29"/>
        <v>Providencia Población  de 0 a 14 años</v>
      </c>
      <c r="B635" t="s">
        <v>1525</v>
      </c>
      <c r="C635" t="s">
        <v>1776</v>
      </c>
      <c r="D635" t="s">
        <v>52</v>
      </c>
      <c r="E635" s="2" t="s">
        <v>1778</v>
      </c>
      <c r="F635">
        <f t="shared" si="27"/>
        <v>7</v>
      </c>
      <c r="G635" s="2">
        <f t="shared" si="28"/>
        <v>18856</v>
      </c>
    </row>
    <row r="636" spans="1:7" x14ac:dyDescent="0.25">
      <c r="A636" t="str">
        <f t="shared" si="29"/>
        <v>Providencia Población  de 15 a 64 años</v>
      </c>
      <c r="B636" t="s">
        <v>1525</v>
      </c>
      <c r="C636" t="s">
        <v>1776</v>
      </c>
      <c r="D636" t="s">
        <v>50</v>
      </c>
      <c r="E636" s="2" t="s">
        <v>1777</v>
      </c>
      <c r="F636">
        <f t="shared" si="27"/>
        <v>8</v>
      </c>
      <c r="G636" s="2">
        <f t="shared" si="28"/>
        <v>116656</v>
      </c>
    </row>
    <row r="637" spans="1:7" x14ac:dyDescent="0.25">
      <c r="A637" t="str">
        <f t="shared" si="29"/>
        <v>Providencia Población de 65 años o mas</v>
      </c>
      <c r="B637" t="s">
        <v>1525</v>
      </c>
      <c r="C637" t="s">
        <v>1776</v>
      </c>
      <c r="D637" t="s">
        <v>46</v>
      </c>
      <c r="E637" s="2" t="s">
        <v>1775</v>
      </c>
      <c r="F637">
        <f t="shared" si="27"/>
        <v>7</v>
      </c>
      <c r="G637" s="2">
        <f t="shared" si="28"/>
        <v>28497</v>
      </c>
    </row>
    <row r="638" spans="1:7" x14ac:dyDescent="0.25">
      <c r="A638" t="str">
        <f t="shared" si="29"/>
        <v>Pudahuel Hombre</v>
      </c>
      <c r="B638" t="s">
        <v>1525</v>
      </c>
      <c r="C638" t="s">
        <v>1769</v>
      </c>
      <c r="D638" t="s">
        <v>58</v>
      </c>
      <c r="E638" s="2" t="s">
        <v>1774</v>
      </c>
      <c r="F638">
        <f t="shared" si="27"/>
        <v>8</v>
      </c>
      <c r="G638" s="2">
        <f t="shared" si="28"/>
        <v>129048</v>
      </c>
    </row>
    <row r="639" spans="1:7" x14ac:dyDescent="0.25">
      <c r="A639" t="str">
        <f t="shared" si="29"/>
        <v>Pudahuel Mujer</v>
      </c>
      <c r="B639" t="s">
        <v>1525</v>
      </c>
      <c r="C639" t="s">
        <v>1769</v>
      </c>
      <c r="D639" t="s">
        <v>56</v>
      </c>
      <c r="E639" s="2" t="s">
        <v>1773</v>
      </c>
      <c r="F639">
        <f t="shared" si="27"/>
        <v>8</v>
      </c>
      <c r="G639" s="2">
        <f t="shared" si="28"/>
        <v>132548</v>
      </c>
    </row>
    <row r="640" spans="1:7" x14ac:dyDescent="0.25">
      <c r="A640" t="str">
        <f t="shared" si="29"/>
        <v>Pudahuel Población total</v>
      </c>
      <c r="B640" t="s">
        <v>1525</v>
      </c>
      <c r="C640" t="s">
        <v>1769</v>
      </c>
      <c r="D640" t="s">
        <v>54</v>
      </c>
      <c r="E640" s="2" t="s">
        <v>1772</v>
      </c>
      <c r="F640">
        <f t="shared" si="27"/>
        <v>8</v>
      </c>
      <c r="G640" s="2">
        <f t="shared" si="28"/>
        <v>261596</v>
      </c>
    </row>
    <row r="641" spans="1:7" x14ac:dyDescent="0.25">
      <c r="A641" t="str">
        <f t="shared" si="29"/>
        <v>Pudahuel Población  de 0 a 14 años</v>
      </c>
      <c r="B641" t="s">
        <v>1525</v>
      </c>
      <c r="C641" t="s">
        <v>1769</v>
      </c>
      <c r="D641" t="s">
        <v>52</v>
      </c>
      <c r="E641" s="2" t="s">
        <v>1771</v>
      </c>
      <c r="F641">
        <f t="shared" si="27"/>
        <v>7</v>
      </c>
      <c r="G641" s="2">
        <f t="shared" si="28"/>
        <v>51975</v>
      </c>
    </row>
    <row r="642" spans="1:7" x14ac:dyDescent="0.25">
      <c r="A642" t="str">
        <f t="shared" si="29"/>
        <v>Pudahuel Población  de 15 a 64 años</v>
      </c>
      <c r="B642" t="s">
        <v>1525</v>
      </c>
      <c r="C642" t="s">
        <v>1769</v>
      </c>
      <c r="D642" t="s">
        <v>50</v>
      </c>
      <c r="E642" s="2" t="s">
        <v>1770</v>
      </c>
      <c r="F642">
        <f t="shared" ref="F642:F705" si="30">+FIND(".",E642)</f>
        <v>8</v>
      </c>
      <c r="G642" s="2">
        <f t="shared" ref="G642:G705" si="31">+LEFT(E642,(F642-1))*1</f>
        <v>183162</v>
      </c>
    </row>
    <row r="643" spans="1:7" x14ac:dyDescent="0.25">
      <c r="A643" t="str">
        <f t="shared" ref="A643:A706" si="32">+C643&amp;D643</f>
        <v>Pudahuel Población de 65 años o mas</v>
      </c>
      <c r="B643" t="s">
        <v>1525</v>
      </c>
      <c r="C643" t="s">
        <v>1769</v>
      </c>
      <c r="D643" t="s">
        <v>46</v>
      </c>
      <c r="E643" s="2" t="s">
        <v>1768</v>
      </c>
      <c r="F643">
        <f t="shared" si="30"/>
        <v>7</v>
      </c>
      <c r="G643" s="2">
        <f t="shared" si="31"/>
        <v>26459</v>
      </c>
    </row>
    <row r="644" spans="1:7" x14ac:dyDescent="0.25">
      <c r="A644" t="str">
        <f t="shared" si="32"/>
        <v>La Reina Hombre</v>
      </c>
      <c r="B644" t="s">
        <v>1525</v>
      </c>
      <c r="C644" t="s">
        <v>1762</v>
      </c>
      <c r="D644" t="s">
        <v>58</v>
      </c>
      <c r="E644" s="2" t="s">
        <v>1767</v>
      </c>
      <c r="F644">
        <f t="shared" si="30"/>
        <v>7</v>
      </c>
      <c r="G644" s="2">
        <f t="shared" si="31"/>
        <v>48520</v>
      </c>
    </row>
    <row r="645" spans="1:7" x14ac:dyDescent="0.25">
      <c r="A645" t="str">
        <f t="shared" si="32"/>
        <v>La Reina Mujer</v>
      </c>
      <c r="B645" t="s">
        <v>1525</v>
      </c>
      <c r="C645" t="s">
        <v>1762</v>
      </c>
      <c r="D645" t="s">
        <v>56</v>
      </c>
      <c r="E645" s="2" t="s">
        <v>1766</v>
      </c>
      <c r="F645">
        <f t="shared" si="30"/>
        <v>7</v>
      </c>
      <c r="G645" s="2">
        <f t="shared" si="31"/>
        <v>50692</v>
      </c>
    </row>
    <row r="646" spans="1:7" x14ac:dyDescent="0.25">
      <c r="A646" t="str">
        <f t="shared" si="32"/>
        <v>La Reina Población total</v>
      </c>
      <c r="B646" t="s">
        <v>1525</v>
      </c>
      <c r="C646" t="s">
        <v>1762</v>
      </c>
      <c r="D646" t="s">
        <v>54</v>
      </c>
      <c r="E646" s="2" t="s">
        <v>1765</v>
      </c>
      <c r="F646">
        <f t="shared" si="30"/>
        <v>7</v>
      </c>
      <c r="G646" s="2">
        <f t="shared" si="31"/>
        <v>99212</v>
      </c>
    </row>
    <row r="647" spans="1:7" x14ac:dyDescent="0.25">
      <c r="A647" t="str">
        <f t="shared" si="32"/>
        <v>La Reina Población  de 0 a 14 años</v>
      </c>
      <c r="B647" t="s">
        <v>1525</v>
      </c>
      <c r="C647" t="s">
        <v>1762</v>
      </c>
      <c r="D647" t="s">
        <v>52</v>
      </c>
      <c r="E647" s="2" t="s">
        <v>1764</v>
      </c>
      <c r="F647">
        <f t="shared" si="30"/>
        <v>7</v>
      </c>
      <c r="G647" s="2">
        <f t="shared" si="31"/>
        <v>16671</v>
      </c>
    </row>
    <row r="648" spans="1:7" x14ac:dyDescent="0.25">
      <c r="A648" t="str">
        <f t="shared" si="32"/>
        <v>La Reina Población  de 15 a 64 años</v>
      </c>
      <c r="B648" t="s">
        <v>1525</v>
      </c>
      <c r="C648" t="s">
        <v>1762</v>
      </c>
      <c r="D648" t="s">
        <v>50</v>
      </c>
      <c r="E648" s="2" t="s">
        <v>1763</v>
      </c>
      <c r="F648">
        <f t="shared" si="30"/>
        <v>7</v>
      </c>
      <c r="G648" s="2">
        <f t="shared" si="31"/>
        <v>65604</v>
      </c>
    </row>
    <row r="649" spans="1:7" x14ac:dyDescent="0.25">
      <c r="A649" t="str">
        <f t="shared" si="32"/>
        <v>La Reina Población de 65 años o mas</v>
      </c>
      <c r="B649" t="s">
        <v>1525</v>
      </c>
      <c r="C649" t="s">
        <v>1762</v>
      </c>
      <c r="D649" t="s">
        <v>46</v>
      </c>
      <c r="E649" s="2" t="s">
        <v>1761</v>
      </c>
      <c r="F649">
        <f t="shared" si="30"/>
        <v>7</v>
      </c>
      <c r="G649" s="2">
        <f t="shared" si="31"/>
        <v>16937</v>
      </c>
    </row>
    <row r="650" spans="1:7" x14ac:dyDescent="0.25">
      <c r="A650" t="str">
        <f t="shared" si="32"/>
        <v>Lo Prado Hombre</v>
      </c>
      <c r="B650" t="s">
        <v>1525</v>
      </c>
      <c r="C650" t="s">
        <v>1755</v>
      </c>
      <c r="D650" t="s">
        <v>58</v>
      </c>
      <c r="E650" s="2" t="s">
        <v>1760</v>
      </c>
      <c r="F650">
        <f t="shared" si="30"/>
        <v>7</v>
      </c>
      <c r="G650" s="2">
        <f t="shared" si="31"/>
        <v>50463</v>
      </c>
    </row>
    <row r="651" spans="1:7" x14ac:dyDescent="0.25">
      <c r="A651" t="str">
        <f t="shared" si="32"/>
        <v>Lo Prado Mujer</v>
      </c>
      <c r="B651" t="s">
        <v>1525</v>
      </c>
      <c r="C651" t="s">
        <v>1755</v>
      </c>
      <c r="D651" t="s">
        <v>56</v>
      </c>
      <c r="E651" s="2" t="s">
        <v>1759</v>
      </c>
      <c r="F651">
        <f t="shared" si="30"/>
        <v>7</v>
      </c>
      <c r="G651" s="2">
        <f t="shared" si="31"/>
        <v>51615</v>
      </c>
    </row>
    <row r="652" spans="1:7" x14ac:dyDescent="0.25">
      <c r="A652" t="str">
        <f t="shared" si="32"/>
        <v>Lo Prado Población total</v>
      </c>
      <c r="B652" t="s">
        <v>1525</v>
      </c>
      <c r="C652" t="s">
        <v>1755</v>
      </c>
      <c r="D652" t="s">
        <v>54</v>
      </c>
      <c r="E652" s="2" t="s">
        <v>1758</v>
      </c>
      <c r="F652">
        <f t="shared" si="30"/>
        <v>8</v>
      </c>
      <c r="G652" s="2">
        <f t="shared" si="31"/>
        <v>102078</v>
      </c>
    </row>
    <row r="653" spans="1:7" x14ac:dyDescent="0.25">
      <c r="A653" t="str">
        <f t="shared" si="32"/>
        <v>Lo Prado Población  de 0 a 14 años</v>
      </c>
      <c r="B653" t="s">
        <v>1525</v>
      </c>
      <c r="C653" t="s">
        <v>1755</v>
      </c>
      <c r="D653" t="s">
        <v>52</v>
      </c>
      <c r="E653" s="2" t="s">
        <v>1757</v>
      </c>
      <c r="F653">
        <f t="shared" si="30"/>
        <v>7</v>
      </c>
      <c r="G653" s="2">
        <f t="shared" si="31"/>
        <v>17168</v>
      </c>
    </row>
    <row r="654" spans="1:7" x14ac:dyDescent="0.25">
      <c r="A654" t="str">
        <f t="shared" si="32"/>
        <v>Lo Prado Población  de 15 a 64 años</v>
      </c>
      <c r="B654" t="s">
        <v>1525</v>
      </c>
      <c r="C654" t="s">
        <v>1755</v>
      </c>
      <c r="D654" t="s">
        <v>50</v>
      </c>
      <c r="E654" s="2" t="s">
        <v>1756</v>
      </c>
      <c r="F654">
        <f t="shared" si="30"/>
        <v>7</v>
      </c>
      <c r="G654" s="2">
        <f t="shared" si="31"/>
        <v>67466</v>
      </c>
    </row>
    <row r="655" spans="1:7" x14ac:dyDescent="0.25">
      <c r="A655" t="str">
        <f t="shared" si="32"/>
        <v>Lo Prado Población de 65 años o mas</v>
      </c>
      <c r="B655" t="s">
        <v>1525</v>
      </c>
      <c r="C655" t="s">
        <v>1755</v>
      </c>
      <c r="D655" t="s">
        <v>46</v>
      </c>
      <c r="E655" s="2" t="s">
        <v>1754</v>
      </c>
      <c r="F655">
        <f t="shared" si="30"/>
        <v>7</v>
      </c>
      <c r="G655" s="2">
        <f t="shared" si="31"/>
        <v>17444</v>
      </c>
    </row>
    <row r="656" spans="1:7" x14ac:dyDescent="0.25">
      <c r="A656" t="str">
        <f t="shared" si="32"/>
        <v>Santiago Hombre</v>
      </c>
      <c r="B656" t="s">
        <v>1525</v>
      </c>
      <c r="C656" t="s">
        <v>1748</v>
      </c>
      <c r="D656" t="s">
        <v>58</v>
      </c>
      <c r="E656" s="2" t="s">
        <v>1753</v>
      </c>
      <c r="F656">
        <f t="shared" si="30"/>
        <v>8</v>
      </c>
      <c r="G656" s="2">
        <f t="shared" si="31"/>
        <v>274718</v>
      </c>
    </row>
    <row r="657" spans="1:7" x14ac:dyDescent="0.25">
      <c r="A657" t="str">
        <f t="shared" si="32"/>
        <v>Santiago Mujer</v>
      </c>
      <c r="B657" t="s">
        <v>1525</v>
      </c>
      <c r="C657" t="s">
        <v>1748</v>
      </c>
      <c r="D657" t="s">
        <v>56</v>
      </c>
      <c r="E657" s="2" t="s">
        <v>1752</v>
      </c>
      <c r="F657">
        <f t="shared" si="30"/>
        <v>8</v>
      </c>
      <c r="G657" s="2">
        <f t="shared" si="31"/>
        <v>269670</v>
      </c>
    </row>
    <row r="658" spans="1:7" x14ac:dyDescent="0.25">
      <c r="A658" t="str">
        <f t="shared" si="32"/>
        <v>Santiago Población total</v>
      </c>
      <c r="B658" t="s">
        <v>1525</v>
      </c>
      <c r="C658" t="s">
        <v>1748</v>
      </c>
      <c r="D658" t="s">
        <v>54</v>
      </c>
      <c r="E658" s="2" t="s">
        <v>1751</v>
      </c>
      <c r="F658">
        <f t="shared" si="30"/>
        <v>8</v>
      </c>
      <c r="G658" s="2">
        <f t="shared" si="31"/>
        <v>544388</v>
      </c>
    </row>
    <row r="659" spans="1:7" x14ac:dyDescent="0.25">
      <c r="A659" t="str">
        <f t="shared" si="32"/>
        <v>Santiago Población  de 0 a 14 años</v>
      </c>
      <c r="B659" t="s">
        <v>1525</v>
      </c>
      <c r="C659" t="s">
        <v>1748</v>
      </c>
      <c r="D659" t="s">
        <v>52</v>
      </c>
      <c r="E659" s="2" t="s">
        <v>1750</v>
      </c>
      <c r="F659">
        <f t="shared" si="30"/>
        <v>7</v>
      </c>
      <c r="G659" s="2">
        <f t="shared" si="31"/>
        <v>61416</v>
      </c>
    </row>
    <row r="660" spans="1:7" x14ac:dyDescent="0.25">
      <c r="A660" t="str">
        <f t="shared" si="32"/>
        <v>Santiago Población  de 15 a 64 años</v>
      </c>
      <c r="B660" t="s">
        <v>1525</v>
      </c>
      <c r="C660" t="s">
        <v>1748</v>
      </c>
      <c r="D660" t="s">
        <v>50</v>
      </c>
      <c r="E660" s="2" t="s">
        <v>1749</v>
      </c>
      <c r="F660">
        <f t="shared" si="30"/>
        <v>8</v>
      </c>
      <c r="G660" s="2">
        <f t="shared" si="31"/>
        <v>434119</v>
      </c>
    </row>
    <row r="661" spans="1:7" x14ac:dyDescent="0.25">
      <c r="A661" t="str">
        <f t="shared" si="32"/>
        <v>Santiago Población de 65 años o mas</v>
      </c>
      <c r="B661" t="s">
        <v>1525</v>
      </c>
      <c r="C661" t="s">
        <v>1748</v>
      </c>
      <c r="D661" t="s">
        <v>46</v>
      </c>
      <c r="E661" s="2" t="s">
        <v>1747</v>
      </c>
      <c r="F661">
        <f t="shared" si="30"/>
        <v>7</v>
      </c>
      <c r="G661" s="2">
        <f t="shared" si="31"/>
        <v>48853</v>
      </c>
    </row>
    <row r="662" spans="1:7" x14ac:dyDescent="0.25">
      <c r="A662" t="str">
        <f t="shared" si="32"/>
        <v>Ñuñoa Hombre</v>
      </c>
      <c r="B662" t="s">
        <v>1525</v>
      </c>
      <c r="C662" t="s">
        <v>1741</v>
      </c>
      <c r="D662" t="s">
        <v>58</v>
      </c>
      <c r="E662" s="2" t="s">
        <v>1746</v>
      </c>
      <c r="F662">
        <f t="shared" si="30"/>
        <v>8</v>
      </c>
      <c r="G662" s="2">
        <f t="shared" si="31"/>
        <v>130692</v>
      </c>
    </row>
    <row r="663" spans="1:7" x14ac:dyDescent="0.25">
      <c r="A663" t="str">
        <f t="shared" si="32"/>
        <v>Ñuñoa Mujer</v>
      </c>
      <c r="B663" t="s">
        <v>1525</v>
      </c>
      <c r="C663" t="s">
        <v>1741</v>
      </c>
      <c r="D663" t="s">
        <v>56</v>
      </c>
      <c r="E663" s="2" t="s">
        <v>1745</v>
      </c>
      <c r="F663">
        <f t="shared" si="30"/>
        <v>8</v>
      </c>
      <c r="G663" s="2">
        <f t="shared" si="31"/>
        <v>136214</v>
      </c>
    </row>
    <row r="664" spans="1:7" x14ac:dyDescent="0.25">
      <c r="A664" t="str">
        <f t="shared" si="32"/>
        <v>Ñuñoa Población total</v>
      </c>
      <c r="B664" t="s">
        <v>1525</v>
      </c>
      <c r="C664" t="s">
        <v>1741</v>
      </c>
      <c r="D664" t="s">
        <v>54</v>
      </c>
      <c r="E664" s="2" t="s">
        <v>1744</v>
      </c>
      <c r="F664">
        <f t="shared" si="30"/>
        <v>8</v>
      </c>
      <c r="G664" s="2">
        <f t="shared" si="31"/>
        <v>266906</v>
      </c>
    </row>
    <row r="665" spans="1:7" x14ac:dyDescent="0.25">
      <c r="A665" t="str">
        <f t="shared" si="32"/>
        <v>Ñuñoa Población  de 0 a 14 años</v>
      </c>
      <c r="B665" t="s">
        <v>1525</v>
      </c>
      <c r="C665" t="s">
        <v>1741</v>
      </c>
      <c r="D665" t="s">
        <v>52</v>
      </c>
      <c r="E665" s="2" t="s">
        <v>1743</v>
      </c>
      <c r="F665">
        <f t="shared" si="30"/>
        <v>7</v>
      </c>
      <c r="G665" s="2">
        <f t="shared" si="31"/>
        <v>36355</v>
      </c>
    </row>
    <row r="666" spans="1:7" x14ac:dyDescent="0.25">
      <c r="A666" t="str">
        <f t="shared" si="32"/>
        <v>Ñuñoa Población  de 15 a 64 años</v>
      </c>
      <c r="B666" t="s">
        <v>1525</v>
      </c>
      <c r="C666" t="s">
        <v>1741</v>
      </c>
      <c r="D666" t="s">
        <v>50</v>
      </c>
      <c r="E666" s="2" t="s">
        <v>1742</v>
      </c>
      <c r="F666">
        <f t="shared" si="30"/>
        <v>8</v>
      </c>
      <c r="G666" s="2">
        <f t="shared" si="31"/>
        <v>186803</v>
      </c>
    </row>
    <row r="667" spans="1:7" x14ac:dyDescent="0.25">
      <c r="A667" t="str">
        <f t="shared" si="32"/>
        <v>Ñuñoa Población de 65 años o mas</v>
      </c>
      <c r="B667" t="s">
        <v>1525</v>
      </c>
      <c r="C667" t="s">
        <v>1741</v>
      </c>
      <c r="D667" t="s">
        <v>46</v>
      </c>
      <c r="E667" s="2" t="s">
        <v>1740</v>
      </c>
      <c r="F667">
        <f t="shared" si="30"/>
        <v>7</v>
      </c>
      <c r="G667" s="2">
        <f t="shared" si="31"/>
        <v>43748</v>
      </c>
    </row>
    <row r="668" spans="1:7" x14ac:dyDescent="0.25">
      <c r="A668" t="str">
        <f t="shared" si="32"/>
        <v>Estación Central Hombre</v>
      </c>
      <c r="B668" t="s">
        <v>1525</v>
      </c>
      <c r="C668" t="s">
        <v>1734</v>
      </c>
      <c r="D668" t="s">
        <v>58</v>
      </c>
      <c r="E668" s="2" t="s">
        <v>1739</v>
      </c>
      <c r="F668">
        <f t="shared" si="30"/>
        <v>8</v>
      </c>
      <c r="G668" s="2">
        <f t="shared" si="31"/>
        <v>111738</v>
      </c>
    </row>
    <row r="669" spans="1:7" x14ac:dyDescent="0.25">
      <c r="A669" t="str">
        <f t="shared" si="32"/>
        <v>Estación Central Mujer</v>
      </c>
      <c r="B669" t="s">
        <v>1525</v>
      </c>
      <c r="C669" t="s">
        <v>1734</v>
      </c>
      <c r="D669" t="s">
        <v>56</v>
      </c>
      <c r="E669" s="2" t="s">
        <v>1738</v>
      </c>
      <c r="F669">
        <f t="shared" si="30"/>
        <v>8</v>
      </c>
      <c r="G669" s="2">
        <f t="shared" si="31"/>
        <v>110163</v>
      </c>
    </row>
    <row r="670" spans="1:7" x14ac:dyDescent="0.25">
      <c r="A670" t="str">
        <f t="shared" si="32"/>
        <v>Estación Central Población total</v>
      </c>
      <c r="B670" t="s">
        <v>1525</v>
      </c>
      <c r="C670" t="s">
        <v>1734</v>
      </c>
      <c r="D670" t="s">
        <v>54</v>
      </c>
      <c r="E670" s="2" t="s">
        <v>1737</v>
      </c>
      <c r="F670">
        <f t="shared" si="30"/>
        <v>8</v>
      </c>
      <c r="G670" s="2">
        <f t="shared" si="31"/>
        <v>221901</v>
      </c>
    </row>
    <row r="671" spans="1:7" x14ac:dyDescent="0.25">
      <c r="A671" t="str">
        <f t="shared" si="32"/>
        <v>Estación Central Población  de 0 a 14 años</v>
      </c>
      <c r="B671" t="s">
        <v>1525</v>
      </c>
      <c r="C671" t="s">
        <v>1734</v>
      </c>
      <c r="D671" t="s">
        <v>52</v>
      </c>
      <c r="E671" s="2" t="s">
        <v>1736</v>
      </c>
      <c r="F671">
        <f t="shared" si="30"/>
        <v>7</v>
      </c>
      <c r="G671" s="2">
        <f t="shared" si="31"/>
        <v>34778</v>
      </c>
    </row>
    <row r="672" spans="1:7" x14ac:dyDescent="0.25">
      <c r="A672" t="str">
        <f t="shared" si="32"/>
        <v>Estación Central Población  de 15 a 64 años</v>
      </c>
      <c r="B672" t="s">
        <v>1525</v>
      </c>
      <c r="C672" t="s">
        <v>1734</v>
      </c>
      <c r="D672" t="s">
        <v>50</v>
      </c>
      <c r="E672" s="2" t="s">
        <v>1735</v>
      </c>
      <c r="F672">
        <f t="shared" si="30"/>
        <v>8</v>
      </c>
      <c r="G672" s="2">
        <f t="shared" si="31"/>
        <v>157298</v>
      </c>
    </row>
    <row r="673" spans="1:7" x14ac:dyDescent="0.25">
      <c r="A673" t="str">
        <f t="shared" si="32"/>
        <v>Estación Central Población de 65 años o mas</v>
      </c>
      <c r="B673" t="s">
        <v>1525</v>
      </c>
      <c r="C673" t="s">
        <v>1734</v>
      </c>
      <c r="D673" t="s">
        <v>46</v>
      </c>
      <c r="E673" s="2" t="s">
        <v>1733</v>
      </c>
      <c r="F673">
        <f t="shared" si="30"/>
        <v>7</v>
      </c>
      <c r="G673" s="2">
        <f t="shared" si="31"/>
        <v>29825</v>
      </c>
    </row>
    <row r="674" spans="1:7" x14ac:dyDescent="0.25">
      <c r="A674" t="str">
        <f t="shared" si="32"/>
        <v>Peñalolén Hombre</v>
      </c>
      <c r="B674" t="s">
        <v>1525</v>
      </c>
      <c r="C674" t="s">
        <v>1727</v>
      </c>
      <c r="D674" t="s">
        <v>58</v>
      </c>
      <c r="E674" s="2" t="s">
        <v>1732</v>
      </c>
      <c r="F674">
        <f t="shared" si="30"/>
        <v>8</v>
      </c>
      <c r="G674" s="2">
        <f t="shared" si="31"/>
        <v>134721</v>
      </c>
    </row>
    <row r="675" spans="1:7" x14ac:dyDescent="0.25">
      <c r="A675" t="str">
        <f t="shared" si="32"/>
        <v>Peñalolén Mujer</v>
      </c>
      <c r="B675" t="s">
        <v>1525</v>
      </c>
      <c r="C675" t="s">
        <v>1727</v>
      </c>
      <c r="D675" t="s">
        <v>56</v>
      </c>
      <c r="E675" s="2" t="s">
        <v>1731</v>
      </c>
      <c r="F675">
        <f t="shared" si="30"/>
        <v>8</v>
      </c>
      <c r="G675" s="2">
        <f t="shared" si="31"/>
        <v>138192</v>
      </c>
    </row>
    <row r="676" spans="1:7" x14ac:dyDescent="0.25">
      <c r="A676" t="str">
        <f t="shared" si="32"/>
        <v>Peñalolén Población total</v>
      </c>
      <c r="B676" t="s">
        <v>1525</v>
      </c>
      <c r="C676" t="s">
        <v>1727</v>
      </c>
      <c r="D676" t="s">
        <v>54</v>
      </c>
      <c r="E676" s="2" t="s">
        <v>1730</v>
      </c>
      <c r="F676">
        <f t="shared" si="30"/>
        <v>8</v>
      </c>
      <c r="G676" s="2">
        <f t="shared" si="31"/>
        <v>272913</v>
      </c>
    </row>
    <row r="677" spans="1:7" x14ac:dyDescent="0.25">
      <c r="A677" t="str">
        <f t="shared" si="32"/>
        <v>Peñalolén Población  de 0 a 14 años</v>
      </c>
      <c r="B677" t="s">
        <v>1525</v>
      </c>
      <c r="C677" t="s">
        <v>1727</v>
      </c>
      <c r="D677" t="s">
        <v>52</v>
      </c>
      <c r="E677" s="2" t="s">
        <v>1729</v>
      </c>
      <c r="F677">
        <f t="shared" si="30"/>
        <v>7</v>
      </c>
      <c r="G677" s="2">
        <f t="shared" si="31"/>
        <v>52264</v>
      </c>
    </row>
    <row r="678" spans="1:7" x14ac:dyDescent="0.25">
      <c r="A678" t="str">
        <f t="shared" si="32"/>
        <v>Peñalolén Población  de 15 a 64 años</v>
      </c>
      <c r="B678" t="s">
        <v>1525</v>
      </c>
      <c r="C678" t="s">
        <v>1727</v>
      </c>
      <c r="D678" t="s">
        <v>50</v>
      </c>
      <c r="E678" s="2" t="s">
        <v>1728</v>
      </c>
      <c r="F678">
        <f t="shared" si="30"/>
        <v>8</v>
      </c>
      <c r="G678" s="2">
        <f t="shared" si="31"/>
        <v>187524</v>
      </c>
    </row>
    <row r="679" spans="1:7" x14ac:dyDescent="0.25">
      <c r="A679" t="str">
        <f t="shared" si="32"/>
        <v>Peñalolén Población de 65 años o mas</v>
      </c>
      <c r="B679" t="s">
        <v>1525</v>
      </c>
      <c r="C679" t="s">
        <v>1727</v>
      </c>
      <c r="D679" t="s">
        <v>46</v>
      </c>
      <c r="E679" s="2" t="s">
        <v>1726</v>
      </c>
      <c r="F679">
        <f t="shared" si="30"/>
        <v>7</v>
      </c>
      <c r="G679" s="2">
        <f t="shared" si="31"/>
        <v>33125</v>
      </c>
    </row>
    <row r="680" spans="1:7" x14ac:dyDescent="0.25">
      <c r="A680" t="str">
        <f t="shared" si="32"/>
        <v>Macul Hombre</v>
      </c>
      <c r="B680" t="s">
        <v>1525</v>
      </c>
      <c r="C680" t="s">
        <v>1720</v>
      </c>
      <c r="D680" t="s">
        <v>58</v>
      </c>
      <c r="E680" s="2" t="s">
        <v>1725</v>
      </c>
      <c r="F680">
        <f t="shared" si="30"/>
        <v>7</v>
      </c>
      <c r="G680" s="2">
        <f t="shared" si="31"/>
        <v>68291</v>
      </c>
    </row>
    <row r="681" spans="1:7" x14ac:dyDescent="0.25">
      <c r="A681" t="str">
        <f t="shared" si="32"/>
        <v>Macul Mujer</v>
      </c>
      <c r="B681" t="s">
        <v>1525</v>
      </c>
      <c r="C681" t="s">
        <v>1720</v>
      </c>
      <c r="D681" t="s">
        <v>56</v>
      </c>
      <c r="E681" s="2" t="s">
        <v>1724</v>
      </c>
      <c r="F681">
        <f t="shared" si="30"/>
        <v>7</v>
      </c>
      <c r="G681" s="2">
        <f t="shared" si="31"/>
        <v>70070</v>
      </c>
    </row>
    <row r="682" spans="1:7" x14ac:dyDescent="0.25">
      <c r="A682" t="str">
        <f t="shared" si="32"/>
        <v>Macul Población total</v>
      </c>
      <c r="B682" t="s">
        <v>1525</v>
      </c>
      <c r="C682" t="s">
        <v>1720</v>
      </c>
      <c r="D682" t="s">
        <v>54</v>
      </c>
      <c r="E682" s="2" t="s">
        <v>1723</v>
      </c>
      <c r="F682">
        <f t="shared" si="30"/>
        <v>8</v>
      </c>
      <c r="G682" s="2">
        <f t="shared" si="31"/>
        <v>138361</v>
      </c>
    </row>
    <row r="683" spans="1:7" x14ac:dyDescent="0.25">
      <c r="A683" t="str">
        <f t="shared" si="32"/>
        <v>Macul Población  de 0 a 14 años</v>
      </c>
      <c r="B683" t="s">
        <v>1525</v>
      </c>
      <c r="C683" t="s">
        <v>1720</v>
      </c>
      <c r="D683" t="s">
        <v>52</v>
      </c>
      <c r="E683" s="2" t="s">
        <v>1722</v>
      </c>
      <c r="F683">
        <f t="shared" si="30"/>
        <v>7</v>
      </c>
      <c r="G683" s="2">
        <f t="shared" si="31"/>
        <v>21443</v>
      </c>
    </row>
    <row r="684" spans="1:7" x14ac:dyDescent="0.25">
      <c r="A684" t="str">
        <f t="shared" si="32"/>
        <v>Macul Población  de 15 a 64 años</v>
      </c>
      <c r="B684" t="s">
        <v>1525</v>
      </c>
      <c r="C684" t="s">
        <v>1720</v>
      </c>
      <c r="D684" t="s">
        <v>50</v>
      </c>
      <c r="E684" s="2" t="s">
        <v>1721</v>
      </c>
      <c r="F684">
        <f t="shared" si="30"/>
        <v>7</v>
      </c>
      <c r="G684" s="2">
        <f t="shared" si="31"/>
        <v>93526</v>
      </c>
    </row>
    <row r="685" spans="1:7" x14ac:dyDescent="0.25">
      <c r="A685" t="str">
        <f t="shared" si="32"/>
        <v>Macul Población de 65 años o mas</v>
      </c>
      <c r="B685" t="s">
        <v>1525</v>
      </c>
      <c r="C685" t="s">
        <v>1720</v>
      </c>
      <c r="D685" t="s">
        <v>46</v>
      </c>
      <c r="E685" s="2" t="s">
        <v>1719</v>
      </c>
      <c r="F685">
        <f t="shared" si="30"/>
        <v>7</v>
      </c>
      <c r="G685" s="2">
        <f t="shared" si="31"/>
        <v>23392</v>
      </c>
    </row>
    <row r="686" spans="1:7" x14ac:dyDescent="0.25">
      <c r="A686" t="str">
        <f t="shared" si="32"/>
        <v>Pedro Aguirre Cerda Hombre</v>
      </c>
      <c r="B686" t="s">
        <v>1525</v>
      </c>
      <c r="C686" t="s">
        <v>1713</v>
      </c>
      <c r="D686" t="s">
        <v>58</v>
      </c>
      <c r="E686" s="2" t="s">
        <v>1718</v>
      </c>
      <c r="F686">
        <f t="shared" si="30"/>
        <v>7</v>
      </c>
      <c r="G686" s="2">
        <f t="shared" si="31"/>
        <v>51965</v>
      </c>
    </row>
    <row r="687" spans="1:7" x14ac:dyDescent="0.25">
      <c r="A687" t="str">
        <f t="shared" si="32"/>
        <v>Pedro Aguirre Cerda Mujer</v>
      </c>
      <c r="B687" t="s">
        <v>1525</v>
      </c>
      <c r="C687" t="s">
        <v>1713</v>
      </c>
      <c r="D687" t="s">
        <v>56</v>
      </c>
      <c r="E687" s="2" t="s">
        <v>1717</v>
      </c>
      <c r="F687">
        <f t="shared" si="30"/>
        <v>7</v>
      </c>
      <c r="G687" s="2">
        <f t="shared" si="31"/>
        <v>52497</v>
      </c>
    </row>
    <row r="688" spans="1:7" x14ac:dyDescent="0.25">
      <c r="A688" t="str">
        <f t="shared" si="32"/>
        <v>Pedro Aguirre Cerda Población total</v>
      </c>
      <c r="B688" t="s">
        <v>1525</v>
      </c>
      <c r="C688" t="s">
        <v>1713</v>
      </c>
      <c r="D688" t="s">
        <v>54</v>
      </c>
      <c r="E688" s="2" t="s">
        <v>1716</v>
      </c>
      <c r="F688">
        <f t="shared" si="30"/>
        <v>8</v>
      </c>
      <c r="G688" s="2">
        <f t="shared" si="31"/>
        <v>104462</v>
      </c>
    </row>
    <row r="689" spans="1:7" x14ac:dyDescent="0.25">
      <c r="A689" t="str">
        <f t="shared" si="32"/>
        <v>Pedro Aguirre Cerda Población  de 0 a 14 años</v>
      </c>
      <c r="B689" t="s">
        <v>1525</v>
      </c>
      <c r="C689" t="s">
        <v>1713</v>
      </c>
      <c r="D689" t="s">
        <v>52</v>
      </c>
      <c r="E689" s="2" t="s">
        <v>1715</v>
      </c>
      <c r="F689">
        <f t="shared" si="30"/>
        <v>7</v>
      </c>
      <c r="G689" s="2">
        <f t="shared" si="31"/>
        <v>17316</v>
      </c>
    </row>
    <row r="690" spans="1:7" x14ac:dyDescent="0.25">
      <c r="A690" t="str">
        <f t="shared" si="32"/>
        <v>Pedro Aguirre Cerda Población  de 15 a 64 años</v>
      </c>
      <c r="B690" t="s">
        <v>1525</v>
      </c>
      <c r="C690" t="s">
        <v>1713</v>
      </c>
      <c r="D690" t="s">
        <v>50</v>
      </c>
      <c r="E690" s="2" t="s">
        <v>1714</v>
      </c>
      <c r="F690">
        <f t="shared" si="30"/>
        <v>7</v>
      </c>
      <c r="G690" s="2">
        <f t="shared" si="31"/>
        <v>69839</v>
      </c>
    </row>
    <row r="691" spans="1:7" x14ac:dyDescent="0.25">
      <c r="A691" t="str">
        <f t="shared" si="32"/>
        <v>Pedro Aguirre Cerda Población de 65 años o mas</v>
      </c>
      <c r="B691" t="s">
        <v>1525</v>
      </c>
      <c r="C691" t="s">
        <v>1713</v>
      </c>
      <c r="D691" t="s">
        <v>46</v>
      </c>
      <c r="E691" s="2" t="s">
        <v>807</v>
      </c>
      <c r="F691">
        <f t="shared" si="30"/>
        <v>7</v>
      </c>
      <c r="G691" s="2">
        <f t="shared" si="31"/>
        <v>17307</v>
      </c>
    </row>
    <row r="692" spans="1:7" x14ac:dyDescent="0.25">
      <c r="A692" t="str">
        <f t="shared" si="32"/>
        <v>San Joaquín Hombre</v>
      </c>
      <c r="B692" t="s">
        <v>1525</v>
      </c>
      <c r="C692" t="s">
        <v>1707</v>
      </c>
      <c r="D692" t="s">
        <v>58</v>
      </c>
      <c r="E692" s="2" t="s">
        <v>1712</v>
      </c>
      <c r="F692">
        <f t="shared" si="30"/>
        <v>7</v>
      </c>
      <c r="G692" s="2">
        <f t="shared" si="31"/>
        <v>50963</v>
      </c>
    </row>
    <row r="693" spans="1:7" x14ac:dyDescent="0.25">
      <c r="A693" t="str">
        <f t="shared" si="32"/>
        <v>San Joaquín Mujer</v>
      </c>
      <c r="B693" t="s">
        <v>1525</v>
      </c>
      <c r="C693" t="s">
        <v>1707</v>
      </c>
      <c r="D693" t="s">
        <v>56</v>
      </c>
      <c r="E693" s="2" t="s">
        <v>1711</v>
      </c>
      <c r="F693">
        <f t="shared" si="30"/>
        <v>7</v>
      </c>
      <c r="G693" s="2">
        <f t="shared" si="31"/>
        <v>52155</v>
      </c>
    </row>
    <row r="694" spans="1:7" x14ac:dyDescent="0.25">
      <c r="A694" t="str">
        <f t="shared" si="32"/>
        <v>San Joaquín Población total</v>
      </c>
      <c r="B694" t="s">
        <v>1525</v>
      </c>
      <c r="C694" t="s">
        <v>1707</v>
      </c>
      <c r="D694" t="s">
        <v>54</v>
      </c>
      <c r="E694" s="2" t="s">
        <v>1710</v>
      </c>
      <c r="F694">
        <f t="shared" si="30"/>
        <v>8</v>
      </c>
      <c r="G694" s="2">
        <f t="shared" si="31"/>
        <v>103118</v>
      </c>
    </row>
    <row r="695" spans="1:7" x14ac:dyDescent="0.25">
      <c r="A695" t="str">
        <f t="shared" si="32"/>
        <v>San Joaquín Población  de 0 a 14 años</v>
      </c>
      <c r="B695" t="s">
        <v>1525</v>
      </c>
      <c r="C695" t="s">
        <v>1707</v>
      </c>
      <c r="D695" t="s">
        <v>52</v>
      </c>
      <c r="E695" s="2" t="s">
        <v>1709</v>
      </c>
      <c r="F695">
        <f t="shared" si="30"/>
        <v>7</v>
      </c>
      <c r="G695" s="2">
        <f t="shared" si="31"/>
        <v>16498</v>
      </c>
    </row>
    <row r="696" spans="1:7" x14ac:dyDescent="0.25">
      <c r="A696" t="str">
        <f t="shared" si="32"/>
        <v>San Joaquín Población  de 15 a 64 años</v>
      </c>
      <c r="B696" t="s">
        <v>1525</v>
      </c>
      <c r="C696" t="s">
        <v>1707</v>
      </c>
      <c r="D696" t="s">
        <v>50</v>
      </c>
      <c r="E696" s="2" t="s">
        <v>1708</v>
      </c>
      <c r="F696">
        <f t="shared" si="30"/>
        <v>7</v>
      </c>
      <c r="G696" s="2">
        <f t="shared" si="31"/>
        <v>68821</v>
      </c>
    </row>
    <row r="697" spans="1:7" x14ac:dyDescent="0.25">
      <c r="A697" t="str">
        <f t="shared" si="32"/>
        <v>San Joaquín Población de 65 años o mas</v>
      </c>
      <c r="B697" t="s">
        <v>1525</v>
      </c>
      <c r="C697" t="s">
        <v>1707</v>
      </c>
      <c r="D697" t="s">
        <v>46</v>
      </c>
      <c r="E697" s="2" t="s">
        <v>1706</v>
      </c>
      <c r="F697">
        <f t="shared" si="30"/>
        <v>7</v>
      </c>
      <c r="G697" s="2">
        <f t="shared" si="31"/>
        <v>17799</v>
      </c>
    </row>
    <row r="698" spans="1:7" x14ac:dyDescent="0.25">
      <c r="A698" t="str">
        <f t="shared" si="32"/>
        <v>San Miguel Hombre</v>
      </c>
      <c r="B698" t="s">
        <v>1525</v>
      </c>
      <c r="C698" t="s">
        <v>1700</v>
      </c>
      <c r="D698" t="s">
        <v>58</v>
      </c>
      <c r="E698" s="2" t="s">
        <v>1705</v>
      </c>
      <c r="F698">
        <f t="shared" si="30"/>
        <v>7</v>
      </c>
      <c r="G698" s="2">
        <f t="shared" si="31"/>
        <v>71473</v>
      </c>
    </row>
    <row r="699" spans="1:7" x14ac:dyDescent="0.25">
      <c r="A699" t="str">
        <f t="shared" si="32"/>
        <v>San Miguel Mujer</v>
      </c>
      <c r="B699" t="s">
        <v>1525</v>
      </c>
      <c r="C699" t="s">
        <v>1700</v>
      </c>
      <c r="D699" t="s">
        <v>56</v>
      </c>
      <c r="E699" s="2" t="s">
        <v>1704</v>
      </c>
      <c r="F699">
        <f t="shared" si="30"/>
        <v>7</v>
      </c>
      <c r="G699" s="2">
        <f t="shared" si="31"/>
        <v>73951</v>
      </c>
    </row>
    <row r="700" spans="1:7" x14ac:dyDescent="0.25">
      <c r="A700" t="str">
        <f t="shared" si="32"/>
        <v>San Miguel Población total</v>
      </c>
      <c r="B700" t="s">
        <v>1525</v>
      </c>
      <c r="C700" t="s">
        <v>1700</v>
      </c>
      <c r="D700" t="s">
        <v>54</v>
      </c>
      <c r="E700" s="2" t="s">
        <v>1703</v>
      </c>
      <c r="F700">
        <f t="shared" si="30"/>
        <v>8</v>
      </c>
      <c r="G700" s="2">
        <f t="shared" si="31"/>
        <v>145424</v>
      </c>
    </row>
    <row r="701" spans="1:7" x14ac:dyDescent="0.25">
      <c r="A701" t="str">
        <f t="shared" si="32"/>
        <v>San Miguel Población  de 0 a 14 años</v>
      </c>
      <c r="B701" t="s">
        <v>1525</v>
      </c>
      <c r="C701" t="s">
        <v>1700</v>
      </c>
      <c r="D701" t="s">
        <v>52</v>
      </c>
      <c r="E701" s="2" t="s">
        <v>1702</v>
      </c>
      <c r="F701">
        <f t="shared" si="30"/>
        <v>7</v>
      </c>
      <c r="G701" s="2">
        <f t="shared" si="31"/>
        <v>22459</v>
      </c>
    </row>
    <row r="702" spans="1:7" x14ac:dyDescent="0.25">
      <c r="A702" t="str">
        <f t="shared" si="32"/>
        <v>San Miguel Población  de 15 a 64 años</v>
      </c>
      <c r="B702" t="s">
        <v>1525</v>
      </c>
      <c r="C702" t="s">
        <v>1700</v>
      </c>
      <c r="D702" t="s">
        <v>50</v>
      </c>
      <c r="E702" s="2" t="s">
        <v>1701</v>
      </c>
      <c r="F702">
        <f t="shared" si="30"/>
        <v>8</v>
      </c>
      <c r="G702" s="2">
        <f t="shared" si="31"/>
        <v>101829</v>
      </c>
    </row>
    <row r="703" spans="1:7" x14ac:dyDescent="0.25">
      <c r="A703" t="str">
        <f t="shared" si="32"/>
        <v>San Miguel Población de 65 años o mas</v>
      </c>
      <c r="B703" t="s">
        <v>1525</v>
      </c>
      <c r="C703" t="s">
        <v>1700</v>
      </c>
      <c r="D703" t="s">
        <v>46</v>
      </c>
      <c r="E703" s="2" t="s">
        <v>1699</v>
      </c>
      <c r="F703">
        <f t="shared" si="30"/>
        <v>7</v>
      </c>
      <c r="G703" s="2">
        <f t="shared" si="31"/>
        <v>21136</v>
      </c>
    </row>
    <row r="704" spans="1:7" x14ac:dyDescent="0.25">
      <c r="A704" t="str">
        <f t="shared" si="32"/>
        <v>Cerrillos Hombre</v>
      </c>
      <c r="B704" t="s">
        <v>1525</v>
      </c>
      <c r="C704" t="s">
        <v>1693</v>
      </c>
      <c r="D704" t="s">
        <v>58</v>
      </c>
      <c r="E704" s="2" t="s">
        <v>1698</v>
      </c>
      <c r="F704">
        <f t="shared" si="30"/>
        <v>7</v>
      </c>
      <c r="G704" s="2">
        <f t="shared" si="31"/>
        <v>44603</v>
      </c>
    </row>
    <row r="705" spans="1:7" x14ac:dyDescent="0.25">
      <c r="A705" t="str">
        <f t="shared" si="32"/>
        <v>Cerrillos Mujer</v>
      </c>
      <c r="B705" t="s">
        <v>1525</v>
      </c>
      <c r="C705" t="s">
        <v>1693</v>
      </c>
      <c r="D705" t="s">
        <v>56</v>
      </c>
      <c r="E705" s="2" t="s">
        <v>1697</v>
      </c>
      <c r="F705">
        <f t="shared" si="30"/>
        <v>7</v>
      </c>
      <c r="G705" s="2">
        <f t="shared" si="31"/>
        <v>45579</v>
      </c>
    </row>
    <row r="706" spans="1:7" x14ac:dyDescent="0.25">
      <c r="A706" t="str">
        <f t="shared" si="32"/>
        <v>Cerrillos Población total</v>
      </c>
      <c r="B706" t="s">
        <v>1525</v>
      </c>
      <c r="C706" t="s">
        <v>1693</v>
      </c>
      <c r="D706" t="s">
        <v>54</v>
      </c>
      <c r="E706" s="2" t="s">
        <v>1696</v>
      </c>
      <c r="F706">
        <f t="shared" ref="F706:F769" si="33">+FIND(".",E706)</f>
        <v>7</v>
      </c>
      <c r="G706" s="2">
        <f t="shared" ref="G706:G769" si="34">+LEFT(E706,(F706-1))*1</f>
        <v>90182</v>
      </c>
    </row>
    <row r="707" spans="1:7" x14ac:dyDescent="0.25">
      <c r="A707" t="str">
        <f t="shared" ref="A707:A770" si="35">+C707&amp;D707</f>
        <v>Cerrillos Población  de 0 a 14 años</v>
      </c>
      <c r="B707" t="s">
        <v>1525</v>
      </c>
      <c r="C707" t="s">
        <v>1693</v>
      </c>
      <c r="D707" t="s">
        <v>52</v>
      </c>
      <c r="E707" s="2" t="s">
        <v>1695</v>
      </c>
      <c r="F707">
        <f t="shared" si="33"/>
        <v>7</v>
      </c>
      <c r="G707" s="2">
        <f t="shared" si="34"/>
        <v>17072</v>
      </c>
    </row>
    <row r="708" spans="1:7" x14ac:dyDescent="0.25">
      <c r="A708" t="str">
        <f t="shared" si="35"/>
        <v>Cerrillos Población  de 15 a 64 años</v>
      </c>
      <c r="B708" t="s">
        <v>1525</v>
      </c>
      <c r="C708" t="s">
        <v>1693</v>
      </c>
      <c r="D708" t="s">
        <v>50</v>
      </c>
      <c r="E708" s="2" t="s">
        <v>1694</v>
      </c>
      <c r="F708">
        <f t="shared" si="33"/>
        <v>7</v>
      </c>
      <c r="G708" s="2">
        <f t="shared" si="34"/>
        <v>61191</v>
      </c>
    </row>
    <row r="709" spans="1:7" x14ac:dyDescent="0.25">
      <c r="A709" t="str">
        <f t="shared" si="35"/>
        <v>Cerrillos Población de 65 años o mas</v>
      </c>
      <c r="B709" t="s">
        <v>1525</v>
      </c>
      <c r="C709" t="s">
        <v>1693</v>
      </c>
      <c r="D709" t="s">
        <v>46</v>
      </c>
      <c r="E709" s="2" t="s">
        <v>1692</v>
      </c>
      <c r="F709">
        <f t="shared" si="33"/>
        <v>7</v>
      </c>
      <c r="G709" s="2">
        <f t="shared" si="34"/>
        <v>11919</v>
      </c>
    </row>
    <row r="710" spans="1:7" x14ac:dyDescent="0.25">
      <c r="A710" t="str">
        <f t="shared" si="35"/>
        <v>Maipú Hombre</v>
      </c>
      <c r="B710" t="s">
        <v>1525</v>
      </c>
      <c r="C710" t="s">
        <v>1686</v>
      </c>
      <c r="D710" t="s">
        <v>58</v>
      </c>
      <c r="E710" s="2" t="s">
        <v>1691</v>
      </c>
      <c r="F710">
        <f t="shared" si="33"/>
        <v>8</v>
      </c>
      <c r="G710" s="2">
        <f t="shared" si="34"/>
        <v>288528</v>
      </c>
    </row>
    <row r="711" spans="1:7" x14ac:dyDescent="0.25">
      <c r="A711" t="str">
        <f t="shared" si="35"/>
        <v>Maipú Mujer</v>
      </c>
      <c r="B711" t="s">
        <v>1525</v>
      </c>
      <c r="C711" t="s">
        <v>1686</v>
      </c>
      <c r="D711" t="s">
        <v>56</v>
      </c>
      <c r="E711" s="2" t="s">
        <v>1690</v>
      </c>
      <c r="F711">
        <f t="shared" si="33"/>
        <v>8</v>
      </c>
      <c r="G711" s="2">
        <f t="shared" si="34"/>
        <v>298284</v>
      </c>
    </row>
    <row r="712" spans="1:7" x14ac:dyDescent="0.25">
      <c r="A712" t="str">
        <f t="shared" si="35"/>
        <v>Maipú Población total</v>
      </c>
      <c r="B712" t="s">
        <v>1525</v>
      </c>
      <c r="C712" t="s">
        <v>1686</v>
      </c>
      <c r="D712" t="s">
        <v>54</v>
      </c>
      <c r="E712" s="2" t="s">
        <v>1689</v>
      </c>
      <c r="F712">
        <f t="shared" si="33"/>
        <v>8</v>
      </c>
      <c r="G712" s="2">
        <f t="shared" si="34"/>
        <v>586812</v>
      </c>
    </row>
    <row r="713" spans="1:7" x14ac:dyDescent="0.25">
      <c r="A713" t="str">
        <f t="shared" si="35"/>
        <v>Maipú Población  de 0 a 14 años</v>
      </c>
      <c r="B713" t="s">
        <v>1525</v>
      </c>
      <c r="C713" t="s">
        <v>1686</v>
      </c>
      <c r="D713" t="s">
        <v>52</v>
      </c>
      <c r="E713" s="2" t="s">
        <v>1688</v>
      </c>
      <c r="F713">
        <f t="shared" si="33"/>
        <v>8</v>
      </c>
      <c r="G713" s="2">
        <f t="shared" si="34"/>
        <v>106956</v>
      </c>
    </row>
    <row r="714" spans="1:7" x14ac:dyDescent="0.25">
      <c r="A714" t="str">
        <f t="shared" si="35"/>
        <v>Maipú Población  de 15 a 64 años</v>
      </c>
      <c r="B714" t="s">
        <v>1525</v>
      </c>
      <c r="C714" t="s">
        <v>1686</v>
      </c>
      <c r="D714" t="s">
        <v>50</v>
      </c>
      <c r="E714" s="2" t="s">
        <v>1687</v>
      </c>
      <c r="F714">
        <f t="shared" si="33"/>
        <v>8</v>
      </c>
      <c r="G714" s="2">
        <f t="shared" si="34"/>
        <v>414462</v>
      </c>
    </row>
    <row r="715" spans="1:7" x14ac:dyDescent="0.25">
      <c r="A715" t="str">
        <f t="shared" si="35"/>
        <v>Maipú Población de 65 años o mas</v>
      </c>
      <c r="B715" t="s">
        <v>1525</v>
      </c>
      <c r="C715" t="s">
        <v>1686</v>
      </c>
      <c r="D715" t="s">
        <v>46</v>
      </c>
      <c r="E715" s="2" t="s">
        <v>1685</v>
      </c>
      <c r="F715">
        <f t="shared" si="33"/>
        <v>7</v>
      </c>
      <c r="G715" s="2">
        <f t="shared" si="34"/>
        <v>65394</v>
      </c>
    </row>
    <row r="716" spans="1:7" x14ac:dyDescent="0.25">
      <c r="A716" t="str">
        <f t="shared" si="35"/>
        <v>María Pinto Hombre</v>
      </c>
      <c r="B716" t="s">
        <v>1525</v>
      </c>
      <c r="C716" t="s">
        <v>1679</v>
      </c>
      <c r="D716" t="s">
        <v>58</v>
      </c>
      <c r="E716" s="2" t="s">
        <v>1684</v>
      </c>
      <c r="F716">
        <f t="shared" si="33"/>
        <v>6</v>
      </c>
      <c r="G716" s="2">
        <f t="shared" si="34"/>
        <v>7747</v>
      </c>
    </row>
    <row r="717" spans="1:7" x14ac:dyDescent="0.25">
      <c r="A717" t="str">
        <f t="shared" si="35"/>
        <v>María Pinto Mujer</v>
      </c>
      <c r="B717" t="s">
        <v>1525</v>
      </c>
      <c r="C717" t="s">
        <v>1679</v>
      </c>
      <c r="D717" t="s">
        <v>56</v>
      </c>
      <c r="E717" s="2" t="s">
        <v>1683</v>
      </c>
      <c r="F717">
        <f t="shared" si="33"/>
        <v>6</v>
      </c>
      <c r="G717" s="2">
        <f t="shared" si="34"/>
        <v>7922</v>
      </c>
    </row>
    <row r="718" spans="1:7" x14ac:dyDescent="0.25">
      <c r="A718" t="str">
        <f t="shared" si="35"/>
        <v>María Pinto Población total</v>
      </c>
      <c r="B718" t="s">
        <v>1525</v>
      </c>
      <c r="C718" t="s">
        <v>1679</v>
      </c>
      <c r="D718" t="s">
        <v>54</v>
      </c>
      <c r="E718" s="2" t="s">
        <v>1682</v>
      </c>
      <c r="F718">
        <f t="shared" si="33"/>
        <v>7</v>
      </c>
      <c r="G718" s="2">
        <f t="shared" si="34"/>
        <v>15669</v>
      </c>
    </row>
    <row r="719" spans="1:7" x14ac:dyDescent="0.25">
      <c r="A719" t="str">
        <f t="shared" si="35"/>
        <v>María Pinto Población  de 0 a 14 años</v>
      </c>
      <c r="B719" t="s">
        <v>1525</v>
      </c>
      <c r="C719" t="s">
        <v>1679</v>
      </c>
      <c r="D719" t="s">
        <v>52</v>
      </c>
      <c r="E719" s="2" t="s">
        <v>1681</v>
      </c>
      <c r="F719">
        <f t="shared" si="33"/>
        <v>6</v>
      </c>
      <c r="G719" s="2">
        <f t="shared" si="34"/>
        <v>3018</v>
      </c>
    </row>
    <row r="720" spans="1:7" x14ac:dyDescent="0.25">
      <c r="A720" t="str">
        <f t="shared" si="35"/>
        <v>María Pinto Población  de 15 a 64 años</v>
      </c>
      <c r="B720" t="s">
        <v>1525</v>
      </c>
      <c r="C720" t="s">
        <v>1679</v>
      </c>
      <c r="D720" t="s">
        <v>50</v>
      </c>
      <c r="E720" s="2" t="s">
        <v>1680</v>
      </c>
      <c r="F720">
        <f t="shared" si="33"/>
        <v>7</v>
      </c>
      <c r="G720" s="2">
        <f t="shared" si="34"/>
        <v>10530</v>
      </c>
    </row>
    <row r="721" spans="1:7" x14ac:dyDescent="0.25">
      <c r="A721" t="str">
        <f t="shared" si="35"/>
        <v>María Pinto Población de 65 años o mas</v>
      </c>
      <c r="B721" t="s">
        <v>1525</v>
      </c>
      <c r="C721" t="s">
        <v>1679</v>
      </c>
      <c r="D721" t="s">
        <v>46</v>
      </c>
      <c r="E721" s="2" t="s">
        <v>1678</v>
      </c>
      <c r="F721">
        <f t="shared" si="33"/>
        <v>6</v>
      </c>
      <c r="G721" s="2">
        <f t="shared" si="34"/>
        <v>2121</v>
      </c>
    </row>
    <row r="722" spans="1:7" x14ac:dyDescent="0.25">
      <c r="A722" t="str">
        <f t="shared" si="35"/>
        <v>Lo Espejo Hombre</v>
      </c>
      <c r="B722" t="s">
        <v>1525</v>
      </c>
      <c r="C722" t="s">
        <v>1672</v>
      </c>
      <c r="D722" t="s">
        <v>58</v>
      </c>
      <c r="E722" s="2" t="s">
        <v>1677</v>
      </c>
      <c r="F722">
        <f t="shared" si="33"/>
        <v>7</v>
      </c>
      <c r="G722" s="2">
        <f t="shared" si="34"/>
        <v>50179</v>
      </c>
    </row>
    <row r="723" spans="1:7" x14ac:dyDescent="0.25">
      <c r="A723" t="str">
        <f t="shared" si="35"/>
        <v>Lo Espejo Mujer</v>
      </c>
      <c r="B723" t="s">
        <v>1525</v>
      </c>
      <c r="C723" t="s">
        <v>1672</v>
      </c>
      <c r="D723" t="s">
        <v>56</v>
      </c>
      <c r="E723" s="2" t="s">
        <v>1676</v>
      </c>
      <c r="F723">
        <f t="shared" si="33"/>
        <v>7</v>
      </c>
      <c r="G723" s="2">
        <f t="shared" si="34"/>
        <v>50515</v>
      </c>
    </row>
    <row r="724" spans="1:7" x14ac:dyDescent="0.25">
      <c r="A724" t="str">
        <f t="shared" si="35"/>
        <v>Lo Espejo Población total</v>
      </c>
      <c r="B724" t="s">
        <v>1525</v>
      </c>
      <c r="C724" t="s">
        <v>1672</v>
      </c>
      <c r="D724" t="s">
        <v>54</v>
      </c>
      <c r="E724" s="2" t="s">
        <v>1675</v>
      </c>
      <c r="F724">
        <f t="shared" si="33"/>
        <v>8</v>
      </c>
      <c r="G724" s="2">
        <f t="shared" si="34"/>
        <v>100694</v>
      </c>
    </row>
    <row r="725" spans="1:7" x14ac:dyDescent="0.25">
      <c r="A725" t="str">
        <f t="shared" si="35"/>
        <v>Lo Espejo Población  de 0 a 14 años</v>
      </c>
      <c r="B725" t="s">
        <v>1525</v>
      </c>
      <c r="C725" t="s">
        <v>1672</v>
      </c>
      <c r="D725" t="s">
        <v>52</v>
      </c>
      <c r="E725" s="2" t="s">
        <v>1674</v>
      </c>
      <c r="F725">
        <f t="shared" si="33"/>
        <v>7</v>
      </c>
      <c r="G725" s="2">
        <f t="shared" si="34"/>
        <v>18540</v>
      </c>
    </row>
    <row r="726" spans="1:7" x14ac:dyDescent="0.25">
      <c r="A726" t="str">
        <f t="shared" si="35"/>
        <v>Lo Espejo Población  de 15 a 64 años</v>
      </c>
      <c r="B726" t="s">
        <v>1525</v>
      </c>
      <c r="C726" t="s">
        <v>1672</v>
      </c>
      <c r="D726" t="s">
        <v>50</v>
      </c>
      <c r="E726" s="2" t="s">
        <v>1673</v>
      </c>
      <c r="F726">
        <f t="shared" si="33"/>
        <v>7</v>
      </c>
      <c r="G726" s="2">
        <f t="shared" si="34"/>
        <v>68171</v>
      </c>
    </row>
    <row r="727" spans="1:7" x14ac:dyDescent="0.25">
      <c r="A727" t="str">
        <f t="shared" si="35"/>
        <v>Lo Espejo Población de 65 años o mas</v>
      </c>
      <c r="B727" t="s">
        <v>1525</v>
      </c>
      <c r="C727" t="s">
        <v>1672</v>
      </c>
      <c r="D727" t="s">
        <v>46</v>
      </c>
      <c r="E727" s="2" t="s">
        <v>1671</v>
      </c>
      <c r="F727">
        <f t="shared" si="33"/>
        <v>7</v>
      </c>
      <c r="G727" s="2">
        <f t="shared" si="34"/>
        <v>13983</v>
      </c>
    </row>
    <row r="728" spans="1:7" x14ac:dyDescent="0.25">
      <c r="A728" t="str">
        <f t="shared" si="35"/>
        <v>La Florida Hombre</v>
      </c>
      <c r="B728" t="s">
        <v>1525</v>
      </c>
      <c r="C728" t="s">
        <v>1665</v>
      </c>
      <c r="D728" t="s">
        <v>58</v>
      </c>
      <c r="E728" s="2" t="s">
        <v>1670</v>
      </c>
      <c r="F728">
        <f t="shared" si="33"/>
        <v>8</v>
      </c>
      <c r="G728" s="2">
        <f t="shared" si="34"/>
        <v>200711</v>
      </c>
    </row>
    <row r="729" spans="1:7" x14ac:dyDescent="0.25">
      <c r="A729" t="str">
        <f t="shared" si="35"/>
        <v>La Florida Mujer</v>
      </c>
      <c r="B729" t="s">
        <v>1525</v>
      </c>
      <c r="C729" t="s">
        <v>1665</v>
      </c>
      <c r="D729" t="s">
        <v>56</v>
      </c>
      <c r="E729" s="2" t="s">
        <v>1669</v>
      </c>
      <c r="F729">
        <f t="shared" si="33"/>
        <v>8</v>
      </c>
      <c r="G729" s="2">
        <f t="shared" si="34"/>
        <v>206586</v>
      </c>
    </row>
    <row r="730" spans="1:7" x14ac:dyDescent="0.25">
      <c r="A730" t="str">
        <f t="shared" si="35"/>
        <v>La Florida Población total</v>
      </c>
      <c r="B730" t="s">
        <v>1525</v>
      </c>
      <c r="C730" t="s">
        <v>1665</v>
      </c>
      <c r="D730" t="s">
        <v>54</v>
      </c>
      <c r="E730" s="2" t="s">
        <v>1668</v>
      </c>
      <c r="F730">
        <f t="shared" si="33"/>
        <v>8</v>
      </c>
      <c r="G730" s="2">
        <f t="shared" si="34"/>
        <v>407297</v>
      </c>
    </row>
    <row r="731" spans="1:7" x14ac:dyDescent="0.25">
      <c r="A731" t="str">
        <f t="shared" si="35"/>
        <v>La Florida Población  de 0 a 14 años</v>
      </c>
      <c r="B731" t="s">
        <v>1525</v>
      </c>
      <c r="C731" t="s">
        <v>1665</v>
      </c>
      <c r="D731" t="s">
        <v>52</v>
      </c>
      <c r="E731" s="2" t="s">
        <v>1667</v>
      </c>
      <c r="F731">
        <f t="shared" si="33"/>
        <v>7</v>
      </c>
      <c r="G731" s="2">
        <f t="shared" si="34"/>
        <v>69328</v>
      </c>
    </row>
    <row r="732" spans="1:7" x14ac:dyDescent="0.25">
      <c r="A732" t="str">
        <f t="shared" si="35"/>
        <v>La Florida Población  de 15 a 64 años</v>
      </c>
      <c r="B732" t="s">
        <v>1525</v>
      </c>
      <c r="C732" t="s">
        <v>1665</v>
      </c>
      <c r="D732" t="s">
        <v>50</v>
      </c>
      <c r="E732" s="2" t="s">
        <v>1666</v>
      </c>
      <c r="F732">
        <f t="shared" si="33"/>
        <v>8</v>
      </c>
      <c r="G732" s="2">
        <f t="shared" si="34"/>
        <v>276825</v>
      </c>
    </row>
    <row r="733" spans="1:7" x14ac:dyDescent="0.25">
      <c r="A733" t="str">
        <f t="shared" si="35"/>
        <v>La Florida Población de 65 años o mas</v>
      </c>
      <c r="B733" t="s">
        <v>1525</v>
      </c>
      <c r="C733" t="s">
        <v>1665</v>
      </c>
      <c r="D733" t="s">
        <v>46</v>
      </c>
      <c r="E733" s="2" t="s">
        <v>1664</v>
      </c>
      <c r="F733">
        <f t="shared" si="33"/>
        <v>7</v>
      </c>
      <c r="G733" s="2">
        <f t="shared" si="34"/>
        <v>61144</v>
      </c>
    </row>
    <row r="734" spans="1:7" x14ac:dyDescent="0.25">
      <c r="A734" t="str">
        <f t="shared" si="35"/>
        <v>La Cisterna Hombre</v>
      </c>
      <c r="B734" t="s">
        <v>1525</v>
      </c>
      <c r="C734" t="s">
        <v>1658</v>
      </c>
      <c r="D734" t="s">
        <v>58</v>
      </c>
      <c r="E734" s="2" t="s">
        <v>1663</v>
      </c>
      <c r="F734">
        <f t="shared" si="33"/>
        <v>7</v>
      </c>
      <c r="G734" s="2">
        <f t="shared" si="34"/>
        <v>50131</v>
      </c>
    </row>
    <row r="735" spans="1:7" x14ac:dyDescent="0.25">
      <c r="A735" t="str">
        <f t="shared" si="35"/>
        <v>La Cisterna Mujer</v>
      </c>
      <c r="B735" t="s">
        <v>1525</v>
      </c>
      <c r="C735" t="s">
        <v>1658</v>
      </c>
      <c r="D735" t="s">
        <v>56</v>
      </c>
      <c r="E735" s="2" t="s">
        <v>1662</v>
      </c>
      <c r="F735">
        <f t="shared" si="33"/>
        <v>7</v>
      </c>
      <c r="G735" s="2">
        <f t="shared" si="34"/>
        <v>51270</v>
      </c>
    </row>
    <row r="736" spans="1:7" x14ac:dyDescent="0.25">
      <c r="A736" t="str">
        <f t="shared" si="35"/>
        <v>La Cisterna Población total</v>
      </c>
      <c r="B736" t="s">
        <v>1525</v>
      </c>
      <c r="C736" t="s">
        <v>1658</v>
      </c>
      <c r="D736" t="s">
        <v>54</v>
      </c>
      <c r="E736" s="2" t="s">
        <v>1661</v>
      </c>
      <c r="F736">
        <f t="shared" si="33"/>
        <v>8</v>
      </c>
      <c r="G736" s="2">
        <f t="shared" si="34"/>
        <v>101401</v>
      </c>
    </row>
    <row r="737" spans="1:7" x14ac:dyDescent="0.25">
      <c r="A737" t="str">
        <f t="shared" si="35"/>
        <v>La Cisterna Población  de 0 a 14 años</v>
      </c>
      <c r="B737" t="s">
        <v>1525</v>
      </c>
      <c r="C737" t="s">
        <v>1658</v>
      </c>
      <c r="D737" t="s">
        <v>52</v>
      </c>
      <c r="E737" s="2" t="s">
        <v>1660</v>
      </c>
      <c r="F737">
        <f t="shared" si="33"/>
        <v>7</v>
      </c>
      <c r="G737" s="2">
        <f t="shared" si="34"/>
        <v>16686</v>
      </c>
    </row>
    <row r="738" spans="1:7" x14ac:dyDescent="0.25">
      <c r="A738" t="str">
        <f t="shared" si="35"/>
        <v>La Cisterna Población  de 15 a 64 años</v>
      </c>
      <c r="B738" t="s">
        <v>1525</v>
      </c>
      <c r="C738" t="s">
        <v>1658</v>
      </c>
      <c r="D738" t="s">
        <v>50</v>
      </c>
      <c r="E738" s="2" t="s">
        <v>1659</v>
      </c>
      <c r="F738">
        <f t="shared" si="33"/>
        <v>7</v>
      </c>
      <c r="G738" s="2">
        <f t="shared" si="34"/>
        <v>67831</v>
      </c>
    </row>
    <row r="739" spans="1:7" x14ac:dyDescent="0.25">
      <c r="A739" t="str">
        <f t="shared" si="35"/>
        <v>La Cisterna Población de 65 años o mas</v>
      </c>
      <c r="B739" t="s">
        <v>1525</v>
      </c>
      <c r="C739" t="s">
        <v>1658</v>
      </c>
      <c r="D739" t="s">
        <v>46</v>
      </c>
      <c r="E739" s="2" t="s">
        <v>1657</v>
      </c>
      <c r="F739">
        <f t="shared" si="33"/>
        <v>7</v>
      </c>
      <c r="G739" s="2">
        <f t="shared" si="34"/>
        <v>16884</v>
      </c>
    </row>
    <row r="740" spans="1:7" x14ac:dyDescent="0.25">
      <c r="A740" t="str">
        <f t="shared" si="35"/>
        <v>La Granja Hombre</v>
      </c>
      <c r="B740" t="s">
        <v>1525</v>
      </c>
      <c r="C740" t="s">
        <v>1651</v>
      </c>
      <c r="D740" t="s">
        <v>58</v>
      </c>
      <c r="E740" s="2" t="s">
        <v>1656</v>
      </c>
      <c r="F740">
        <f t="shared" si="33"/>
        <v>7</v>
      </c>
      <c r="G740" s="2">
        <f t="shared" si="34"/>
        <v>59263</v>
      </c>
    </row>
    <row r="741" spans="1:7" x14ac:dyDescent="0.25">
      <c r="A741" t="str">
        <f t="shared" si="35"/>
        <v>La Granja Mujer</v>
      </c>
      <c r="B741" t="s">
        <v>1525</v>
      </c>
      <c r="C741" t="s">
        <v>1651</v>
      </c>
      <c r="D741" t="s">
        <v>56</v>
      </c>
      <c r="E741" s="2" t="s">
        <v>1655</v>
      </c>
      <c r="F741">
        <f t="shared" si="33"/>
        <v>7</v>
      </c>
      <c r="G741" s="2">
        <f t="shared" si="34"/>
        <v>60058</v>
      </c>
    </row>
    <row r="742" spans="1:7" x14ac:dyDescent="0.25">
      <c r="A742" t="str">
        <f t="shared" si="35"/>
        <v>La Granja Población total</v>
      </c>
      <c r="B742" t="s">
        <v>1525</v>
      </c>
      <c r="C742" t="s">
        <v>1651</v>
      </c>
      <c r="D742" t="s">
        <v>54</v>
      </c>
      <c r="E742" s="2" t="s">
        <v>1654</v>
      </c>
      <c r="F742">
        <f t="shared" si="33"/>
        <v>8</v>
      </c>
      <c r="G742" s="2">
        <f t="shared" si="34"/>
        <v>119321</v>
      </c>
    </row>
    <row r="743" spans="1:7" x14ac:dyDescent="0.25">
      <c r="A743" t="str">
        <f t="shared" si="35"/>
        <v>La Granja Población  de 0 a 14 años</v>
      </c>
      <c r="B743" t="s">
        <v>1525</v>
      </c>
      <c r="C743" t="s">
        <v>1651</v>
      </c>
      <c r="D743" t="s">
        <v>52</v>
      </c>
      <c r="E743" s="2" t="s">
        <v>1653</v>
      </c>
      <c r="F743">
        <f t="shared" si="33"/>
        <v>7</v>
      </c>
      <c r="G743" s="2">
        <f t="shared" si="34"/>
        <v>21523</v>
      </c>
    </row>
    <row r="744" spans="1:7" x14ac:dyDescent="0.25">
      <c r="A744" t="str">
        <f t="shared" si="35"/>
        <v>La Granja Población  de 15 a 64 años</v>
      </c>
      <c r="B744" t="s">
        <v>1525</v>
      </c>
      <c r="C744" t="s">
        <v>1651</v>
      </c>
      <c r="D744" t="s">
        <v>50</v>
      </c>
      <c r="E744" s="2" t="s">
        <v>1652</v>
      </c>
      <c r="F744">
        <f t="shared" si="33"/>
        <v>7</v>
      </c>
      <c r="G744" s="2">
        <f t="shared" si="34"/>
        <v>80974</v>
      </c>
    </row>
    <row r="745" spans="1:7" x14ac:dyDescent="0.25">
      <c r="A745" t="str">
        <f t="shared" si="35"/>
        <v>La Granja Población de 65 años o mas</v>
      </c>
      <c r="B745" t="s">
        <v>1525</v>
      </c>
      <c r="C745" t="s">
        <v>1651</v>
      </c>
      <c r="D745" t="s">
        <v>46</v>
      </c>
      <c r="E745" s="2" t="s">
        <v>1650</v>
      </c>
      <c r="F745">
        <f t="shared" si="33"/>
        <v>7</v>
      </c>
      <c r="G745" s="2">
        <f t="shared" si="34"/>
        <v>16824</v>
      </c>
    </row>
    <row r="746" spans="1:7" x14ac:dyDescent="0.25">
      <c r="A746" t="str">
        <f t="shared" si="35"/>
        <v>San Ramón Hombre</v>
      </c>
      <c r="B746" t="s">
        <v>1525</v>
      </c>
      <c r="C746" t="s">
        <v>1644</v>
      </c>
      <c r="D746" t="s">
        <v>58</v>
      </c>
      <c r="E746" s="2" t="s">
        <v>1649</v>
      </c>
      <c r="F746">
        <f t="shared" si="33"/>
        <v>7</v>
      </c>
      <c r="G746" s="2">
        <f t="shared" si="34"/>
        <v>41599</v>
      </c>
    </row>
    <row r="747" spans="1:7" x14ac:dyDescent="0.25">
      <c r="A747" t="str">
        <f t="shared" si="35"/>
        <v>San Ramón Mujer</v>
      </c>
      <c r="B747" t="s">
        <v>1525</v>
      </c>
      <c r="C747" t="s">
        <v>1644</v>
      </c>
      <c r="D747" t="s">
        <v>56</v>
      </c>
      <c r="E747" s="2" t="s">
        <v>1648</v>
      </c>
      <c r="F747">
        <f t="shared" si="33"/>
        <v>7</v>
      </c>
      <c r="G747" s="2">
        <f t="shared" si="34"/>
        <v>42096</v>
      </c>
    </row>
    <row r="748" spans="1:7" x14ac:dyDescent="0.25">
      <c r="A748" t="str">
        <f t="shared" si="35"/>
        <v>San Ramón Población total</v>
      </c>
      <c r="B748" t="s">
        <v>1525</v>
      </c>
      <c r="C748" t="s">
        <v>1644</v>
      </c>
      <c r="D748" t="s">
        <v>54</v>
      </c>
      <c r="E748" s="2" t="s">
        <v>1647</v>
      </c>
      <c r="F748">
        <f t="shared" si="33"/>
        <v>7</v>
      </c>
      <c r="G748" s="2">
        <f t="shared" si="34"/>
        <v>83695</v>
      </c>
    </row>
    <row r="749" spans="1:7" x14ac:dyDescent="0.25">
      <c r="A749" t="str">
        <f t="shared" si="35"/>
        <v>San Ramón Población  de 0 a 14 años</v>
      </c>
      <c r="B749" t="s">
        <v>1525</v>
      </c>
      <c r="C749" t="s">
        <v>1644</v>
      </c>
      <c r="D749" t="s">
        <v>52</v>
      </c>
      <c r="E749" s="2" t="s">
        <v>1646</v>
      </c>
      <c r="F749">
        <f t="shared" si="33"/>
        <v>7</v>
      </c>
      <c r="G749" s="2">
        <f t="shared" si="34"/>
        <v>14909</v>
      </c>
    </row>
    <row r="750" spans="1:7" x14ac:dyDescent="0.25">
      <c r="A750" t="str">
        <f t="shared" si="35"/>
        <v>San Ramón Población  de 15 a 64 años</v>
      </c>
      <c r="B750" t="s">
        <v>1525</v>
      </c>
      <c r="C750" t="s">
        <v>1644</v>
      </c>
      <c r="D750" t="s">
        <v>50</v>
      </c>
      <c r="E750" s="2" t="s">
        <v>1645</v>
      </c>
      <c r="F750">
        <f t="shared" si="33"/>
        <v>7</v>
      </c>
      <c r="G750" s="2">
        <f t="shared" si="34"/>
        <v>54449</v>
      </c>
    </row>
    <row r="751" spans="1:7" x14ac:dyDescent="0.25">
      <c r="A751" t="str">
        <f t="shared" si="35"/>
        <v>San Ramón Población de 65 años o mas</v>
      </c>
      <c r="B751" t="s">
        <v>1525</v>
      </c>
      <c r="C751" t="s">
        <v>1644</v>
      </c>
      <c r="D751" t="s">
        <v>46</v>
      </c>
      <c r="E751" s="2" t="s">
        <v>1643</v>
      </c>
      <c r="F751">
        <f t="shared" si="33"/>
        <v>7</v>
      </c>
      <c r="G751" s="2">
        <f t="shared" si="34"/>
        <v>14337</v>
      </c>
    </row>
    <row r="752" spans="1:7" x14ac:dyDescent="0.25">
      <c r="A752" t="str">
        <f t="shared" si="35"/>
        <v>El Bosque Hombre</v>
      </c>
      <c r="B752" t="s">
        <v>1525</v>
      </c>
      <c r="C752" t="s">
        <v>1637</v>
      </c>
      <c r="D752" t="s">
        <v>58</v>
      </c>
      <c r="E752" s="2" t="s">
        <v>1642</v>
      </c>
      <c r="F752">
        <f t="shared" si="33"/>
        <v>7</v>
      </c>
      <c r="G752" s="2">
        <f t="shared" si="34"/>
        <v>84067</v>
      </c>
    </row>
    <row r="753" spans="1:7" x14ac:dyDescent="0.25">
      <c r="A753" t="str">
        <f t="shared" si="35"/>
        <v>El Bosque Mujer</v>
      </c>
      <c r="B753" t="s">
        <v>1525</v>
      </c>
      <c r="C753" t="s">
        <v>1637</v>
      </c>
      <c r="D753" t="s">
        <v>56</v>
      </c>
      <c r="E753" s="2" t="s">
        <v>1641</v>
      </c>
      <c r="F753">
        <f t="shared" si="33"/>
        <v>7</v>
      </c>
      <c r="G753" s="2">
        <f t="shared" si="34"/>
        <v>85788</v>
      </c>
    </row>
    <row r="754" spans="1:7" x14ac:dyDescent="0.25">
      <c r="A754" t="str">
        <f t="shared" si="35"/>
        <v>El Bosque Población total</v>
      </c>
      <c r="B754" t="s">
        <v>1525</v>
      </c>
      <c r="C754" t="s">
        <v>1637</v>
      </c>
      <c r="D754" t="s">
        <v>54</v>
      </c>
      <c r="E754" s="2" t="s">
        <v>1640</v>
      </c>
      <c r="F754">
        <f t="shared" si="33"/>
        <v>8</v>
      </c>
      <c r="G754" s="2">
        <f t="shared" si="34"/>
        <v>169855</v>
      </c>
    </row>
    <row r="755" spans="1:7" x14ac:dyDescent="0.25">
      <c r="A755" t="str">
        <f t="shared" si="35"/>
        <v>El Bosque Población  de 0 a 14 años</v>
      </c>
      <c r="B755" t="s">
        <v>1525</v>
      </c>
      <c r="C755" t="s">
        <v>1637</v>
      </c>
      <c r="D755" t="s">
        <v>52</v>
      </c>
      <c r="E755" s="2" t="s">
        <v>1639</v>
      </c>
      <c r="F755">
        <f t="shared" si="33"/>
        <v>7</v>
      </c>
      <c r="G755" s="2">
        <f t="shared" si="34"/>
        <v>32186</v>
      </c>
    </row>
    <row r="756" spans="1:7" x14ac:dyDescent="0.25">
      <c r="A756" t="str">
        <f t="shared" si="35"/>
        <v>El Bosque Población  de 15 a 64 años</v>
      </c>
      <c r="B756" t="s">
        <v>1525</v>
      </c>
      <c r="C756" t="s">
        <v>1637</v>
      </c>
      <c r="D756" t="s">
        <v>50</v>
      </c>
      <c r="E756" s="2" t="s">
        <v>1638</v>
      </c>
      <c r="F756">
        <f t="shared" si="33"/>
        <v>8</v>
      </c>
      <c r="G756" s="2">
        <f t="shared" si="34"/>
        <v>113155</v>
      </c>
    </row>
    <row r="757" spans="1:7" x14ac:dyDescent="0.25">
      <c r="A757" t="str">
        <f t="shared" si="35"/>
        <v>El Bosque Población de 65 años o mas</v>
      </c>
      <c r="B757" t="s">
        <v>1525</v>
      </c>
      <c r="C757" t="s">
        <v>1637</v>
      </c>
      <c r="D757" t="s">
        <v>46</v>
      </c>
      <c r="E757" s="2" t="s">
        <v>1636</v>
      </c>
      <c r="F757">
        <f t="shared" si="33"/>
        <v>7</v>
      </c>
      <c r="G757" s="2">
        <f t="shared" si="34"/>
        <v>24514</v>
      </c>
    </row>
    <row r="758" spans="1:7" x14ac:dyDescent="0.25">
      <c r="A758" t="str">
        <f t="shared" si="35"/>
        <v>Padre Hurtado Hombre</v>
      </c>
      <c r="B758" t="s">
        <v>1525</v>
      </c>
      <c r="C758" t="s">
        <v>1630</v>
      </c>
      <c r="D758" t="s">
        <v>58</v>
      </c>
      <c r="E758" s="2" t="s">
        <v>1635</v>
      </c>
      <c r="F758">
        <f t="shared" si="33"/>
        <v>7</v>
      </c>
      <c r="G758" s="2">
        <f t="shared" si="34"/>
        <v>40512</v>
      </c>
    </row>
    <row r="759" spans="1:7" x14ac:dyDescent="0.25">
      <c r="A759" t="str">
        <f t="shared" si="35"/>
        <v>Padre Hurtado Mujer</v>
      </c>
      <c r="B759" t="s">
        <v>1525</v>
      </c>
      <c r="C759" t="s">
        <v>1630</v>
      </c>
      <c r="D759" t="s">
        <v>56</v>
      </c>
      <c r="E759" s="2" t="s">
        <v>1634</v>
      </c>
      <c r="F759">
        <f t="shared" si="33"/>
        <v>7</v>
      </c>
      <c r="G759" s="2">
        <f t="shared" si="34"/>
        <v>41231</v>
      </c>
    </row>
    <row r="760" spans="1:7" x14ac:dyDescent="0.25">
      <c r="A760" t="str">
        <f t="shared" si="35"/>
        <v>Padre Hurtado Población total</v>
      </c>
      <c r="B760" t="s">
        <v>1525</v>
      </c>
      <c r="C760" t="s">
        <v>1630</v>
      </c>
      <c r="D760" t="s">
        <v>54</v>
      </c>
      <c r="E760" s="2" t="s">
        <v>1633</v>
      </c>
      <c r="F760">
        <f t="shared" si="33"/>
        <v>7</v>
      </c>
      <c r="G760" s="2">
        <f t="shared" si="34"/>
        <v>81743</v>
      </c>
    </row>
    <row r="761" spans="1:7" x14ac:dyDescent="0.25">
      <c r="A761" t="str">
        <f t="shared" si="35"/>
        <v>Padre Hurtado Población  de 0 a 14 años</v>
      </c>
      <c r="B761" t="s">
        <v>1525</v>
      </c>
      <c r="C761" t="s">
        <v>1630</v>
      </c>
      <c r="D761" t="s">
        <v>52</v>
      </c>
      <c r="E761" s="2" t="s">
        <v>1632</v>
      </c>
      <c r="F761">
        <f t="shared" si="33"/>
        <v>7</v>
      </c>
      <c r="G761" s="2">
        <f t="shared" si="34"/>
        <v>17206</v>
      </c>
    </row>
    <row r="762" spans="1:7" x14ac:dyDescent="0.25">
      <c r="A762" t="str">
        <f t="shared" si="35"/>
        <v>Padre Hurtado Población  de 15 a 64 años</v>
      </c>
      <c r="B762" t="s">
        <v>1525</v>
      </c>
      <c r="C762" t="s">
        <v>1630</v>
      </c>
      <c r="D762" t="s">
        <v>50</v>
      </c>
      <c r="E762" s="2" t="s">
        <v>1631</v>
      </c>
      <c r="F762">
        <f t="shared" si="33"/>
        <v>7</v>
      </c>
      <c r="G762" s="2">
        <f t="shared" si="34"/>
        <v>55974</v>
      </c>
    </row>
    <row r="763" spans="1:7" x14ac:dyDescent="0.25">
      <c r="A763" t="str">
        <f t="shared" si="35"/>
        <v>Padre Hurtado Población de 65 años o mas</v>
      </c>
      <c r="B763" t="s">
        <v>1525</v>
      </c>
      <c r="C763" t="s">
        <v>1630</v>
      </c>
      <c r="D763" t="s">
        <v>46</v>
      </c>
      <c r="E763" s="2" t="s">
        <v>1629</v>
      </c>
      <c r="F763">
        <f t="shared" si="33"/>
        <v>6</v>
      </c>
      <c r="G763" s="2">
        <f t="shared" si="34"/>
        <v>8563</v>
      </c>
    </row>
    <row r="764" spans="1:7" x14ac:dyDescent="0.25">
      <c r="A764" t="str">
        <f t="shared" si="35"/>
        <v>La Pintana Hombre</v>
      </c>
      <c r="B764" t="s">
        <v>1525</v>
      </c>
      <c r="C764" t="s">
        <v>1623</v>
      </c>
      <c r="D764" t="s">
        <v>58</v>
      </c>
      <c r="E764" s="2" t="s">
        <v>1628</v>
      </c>
      <c r="F764">
        <f t="shared" si="33"/>
        <v>7</v>
      </c>
      <c r="G764" s="2">
        <f t="shared" si="34"/>
        <v>93513</v>
      </c>
    </row>
    <row r="765" spans="1:7" x14ac:dyDescent="0.25">
      <c r="A765" t="str">
        <f t="shared" si="35"/>
        <v>La Pintana Mujer</v>
      </c>
      <c r="B765" t="s">
        <v>1525</v>
      </c>
      <c r="C765" t="s">
        <v>1623</v>
      </c>
      <c r="D765" t="s">
        <v>56</v>
      </c>
      <c r="E765" s="2" t="s">
        <v>1627</v>
      </c>
      <c r="F765">
        <f t="shared" si="33"/>
        <v>7</v>
      </c>
      <c r="G765" s="2">
        <f t="shared" si="34"/>
        <v>95467</v>
      </c>
    </row>
    <row r="766" spans="1:7" x14ac:dyDescent="0.25">
      <c r="A766" t="str">
        <f t="shared" si="35"/>
        <v>La Pintana Población total</v>
      </c>
      <c r="B766" t="s">
        <v>1525</v>
      </c>
      <c r="C766" t="s">
        <v>1623</v>
      </c>
      <c r="D766" t="s">
        <v>54</v>
      </c>
      <c r="E766" s="2" t="s">
        <v>1626</v>
      </c>
      <c r="F766">
        <f t="shared" si="33"/>
        <v>8</v>
      </c>
      <c r="G766" s="2">
        <f t="shared" si="34"/>
        <v>188980</v>
      </c>
    </row>
    <row r="767" spans="1:7" x14ac:dyDescent="0.25">
      <c r="A767" t="str">
        <f t="shared" si="35"/>
        <v>La Pintana Población  de 0 a 14 años</v>
      </c>
      <c r="B767" t="s">
        <v>1525</v>
      </c>
      <c r="C767" t="s">
        <v>1623</v>
      </c>
      <c r="D767" t="s">
        <v>52</v>
      </c>
      <c r="E767" s="2" t="s">
        <v>1625</v>
      </c>
      <c r="F767">
        <f t="shared" si="33"/>
        <v>7</v>
      </c>
      <c r="G767" s="2">
        <f t="shared" si="34"/>
        <v>41578</v>
      </c>
    </row>
    <row r="768" spans="1:7" x14ac:dyDescent="0.25">
      <c r="A768" t="str">
        <f t="shared" si="35"/>
        <v>La Pintana Población  de 15 a 64 años</v>
      </c>
      <c r="B768" t="s">
        <v>1525</v>
      </c>
      <c r="C768" t="s">
        <v>1623</v>
      </c>
      <c r="D768" t="s">
        <v>50</v>
      </c>
      <c r="E768" s="2" t="s">
        <v>1624</v>
      </c>
      <c r="F768">
        <f t="shared" si="33"/>
        <v>8</v>
      </c>
      <c r="G768" s="2">
        <f t="shared" si="34"/>
        <v>126697</v>
      </c>
    </row>
    <row r="769" spans="1:7" x14ac:dyDescent="0.25">
      <c r="A769" t="str">
        <f t="shared" si="35"/>
        <v>La Pintana Población de 65 años o mas</v>
      </c>
      <c r="B769" t="s">
        <v>1525</v>
      </c>
      <c r="C769" t="s">
        <v>1623</v>
      </c>
      <c r="D769" t="s">
        <v>46</v>
      </c>
      <c r="E769" s="2" t="s">
        <v>1622</v>
      </c>
      <c r="F769">
        <f t="shared" si="33"/>
        <v>7</v>
      </c>
      <c r="G769" s="2">
        <f t="shared" si="34"/>
        <v>20705</v>
      </c>
    </row>
    <row r="770" spans="1:7" x14ac:dyDescent="0.25">
      <c r="A770" t="str">
        <f t="shared" si="35"/>
        <v>San Bernardo Hombre</v>
      </c>
      <c r="B770" t="s">
        <v>1525</v>
      </c>
      <c r="C770" t="s">
        <v>1616</v>
      </c>
      <c r="D770" t="s">
        <v>58</v>
      </c>
      <c r="E770" s="2" t="s">
        <v>1621</v>
      </c>
      <c r="F770">
        <f t="shared" ref="F770:F833" si="36">+FIND(".",E770)</f>
        <v>8</v>
      </c>
      <c r="G770" s="2">
        <f t="shared" ref="G770:G833" si="37">+LEFT(E770,(F770-1))*1</f>
        <v>172517</v>
      </c>
    </row>
    <row r="771" spans="1:7" x14ac:dyDescent="0.25">
      <c r="A771" t="str">
        <f t="shared" ref="A771:A834" si="38">+C771&amp;D771</f>
        <v>San Bernardo Mujer</v>
      </c>
      <c r="B771" t="s">
        <v>1525</v>
      </c>
      <c r="C771" t="s">
        <v>1616</v>
      </c>
      <c r="D771" t="s">
        <v>56</v>
      </c>
      <c r="E771" s="2" t="s">
        <v>1620</v>
      </c>
      <c r="F771">
        <f t="shared" si="36"/>
        <v>8</v>
      </c>
      <c r="G771" s="2">
        <f t="shared" si="37"/>
        <v>176123</v>
      </c>
    </row>
    <row r="772" spans="1:7" x14ac:dyDescent="0.25">
      <c r="A772" t="str">
        <f t="shared" si="38"/>
        <v>San Bernardo Población total</v>
      </c>
      <c r="B772" t="s">
        <v>1525</v>
      </c>
      <c r="C772" t="s">
        <v>1616</v>
      </c>
      <c r="D772" t="s">
        <v>54</v>
      </c>
      <c r="E772" s="2" t="s">
        <v>1619</v>
      </c>
      <c r="F772">
        <f t="shared" si="36"/>
        <v>8</v>
      </c>
      <c r="G772" s="2">
        <f t="shared" si="37"/>
        <v>348640</v>
      </c>
    </row>
    <row r="773" spans="1:7" x14ac:dyDescent="0.25">
      <c r="A773" t="str">
        <f t="shared" si="38"/>
        <v>San Bernardo Población  de 0 a 14 años</v>
      </c>
      <c r="B773" t="s">
        <v>1525</v>
      </c>
      <c r="C773" t="s">
        <v>1616</v>
      </c>
      <c r="D773" t="s">
        <v>52</v>
      </c>
      <c r="E773" s="2" t="s">
        <v>1618</v>
      </c>
      <c r="F773">
        <f t="shared" si="36"/>
        <v>7</v>
      </c>
      <c r="G773" s="2">
        <f t="shared" si="37"/>
        <v>74467</v>
      </c>
    </row>
    <row r="774" spans="1:7" x14ac:dyDescent="0.25">
      <c r="A774" t="str">
        <f t="shared" si="38"/>
        <v>San Bernardo Población  de 15 a 64 años</v>
      </c>
      <c r="B774" t="s">
        <v>1525</v>
      </c>
      <c r="C774" t="s">
        <v>1616</v>
      </c>
      <c r="D774" t="s">
        <v>50</v>
      </c>
      <c r="E774" s="2" t="s">
        <v>1617</v>
      </c>
      <c r="F774">
        <f t="shared" si="36"/>
        <v>8</v>
      </c>
      <c r="G774" s="2">
        <f t="shared" si="37"/>
        <v>238131</v>
      </c>
    </row>
    <row r="775" spans="1:7" x14ac:dyDescent="0.25">
      <c r="A775" t="str">
        <f t="shared" si="38"/>
        <v>San Bernardo Población de 65 años o mas</v>
      </c>
      <c r="B775" t="s">
        <v>1525</v>
      </c>
      <c r="C775" t="s">
        <v>1616</v>
      </c>
      <c r="D775" t="s">
        <v>46</v>
      </c>
      <c r="E775" s="2" t="s">
        <v>1615</v>
      </c>
      <c r="F775">
        <f t="shared" si="36"/>
        <v>7</v>
      </c>
      <c r="G775" s="2">
        <f t="shared" si="37"/>
        <v>36042</v>
      </c>
    </row>
    <row r="776" spans="1:7" x14ac:dyDescent="0.25">
      <c r="A776" t="str">
        <f t="shared" si="38"/>
        <v>Puente Alto Hombre</v>
      </c>
      <c r="B776" t="s">
        <v>1525</v>
      </c>
      <c r="C776" t="s">
        <v>1609</v>
      </c>
      <c r="D776" t="s">
        <v>58</v>
      </c>
      <c r="E776" s="2" t="s">
        <v>1614</v>
      </c>
      <c r="F776">
        <f t="shared" si="36"/>
        <v>8</v>
      </c>
      <c r="G776" s="2">
        <f t="shared" si="37"/>
        <v>329119</v>
      </c>
    </row>
    <row r="777" spans="1:7" x14ac:dyDescent="0.25">
      <c r="A777" t="str">
        <f t="shared" si="38"/>
        <v>Puente Alto Mujer</v>
      </c>
      <c r="B777" t="s">
        <v>1525</v>
      </c>
      <c r="C777" t="s">
        <v>1609</v>
      </c>
      <c r="D777" t="s">
        <v>56</v>
      </c>
      <c r="E777" s="2" t="s">
        <v>1613</v>
      </c>
      <c r="F777">
        <f t="shared" si="36"/>
        <v>8</v>
      </c>
      <c r="G777" s="2">
        <f t="shared" si="37"/>
        <v>338785</v>
      </c>
    </row>
    <row r="778" spans="1:7" x14ac:dyDescent="0.25">
      <c r="A778" t="str">
        <f t="shared" si="38"/>
        <v>Puente Alto Población total</v>
      </c>
      <c r="B778" t="s">
        <v>1525</v>
      </c>
      <c r="C778" t="s">
        <v>1609</v>
      </c>
      <c r="D778" t="s">
        <v>54</v>
      </c>
      <c r="E778" s="2" t="s">
        <v>1612</v>
      </c>
      <c r="F778">
        <f t="shared" si="36"/>
        <v>8</v>
      </c>
      <c r="G778" s="2">
        <f t="shared" si="37"/>
        <v>667904</v>
      </c>
    </row>
    <row r="779" spans="1:7" x14ac:dyDescent="0.25">
      <c r="A779" t="str">
        <f t="shared" si="38"/>
        <v>Puente Alto Población  de 0 a 14 años</v>
      </c>
      <c r="B779" t="s">
        <v>1525</v>
      </c>
      <c r="C779" t="s">
        <v>1609</v>
      </c>
      <c r="D779" t="s">
        <v>52</v>
      </c>
      <c r="E779" s="2" t="s">
        <v>1611</v>
      </c>
      <c r="F779">
        <f t="shared" si="36"/>
        <v>8</v>
      </c>
      <c r="G779" s="2">
        <f t="shared" si="37"/>
        <v>136594</v>
      </c>
    </row>
    <row r="780" spans="1:7" x14ac:dyDescent="0.25">
      <c r="A780" t="str">
        <f t="shared" si="38"/>
        <v>Puente Alto Población  de 15 a 64 años</v>
      </c>
      <c r="B780" t="s">
        <v>1525</v>
      </c>
      <c r="C780" t="s">
        <v>1609</v>
      </c>
      <c r="D780" t="s">
        <v>50</v>
      </c>
      <c r="E780" s="2" t="s">
        <v>1610</v>
      </c>
      <c r="F780">
        <f t="shared" si="36"/>
        <v>8</v>
      </c>
      <c r="G780" s="2">
        <f t="shared" si="37"/>
        <v>470295</v>
      </c>
    </row>
    <row r="781" spans="1:7" x14ac:dyDescent="0.25">
      <c r="A781" t="str">
        <f t="shared" si="38"/>
        <v>Puente Alto Población de 65 años o mas</v>
      </c>
      <c r="B781" t="s">
        <v>1525</v>
      </c>
      <c r="C781" t="s">
        <v>1609</v>
      </c>
      <c r="D781" t="s">
        <v>46</v>
      </c>
      <c r="E781" s="2" t="s">
        <v>1608</v>
      </c>
      <c r="F781">
        <f t="shared" si="36"/>
        <v>7</v>
      </c>
      <c r="G781" s="2">
        <f t="shared" si="37"/>
        <v>61015</v>
      </c>
    </row>
    <row r="782" spans="1:7" x14ac:dyDescent="0.25">
      <c r="A782" t="str">
        <f t="shared" si="38"/>
        <v>Peñaflor Hombre</v>
      </c>
      <c r="B782" t="s">
        <v>1525</v>
      </c>
      <c r="C782" t="s">
        <v>1602</v>
      </c>
      <c r="D782" t="s">
        <v>58</v>
      </c>
      <c r="E782" s="2" t="s">
        <v>1607</v>
      </c>
      <c r="F782">
        <f t="shared" si="36"/>
        <v>7</v>
      </c>
      <c r="G782" s="2">
        <f t="shared" si="37"/>
        <v>52877</v>
      </c>
    </row>
    <row r="783" spans="1:7" x14ac:dyDescent="0.25">
      <c r="A783" t="str">
        <f t="shared" si="38"/>
        <v>Peñaflor Mujer</v>
      </c>
      <c r="B783" t="s">
        <v>1525</v>
      </c>
      <c r="C783" t="s">
        <v>1602</v>
      </c>
      <c r="D783" t="s">
        <v>56</v>
      </c>
      <c r="E783" s="2" t="s">
        <v>1606</v>
      </c>
      <c r="F783">
        <f t="shared" si="36"/>
        <v>7</v>
      </c>
      <c r="G783" s="2">
        <f t="shared" si="37"/>
        <v>53963</v>
      </c>
    </row>
    <row r="784" spans="1:7" x14ac:dyDescent="0.25">
      <c r="A784" t="str">
        <f t="shared" si="38"/>
        <v>Peñaflor Población total</v>
      </c>
      <c r="B784" t="s">
        <v>1525</v>
      </c>
      <c r="C784" t="s">
        <v>1602</v>
      </c>
      <c r="D784" t="s">
        <v>54</v>
      </c>
      <c r="E784" s="2" t="s">
        <v>1605</v>
      </c>
      <c r="F784">
        <f t="shared" si="36"/>
        <v>8</v>
      </c>
      <c r="G784" s="2">
        <f t="shared" si="37"/>
        <v>106840</v>
      </c>
    </row>
    <row r="785" spans="1:7" x14ac:dyDescent="0.25">
      <c r="A785" t="str">
        <f t="shared" si="38"/>
        <v>Peñaflor Población  de 0 a 14 años</v>
      </c>
      <c r="B785" t="s">
        <v>1525</v>
      </c>
      <c r="C785" t="s">
        <v>1602</v>
      </c>
      <c r="D785" t="s">
        <v>52</v>
      </c>
      <c r="E785" s="2" t="s">
        <v>1604</v>
      </c>
      <c r="F785">
        <f t="shared" si="36"/>
        <v>7</v>
      </c>
      <c r="G785" s="2">
        <f t="shared" si="37"/>
        <v>22132</v>
      </c>
    </row>
    <row r="786" spans="1:7" x14ac:dyDescent="0.25">
      <c r="A786" t="str">
        <f t="shared" si="38"/>
        <v>Peñaflor Población  de 15 a 64 años</v>
      </c>
      <c r="B786" t="s">
        <v>1525</v>
      </c>
      <c r="C786" t="s">
        <v>1602</v>
      </c>
      <c r="D786" t="s">
        <v>50</v>
      </c>
      <c r="E786" s="2" t="s">
        <v>1603</v>
      </c>
      <c r="F786">
        <f t="shared" si="36"/>
        <v>7</v>
      </c>
      <c r="G786" s="2">
        <f t="shared" si="37"/>
        <v>72166</v>
      </c>
    </row>
    <row r="787" spans="1:7" x14ac:dyDescent="0.25">
      <c r="A787" t="str">
        <f t="shared" si="38"/>
        <v>Peñaflor Población de 65 años o mas</v>
      </c>
      <c r="B787" t="s">
        <v>1525</v>
      </c>
      <c r="C787" t="s">
        <v>1602</v>
      </c>
      <c r="D787" t="s">
        <v>46</v>
      </c>
      <c r="E787" s="2" t="s">
        <v>1601</v>
      </c>
      <c r="F787">
        <f t="shared" si="36"/>
        <v>7</v>
      </c>
      <c r="G787" s="2">
        <f t="shared" si="37"/>
        <v>12542</v>
      </c>
    </row>
    <row r="788" spans="1:7" x14ac:dyDescent="0.25">
      <c r="A788" t="str">
        <f t="shared" si="38"/>
        <v>Calera De Tango Hombre</v>
      </c>
      <c r="B788" t="s">
        <v>1525</v>
      </c>
      <c r="C788" t="s">
        <v>1595</v>
      </c>
      <c r="D788" t="s">
        <v>58</v>
      </c>
      <c r="E788" s="2" t="s">
        <v>1600</v>
      </c>
      <c r="F788">
        <f t="shared" si="36"/>
        <v>7</v>
      </c>
      <c r="G788" s="2">
        <f t="shared" si="37"/>
        <v>15073</v>
      </c>
    </row>
    <row r="789" spans="1:7" x14ac:dyDescent="0.25">
      <c r="A789" t="str">
        <f t="shared" si="38"/>
        <v>Calera De Tango Mujer</v>
      </c>
      <c r="B789" t="s">
        <v>1525</v>
      </c>
      <c r="C789" t="s">
        <v>1595</v>
      </c>
      <c r="D789" t="s">
        <v>56</v>
      </c>
      <c r="E789" s="2" t="s">
        <v>1599</v>
      </c>
      <c r="F789">
        <f t="shared" si="36"/>
        <v>7</v>
      </c>
      <c r="G789" s="2">
        <f t="shared" si="37"/>
        <v>15210</v>
      </c>
    </row>
    <row r="790" spans="1:7" x14ac:dyDescent="0.25">
      <c r="A790" t="str">
        <f t="shared" si="38"/>
        <v>Calera De Tango Población total</v>
      </c>
      <c r="B790" t="s">
        <v>1525</v>
      </c>
      <c r="C790" t="s">
        <v>1595</v>
      </c>
      <c r="D790" t="s">
        <v>54</v>
      </c>
      <c r="E790" s="2" t="s">
        <v>1598</v>
      </c>
      <c r="F790">
        <f t="shared" si="36"/>
        <v>7</v>
      </c>
      <c r="G790" s="2">
        <f t="shared" si="37"/>
        <v>30283</v>
      </c>
    </row>
    <row r="791" spans="1:7" x14ac:dyDescent="0.25">
      <c r="A791" t="str">
        <f t="shared" si="38"/>
        <v>Calera De Tango Población  de 0 a 14 años</v>
      </c>
      <c r="B791" t="s">
        <v>1525</v>
      </c>
      <c r="C791" t="s">
        <v>1595</v>
      </c>
      <c r="D791" t="s">
        <v>52</v>
      </c>
      <c r="E791" s="2" t="s">
        <v>1597</v>
      </c>
      <c r="F791">
        <f t="shared" si="36"/>
        <v>6</v>
      </c>
      <c r="G791" s="2">
        <f t="shared" si="37"/>
        <v>5967</v>
      </c>
    </row>
    <row r="792" spans="1:7" x14ac:dyDescent="0.25">
      <c r="A792" t="str">
        <f t="shared" si="38"/>
        <v>Calera De Tango Población  de 15 a 64 años</v>
      </c>
      <c r="B792" t="s">
        <v>1525</v>
      </c>
      <c r="C792" t="s">
        <v>1595</v>
      </c>
      <c r="D792" t="s">
        <v>50</v>
      </c>
      <c r="E792" s="2" t="s">
        <v>1596</v>
      </c>
      <c r="F792">
        <f t="shared" si="36"/>
        <v>7</v>
      </c>
      <c r="G792" s="2">
        <f t="shared" si="37"/>
        <v>20924</v>
      </c>
    </row>
    <row r="793" spans="1:7" x14ac:dyDescent="0.25">
      <c r="A793" t="str">
        <f t="shared" si="38"/>
        <v>Calera De Tango Población de 65 años o mas</v>
      </c>
      <c r="B793" t="s">
        <v>1525</v>
      </c>
      <c r="C793" t="s">
        <v>1595</v>
      </c>
      <c r="D793" t="s">
        <v>46</v>
      </c>
      <c r="E793" s="2" t="s">
        <v>1594</v>
      </c>
      <c r="F793">
        <f t="shared" si="36"/>
        <v>6</v>
      </c>
      <c r="G793" s="2">
        <f t="shared" si="37"/>
        <v>3392</v>
      </c>
    </row>
    <row r="794" spans="1:7" x14ac:dyDescent="0.25">
      <c r="A794" t="str">
        <f t="shared" si="38"/>
        <v>Pirque Hombre</v>
      </c>
      <c r="B794" t="s">
        <v>1525</v>
      </c>
      <c r="C794" t="s">
        <v>1588</v>
      </c>
      <c r="D794" t="s">
        <v>58</v>
      </c>
      <c r="E794" s="2" t="s">
        <v>1593</v>
      </c>
      <c r="F794">
        <f t="shared" si="36"/>
        <v>7</v>
      </c>
      <c r="G794" s="2">
        <f t="shared" si="37"/>
        <v>16450</v>
      </c>
    </row>
    <row r="795" spans="1:7" x14ac:dyDescent="0.25">
      <c r="A795" t="str">
        <f t="shared" si="38"/>
        <v>Pirque Mujer</v>
      </c>
      <c r="B795" t="s">
        <v>1525</v>
      </c>
      <c r="C795" t="s">
        <v>1588</v>
      </c>
      <c r="D795" t="s">
        <v>56</v>
      </c>
      <c r="E795" s="2" t="s">
        <v>1592</v>
      </c>
      <c r="F795">
        <f t="shared" si="36"/>
        <v>7</v>
      </c>
      <c r="G795" s="2">
        <f t="shared" si="37"/>
        <v>16571</v>
      </c>
    </row>
    <row r="796" spans="1:7" x14ac:dyDescent="0.25">
      <c r="A796" t="str">
        <f t="shared" si="38"/>
        <v>Pirque Población total</v>
      </c>
      <c r="B796" t="s">
        <v>1525</v>
      </c>
      <c r="C796" t="s">
        <v>1588</v>
      </c>
      <c r="D796" t="s">
        <v>54</v>
      </c>
      <c r="E796" s="2" t="s">
        <v>1591</v>
      </c>
      <c r="F796">
        <f t="shared" si="36"/>
        <v>7</v>
      </c>
      <c r="G796" s="2">
        <f t="shared" si="37"/>
        <v>33021</v>
      </c>
    </row>
    <row r="797" spans="1:7" x14ac:dyDescent="0.25">
      <c r="A797" t="str">
        <f t="shared" si="38"/>
        <v>Pirque Población  de 0 a 14 años</v>
      </c>
      <c r="B797" t="s">
        <v>1525</v>
      </c>
      <c r="C797" t="s">
        <v>1588</v>
      </c>
      <c r="D797" t="s">
        <v>52</v>
      </c>
      <c r="E797" s="2" t="s">
        <v>1590</v>
      </c>
      <c r="F797">
        <f t="shared" si="36"/>
        <v>6</v>
      </c>
      <c r="G797" s="2">
        <f t="shared" si="37"/>
        <v>6467</v>
      </c>
    </row>
    <row r="798" spans="1:7" x14ac:dyDescent="0.25">
      <c r="A798" t="str">
        <f t="shared" si="38"/>
        <v>Pirque Población  de 15 a 64 años</v>
      </c>
      <c r="B798" t="s">
        <v>1525</v>
      </c>
      <c r="C798" t="s">
        <v>1588</v>
      </c>
      <c r="D798" t="s">
        <v>50</v>
      </c>
      <c r="E798" s="2" t="s">
        <v>1589</v>
      </c>
      <c r="F798">
        <f t="shared" si="36"/>
        <v>7</v>
      </c>
      <c r="G798" s="2">
        <f t="shared" si="37"/>
        <v>22595</v>
      </c>
    </row>
    <row r="799" spans="1:7" x14ac:dyDescent="0.25">
      <c r="A799" t="str">
        <f t="shared" si="38"/>
        <v>Pirque Población de 65 años o mas</v>
      </c>
      <c r="B799" t="s">
        <v>1525</v>
      </c>
      <c r="C799" t="s">
        <v>1588</v>
      </c>
      <c r="D799" t="s">
        <v>46</v>
      </c>
      <c r="E799" s="2" t="s">
        <v>1587</v>
      </c>
      <c r="F799">
        <f t="shared" si="36"/>
        <v>6</v>
      </c>
      <c r="G799" s="2">
        <f t="shared" si="37"/>
        <v>3959</v>
      </c>
    </row>
    <row r="800" spans="1:7" x14ac:dyDescent="0.25">
      <c r="A800" t="str">
        <f t="shared" si="38"/>
        <v>San José De Maipo Hombre</v>
      </c>
      <c r="B800" t="s">
        <v>1525</v>
      </c>
      <c r="C800" t="s">
        <v>1581</v>
      </c>
      <c r="D800" t="s">
        <v>58</v>
      </c>
      <c r="E800" s="2" t="s">
        <v>1586</v>
      </c>
      <c r="F800">
        <f t="shared" si="36"/>
        <v>6</v>
      </c>
      <c r="G800" s="2">
        <f t="shared" si="37"/>
        <v>9715</v>
      </c>
    </row>
    <row r="801" spans="1:7" x14ac:dyDescent="0.25">
      <c r="A801" t="str">
        <f t="shared" si="38"/>
        <v>San José De Maipo Mujer</v>
      </c>
      <c r="B801" t="s">
        <v>1525</v>
      </c>
      <c r="C801" t="s">
        <v>1581</v>
      </c>
      <c r="D801" t="s">
        <v>56</v>
      </c>
      <c r="E801" s="2" t="s">
        <v>1585</v>
      </c>
      <c r="F801">
        <f t="shared" si="36"/>
        <v>6</v>
      </c>
      <c r="G801" s="2">
        <f t="shared" si="37"/>
        <v>9804</v>
      </c>
    </row>
    <row r="802" spans="1:7" x14ac:dyDescent="0.25">
      <c r="A802" t="str">
        <f t="shared" si="38"/>
        <v>San José De Maipo Población total</v>
      </c>
      <c r="B802" t="s">
        <v>1525</v>
      </c>
      <c r="C802" t="s">
        <v>1581</v>
      </c>
      <c r="D802" t="s">
        <v>54</v>
      </c>
      <c r="E802" s="2" t="s">
        <v>1584</v>
      </c>
      <c r="F802">
        <f t="shared" si="36"/>
        <v>7</v>
      </c>
      <c r="G802" s="2">
        <f t="shared" si="37"/>
        <v>19519</v>
      </c>
    </row>
    <row r="803" spans="1:7" x14ac:dyDescent="0.25">
      <c r="A803" t="str">
        <f t="shared" si="38"/>
        <v>San José De Maipo Población  de 0 a 14 años</v>
      </c>
      <c r="B803" t="s">
        <v>1525</v>
      </c>
      <c r="C803" t="s">
        <v>1581</v>
      </c>
      <c r="D803" t="s">
        <v>52</v>
      </c>
      <c r="E803" s="2" t="s">
        <v>1583</v>
      </c>
      <c r="F803">
        <f t="shared" si="36"/>
        <v>6</v>
      </c>
      <c r="G803" s="2">
        <f t="shared" si="37"/>
        <v>3613</v>
      </c>
    </row>
    <row r="804" spans="1:7" x14ac:dyDescent="0.25">
      <c r="A804" t="str">
        <f t="shared" si="38"/>
        <v>San José De Maipo Población  de 15 a 64 años</v>
      </c>
      <c r="B804" t="s">
        <v>1525</v>
      </c>
      <c r="C804" t="s">
        <v>1581</v>
      </c>
      <c r="D804" t="s">
        <v>50</v>
      </c>
      <c r="E804" s="2" t="s">
        <v>1582</v>
      </c>
      <c r="F804">
        <f t="shared" si="36"/>
        <v>7</v>
      </c>
      <c r="G804" s="2">
        <f t="shared" si="37"/>
        <v>13154</v>
      </c>
    </row>
    <row r="805" spans="1:7" x14ac:dyDescent="0.25">
      <c r="A805" t="str">
        <f t="shared" si="38"/>
        <v>San José De Maipo Población de 65 años o mas</v>
      </c>
      <c r="B805" t="s">
        <v>1525</v>
      </c>
      <c r="C805" t="s">
        <v>1581</v>
      </c>
      <c r="D805" t="s">
        <v>46</v>
      </c>
      <c r="E805" s="2" t="s">
        <v>1580</v>
      </c>
      <c r="F805">
        <f t="shared" si="36"/>
        <v>6</v>
      </c>
      <c r="G805" s="2">
        <f t="shared" si="37"/>
        <v>2752</v>
      </c>
    </row>
    <row r="806" spans="1:7" x14ac:dyDescent="0.25">
      <c r="A806" t="str">
        <f t="shared" si="38"/>
        <v>Talagante Hombre</v>
      </c>
      <c r="B806" t="s">
        <v>1525</v>
      </c>
      <c r="C806" t="s">
        <v>1574</v>
      </c>
      <c r="D806" t="s">
        <v>58</v>
      </c>
      <c r="E806" s="2" t="s">
        <v>1579</v>
      </c>
      <c r="F806">
        <f t="shared" si="36"/>
        <v>7</v>
      </c>
      <c r="G806" s="2">
        <f t="shared" si="37"/>
        <v>42280</v>
      </c>
    </row>
    <row r="807" spans="1:7" x14ac:dyDescent="0.25">
      <c r="A807" t="str">
        <f t="shared" si="38"/>
        <v>Talagante Mujer</v>
      </c>
      <c r="B807" t="s">
        <v>1525</v>
      </c>
      <c r="C807" t="s">
        <v>1574</v>
      </c>
      <c r="D807" t="s">
        <v>56</v>
      </c>
      <c r="E807" s="2" t="s">
        <v>1578</v>
      </c>
      <c r="F807">
        <f t="shared" si="36"/>
        <v>7</v>
      </c>
      <c r="G807" s="2">
        <f t="shared" si="37"/>
        <v>43234</v>
      </c>
    </row>
    <row r="808" spans="1:7" x14ac:dyDescent="0.25">
      <c r="A808" t="str">
        <f t="shared" si="38"/>
        <v>Talagante Población total</v>
      </c>
      <c r="B808" t="s">
        <v>1525</v>
      </c>
      <c r="C808" t="s">
        <v>1574</v>
      </c>
      <c r="D808" t="s">
        <v>54</v>
      </c>
      <c r="E808" s="2" t="s">
        <v>1577</v>
      </c>
      <c r="F808">
        <f t="shared" si="36"/>
        <v>7</v>
      </c>
      <c r="G808" s="2">
        <f t="shared" si="37"/>
        <v>85514</v>
      </c>
    </row>
    <row r="809" spans="1:7" x14ac:dyDescent="0.25">
      <c r="A809" t="str">
        <f t="shared" si="38"/>
        <v>Talagante Población  de 0 a 14 años</v>
      </c>
      <c r="B809" t="s">
        <v>1525</v>
      </c>
      <c r="C809" t="s">
        <v>1574</v>
      </c>
      <c r="D809" t="s">
        <v>52</v>
      </c>
      <c r="E809" s="2" t="s">
        <v>1576</v>
      </c>
      <c r="F809">
        <f t="shared" si="36"/>
        <v>7</v>
      </c>
      <c r="G809" s="2">
        <f t="shared" si="37"/>
        <v>17387</v>
      </c>
    </row>
    <row r="810" spans="1:7" x14ac:dyDescent="0.25">
      <c r="A810" t="str">
        <f t="shared" si="38"/>
        <v>Talagante Población  de 15 a 64 años</v>
      </c>
      <c r="B810" t="s">
        <v>1525</v>
      </c>
      <c r="C810" t="s">
        <v>1574</v>
      </c>
      <c r="D810" t="s">
        <v>50</v>
      </c>
      <c r="E810" s="2" t="s">
        <v>1575</v>
      </c>
      <c r="F810">
        <f t="shared" si="36"/>
        <v>7</v>
      </c>
      <c r="G810" s="2">
        <f t="shared" si="37"/>
        <v>58390</v>
      </c>
    </row>
    <row r="811" spans="1:7" x14ac:dyDescent="0.25">
      <c r="A811" t="str">
        <f t="shared" si="38"/>
        <v>Talagante Población de 65 años o mas</v>
      </c>
      <c r="B811" t="s">
        <v>1525</v>
      </c>
      <c r="C811" t="s">
        <v>1574</v>
      </c>
      <c r="D811" t="s">
        <v>46</v>
      </c>
      <c r="E811" s="2" t="s">
        <v>1229</v>
      </c>
      <c r="F811">
        <f t="shared" si="36"/>
        <v>6</v>
      </c>
      <c r="G811" s="2">
        <f t="shared" si="37"/>
        <v>9737</v>
      </c>
    </row>
    <row r="812" spans="1:7" x14ac:dyDescent="0.25">
      <c r="A812" t="str">
        <f t="shared" si="38"/>
        <v>El Monte Hombre</v>
      </c>
      <c r="B812" t="s">
        <v>1525</v>
      </c>
      <c r="C812" t="s">
        <v>1568</v>
      </c>
      <c r="D812" t="s">
        <v>58</v>
      </c>
      <c r="E812" s="2" t="s">
        <v>1573</v>
      </c>
      <c r="F812">
        <f t="shared" si="36"/>
        <v>7</v>
      </c>
      <c r="G812" s="2">
        <f t="shared" si="37"/>
        <v>20947</v>
      </c>
    </row>
    <row r="813" spans="1:7" x14ac:dyDescent="0.25">
      <c r="A813" t="str">
        <f t="shared" si="38"/>
        <v>El Monte Mujer</v>
      </c>
      <c r="B813" t="s">
        <v>1525</v>
      </c>
      <c r="C813" t="s">
        <v>1568</v>
      </c>
      <c r="D813" t="s">
        <v>56</v>
      </c>
      <c r="E813" s="2" t="s">
        <v>1572</v>
      </c>
      <c r="F813">
        <f t="shared" si="36"/>
        <v>7</v>
      </c>
      <c r="G813" s="2">
        <f t="shared" si="37"/>
        <v>21286</v>
      </c>
    </row>
    <row r="814" spans="1:7" x14ac:dyDescent="0.25">
      <c r="A814" t="str">
        <f t="shared" si="38"/>
        <v>El Monte Población total</v>
      </c>
      <c r="B814" t="s">
        <v>1525</v>
      </c>
      <c r="C814" t="s">
        <v>1568</v>
      </c>
      <c r="D814" t="s">
        <v>54</v>
      </c>
      <c r="E814" s="2" t="s">
        <v>1571</v>
      </c>
      <c r="F814">
        <f t="shared" si="36"/>
        <v>7</v>
      </c>
      <c r="G814" s="2">
        <f t="shared" si="37"/>
        <v>42233</v>
      </c>
    </row>
    <row r="815" spans="1:7" x14ac:dyDescent="0.25">
      <c r="A815" t="str">
        <f t="shared" si="38"/>
        <v>El Monte Población  de 0 a 14 años</v>
      </c>
      <c r="B815" t="s">
        <v>1525</v>
      </c>
      <c r="C815" t="s">
        <v>1568</v>
      </c>
      <c r="D815" t="s">
        <v>52</v>
      </c>
      <c r="E815" s="2" t="s">
        <v>1570</v>
      </c>
      <c r="F815">
        <f t="shared" si="36"/>
        <v>6</v>
      </c>
      <c r="G815" s="2">
        <f t="shared" si="37"/>
        <v>8946</v>
      </c>
    </row>
    <row r="816" spans="1:7" x14ac:dyDescent="0.25">
      <c r="A816" t="str">
        <f t="shared" si="38"/>
        <v>El Monte Población  de 15 a 64 años</v>
      </c>
      <c r="B816" t="s">
        <v>1525</v>
      </c>
      <c r="C816" t="s">
        <v>1568</v>
      </c>
      <c r="D816" t="s">
        <v>50</v>
      </c>
      <c r="E816" s="2" t="s">
        <v>1569</v>
      </c>
      <c r="F816">
        <f t="shared" si="36"/>
        <v>7</v>
      </c>
      <c r="G816" s="2">
        <f t="shared" si="37"/>
        <v>28186</v>
      </c>
    </row>
    <row r="817" spans="1:7" x14ac:dyDescent="0.25">
      <c r="A817" t="str">
        <f t="shared" si="38"/>
        <v>El Monte Población de 65 años o mas</v>
      </c>
      <c r="B817" t="s">
        <v>1525</v>
      </c>
      <c r="C817" t="s">
        <v>1568</v>
      </c>
      <c r="D817" t="s">
        <v>46</v>
      </c>
      <c r="E817" s="2" t="s">
        <v>1567</v>
      </c>
      <c r="F817">
        <f t="shared" si="36"/>
        <v>6</v>
      </c>
      <c r="G817" s="2">
        <f t="shared" si="37"/>
        <v>5101</v>
      </c>
    </row>
    <row r="818" spans="1:7" x14ac:dyDescent="0.25">
      <c r="A818" t="str">
        <f t="shared" si="38"/>
        <v>Melipilla Hombre</v>
      </c>
      <c r="B818" t="s">
        <v>1525</v>
      </c>
      <c r="C818" t="s">
        <v>1561</v>
      </c>
      <c r="D818" t="s">
        <v>58</v>
      </c>
      <c r="E818" s="2" t="s">
        <v>1566</v>
      </c>
      <c r="F818">
        <f t="shared" si="36"/>
        <v>7</v>
      </c>
      <c r="G818" s="2">
        <f t="shared" si="37"/>
        <v>74059</v>
      </c>
    </row>
    <row r="819" spans="1:7" x14ac:dyDescent="0.25">
      <c r="A819" t="str">
        <f t="shared" si="38"/>
        <v>Melipilla Mujer</v>
      </c>
      <c r="B819" t="s">
        <v>1525</v>
      </c>
      <c r="C819" t="s">
        <v>1561</v>
      </c>
      <c r="D819" t="s">
        <v>56</v>
      </c>
      <c r="E819" s="2" t="s">
        <v>1565</v>
      </c>
      <c r="F819">
        <f t="shared" si="36"/>
        <v>7</v>
      </c>
      <c r="G819" s="2">
        <f t="shared" si="37"/>
        <v>74840</v>
      </c>
    </row>
    <row r="820" spans="1:7" x14ac:dyDescent="0.25">
      <c r="A820" t="str">
        <f t="shared" si="38"/>
        <v>Melipilla Población total</v>
      </c>
      <c r="B820" t="s">
        <v>1525</v>
      </c>
      <c r="C820" t="s">
        <v>1561</v>
      </c>
      <c r="D820" t="s">
        <v>54</v>
      </c>
      <c r="E820" s="2" t="s">
        <v>1564</v>
      </c>
      <c r="F820">
        <f t="shared" si="36"/>
        <v>8</v>
      </c>
      <c r="G820" s="2">
        <f t="shared" si="37"/>
        <v>148899</v>
      </c>
    </row>
    <row r="821" spans="1:7" x14ac:dyDescent="0.25">
      <c r="A821" t="str">
        <f t="shared" si="38"/>
        <v>Melipilla Población  de 0 a 14 años</v>
      </c>
      <c r="B821" t="s">
        <v>1525</v>
      </c>
      <c r="C821" t="s">
        <v>1561</v>
      </c>
      <c r="D821" t="s">
        <v>52</v>
      </c>
      <c r="E821" s="2" t="s">
        <v>1563</v>
      </c>
      <c r="F821">
        <f t="shared" si="36"/>
        <v>7</v>
      </c>
      <c r="G821" s="2">
        <f t="shared" si="37"/>
        <v>29176</v>
      </c>
    </row>
    <row r="822" spans="1:7" x14ac:dyDescent="0.25">
      <c r="A822" t="str">
        <f t="shared" si="38"/>
        <v>Melipilla Población  de 15 a 64 años</v>
      </c>
      <c r="B822" t="s">
        <v>1525</v>
      </c>
      <c r="C822" t="s">
        <v>1561</v>
      </c>
      <c r="D822" t="s">
        <v>50</v>
      </c>
      <c r="E822" s="2" t="s">
        <v>1562</v>
      </c>
      <c r="F822">
        <f t="shared" si="36"/>
        <v>7</v>
      </c>
      <c r="G822" s="2">
        <f t="shared" si="37"/>
        <v>99637</v>
      </c>
    </row>
    <row r="823" spans="1:7" x14ac:dyDescent="0.25">
      <c r="A823" t="str">
        <f t="shared" si="38"/>
        <v>Melipilla Población de 65 años o mas</v>
      </c>
      <c r="B823" t="s">
        <v>1525</v>
      </c>
      <c r="C823" t="s">
        <v>1561</v>
      </c>
      <c r="D823" t="s">
        <v>46</v>
      </c>
      <c r="E823" s="2" t="s">
        <v>1560</v>
      </c>
      <c r="F823">
        <f t="shared" si="36"/>
        <v>7</v>
      </c>
      <c r="G823" s="2">
        <f t="shared" si="37"/>
        <v>20086</v>
      </c>
    </row>
    <row r="824" spans="1:7" x14ac:dyDescent="0.25">
      <c r="A824" t="str">
        <f t="shared" si="38"/>
        <v>Buin Hombre</v>
      </c>
      <c r="B824" t="s">
        <v>1525</v>
      </c>
      <c r="C824" t="s">
        <v>1554</v>
      </c>
      <c r="D824" t="s">
        <v>58</v>
      </c>
      <c r="E824" s="2" t="s">
        <v>1559</v>
      </c>
      <c r="F824">
        <f t="shared" si="36"/>
        <v>7</v>
      </c>
      <c r="G824" s="2">
        <f t="shared" si="37"/>
        <v>58531</v>
      </c>
    </row>
    <row r="825" spans="1:7" x14ac:dyDescent="0.25">
      <c r="A825" t="str">
        <f t="shared" si="38"/>
        <v>Buin Mujer</v>
      </c>
      <c r="B825" t="s">
        <v>1525</v>
      </c>
      <c r="C825" t="s">
        <v>1554</v>
      </c>
      <c r="D825" t="s">
        <v>56</v>
      </c>
      <c r="E825" s="2" t="s">
        <v>1558</v>
      </c>
      <c r="F825">
        <f t="shared" si="36"/>
        <v>7</v>
      </c>
      <c r="G825" s="2">
        <f t="shared" si="37"/>
        <v>59451</v>
      </c>
    </row>
    <row r="826" spans="1:7" x14ac:dyDescent="0.25">
      <c r="A826" t="str">
        <f t="shared" si="38"/>
        <v>Buin Población total</v>
      </c>
      <c r="B826" t="s">
        <v>1525</v>
      </c>
      <c r="C826" t="s">
        <v>1554</v>
      </c>
      <c r="D826" t="s">
        <v>54</v>
      </c>
      <c r="E826" s="2" t="s">
        <v>1557</v>
      </c>
      <c r="F826">
        <f t="shared" si="36"/>
        <v>8</v>
      </c>
      <c r="G826" s="2">
        <f t="shared" si="37"/>
        <v>117982</v>
      </c>
    </row>
    <row r="827" spans="1:7" x14ac:dyDescent="0.25">
      <c r="A827" t="str">
        <f t="shared" si="38"/>
        <v>Buin Población  de 0 a 14 años</v>
      </c>
      <c r="B827" t="s">
        <v>1525</v>
      </c>
      <c r="C827" t="s">
        <v>1554</v>
      </c>
      <c r="D827" t="s">
        <v>52</v>
      </c>
      <c r="E827" s="2" t="s">
        <v>1556</v>
      </c>
      <c r="F827">
        <f t="shared" si="36"/>
        <v>7</v>
      </c>
      <c r="G827" s="2">
        <f t="shared" si="37"/>
        <v>24755</v>
      </c>
    </row>
    <row r="828" spans="1:7" x14ac:dyDescent="0.25">
      <c r="A828" t="str">
        <f t="shared" si="38"/>
        <v>Buin Población  de 15 a 64 años</v>
      </c>
      <c r="B828" t="s">
        <v>1525</v>
      </c>
      <c r="C828" t="s">
        <v>1554</v>
      </c>
      <c r="D828" t="s">
        <v>50</v>
      </c>
      <c r="E828" s="2" t="s">
        <v>1555</v>
      </c>
      <c r="F828">
        <f t="shared" si="36"/>
        <v>7</v>
      </c>
      <c r="G828" s="2">
        <f t="shared" si="37"/>
        <v>81081</v>
      </c>
    </row>
    <row r="829" spans="1:7" x14ac:dyDescent="0.25">
      <c r="A829" t="str">
        <f t="shared" si="38"/>
        <v>Buin Población de 65 años o mas</v>
      </c>
      <c r="B829" t="s">
        <v>1525</v>
      </c>
      <c r="C829" t="s">
        <v>1554</v>
      </c>
      <c r="D829" t="s">
        <v>46</v>
      </c>
      <c r="E829" s="2" t="s">
        <v>1553</v>
      </c>
      <c r="F829">
        <f t="shared" si="36"/>
        <v>7</v>
      </c>
      <c r="G829" s="2">
        <f t="shared" si="37"/>
        <v>12146</v>
      </c>
    </row>
    <row r="830" spans="1:7" x14ac:dyDescent="0.25">
      <c r="A830" t="str">
        <f t="shared" si="38"/>
        <v>Isla De Maipo Hombre</v>
      </c>
      <c r="B830" t="s">
        <v>1525</v>
      </c>
      <c r="C830" t="s">
        <v>1547</v>
      </c>
      <c r="D830" t="s">
        <v>58</v>
      </c>
      <c r="E830" s="2" t="s">
        <v>1552</v>
      </c>
      <c r="F830">
        <f t="shared" si="36"/>
        <v>7</v>
      </c>
      <c r="G830" s="2">
        <f t="shared" si="37"/>
        <v>21040</v>
      </c>
    </row>
    <row r="831" spans="1:7" x14ac:dyDescent="0.25">
      <c r="A831" t="str">
        <f t="shared" si="38"/>
        <v>Isla De Maipo Mujer</v>
      </c>
      <c r="B831" t="s">
        <v>1525</v>
      </c>
      <c r="C831" t="s">
        <v>1547</v>
      </c>
      <c r="D831" t="s">
        <v>56</v>
      </c>
      <c r="E831" s="2" t="s">
        <v>1551</v>
      </c>
      <c r="F831">
        <f t="shared" si="36"/>
        <v>7</v>
      </c>
      <c r="G831" s="2">
        <f t="shared" si="37"/>
        <v>21353</v>
      </c>
    </row>
    <row r="832" spans="1:7" x14ac:dyDescent="0.25">
      <c r="A832" t="str">
        <f t="shared" si="38"/>
        <v>Isla De Maipo Población total</v>
      </c>
      <c r="B832" t="s">
        <v>1525</v>
      </c>
      <c r="C832" t="s">
        <v>1547</v>
      </c>
      <c r="D832" t="s">
        <v>54</v>
      </c>
      <c r="E832" s="2" t="s">
        <v>1550</v>
      </c>
      <c r="F832">
        <f t="shared" si="36"/>
        <v>7</v>
      </c>
      <c r="G832" s="2">
        <f t="shared" si="37"/>
        <v>42393</v>
      </c>
    </row>
    <row r="833" spans="1:7" x14ac:dyDescent="0.25">
      <c r="A833" t="str">
        <f t="shared" si="38"/>
        <v>Isla De Maipo Población  de 0 a 14 años</v>
      </c>
      <c r="B833" t="s">
        <v>1525</v>
      </c>
      <c r="C833" t="s">
        <v>1547</v>
      </c>
      <c r="D833" t="s">
        <v>52</v>
      </c>
      <c r="E833" s="2" t="s">
        <v>1549</v>
      </c>
      <c r="F833">
        <f t="shared" si="36"/>
        <v>6</v>
      </c>
      <c r="G833" s="2">
        <f t="shared" si="37"/>
        <v>8780</v>
      </c>
    </row>
    <row r="834" spans="1:7" x14ac:dyDescent="0.25">
      <c r="A834" t="str">
        <f t="shared" si="38"/>
        <v>Isla De Maipo Población  de 15 a 64 años</v>
      </c>
      <c r="B834" t="s">
        <v>1525</v>
      </c>
      <c r="C834" t="s">
        <v>1547</v>
      </c>
      <c r="D834" t="s">
        <v>50</v>
      </c>
      <c r="E834" s="2" t="s">
        <v>1548</v>
      </c>
      <c r="F834">
        <f t="shared" ref="F834:F897" si="39">+FIND(".",E834)</f>
        <v>7</v>
      </c>
      <c r="G834" s="2">
        <f t="shared" ref="G834:G897" si="40">+LEFT(E834,(F834-1))*1</f>
        <v>28502</v>
      </c>
    </row>
    <row r="835" spans="1:7" x14ac:dyDescent="0.25">
      <c r="A835" t="str">
        <f t="shared" ref="A835:A898" si="41">+C835&amp;D835</f>
        <v>Isla De Maipo Población de 65 años o mas</v>
      </c>
      <c r="B835" t="s">
        <v>1525</v>
      </c>
      <c r="C835" t="s">
        <v>1547</v>
      </c>
      <c r="D835" t="s">
        <v>46</v>
      </c>
      <c r="E835" s="2" t="s">
        <v>1546</v>
      </c>
      <c r="F835">
        <f t="shared" si="39"/>
        <v>6</v>
      </c>
      <c r="G835" s="2">
        <f t="shared" si="40"/>
        <v>5111</v>
      </c>
    </row>
    <row r="836" spans="1:7" x14ac:dyDescent="0.25">
      <c r="A836" t="str">
        <f t="shared" si="41"/>
        <v>Paine Hombre</v>
      </c>
      <c r="B836" t="s">
        <v>1525</v>
      </c>
      <c r="C836" t="s">
        <v>1540</v>
      </c>
      <c r="D836" t="s">
        <v>58</v>
      </c>
      <c r="E836" s="2" t="s">
        <v>1545</v>
      </c>
      <c r="F836">
        <f t="shared" si="39"/>
        <v>7</v>
      </c>
      <c r="G836" s="2">
        <f t="shared" si="40"/>
        <v>44000</v>
      </c>
    </row>
    <row r="837" spans="1:7" x14ac:dyDescent="0.25">
      <c r="A837" t="str">
        <f t="shared" si="41"/>
        <v>Paine Mujer</v>
      </c>
      <c r="B837" t="s">
        <v>1525</v>
      </c>
      <c r="C837" t="s">
        <v>1540</v>
      </c>
      <c r="D837" t="s">
        <v>56</v>
      </c>
      <c r="E837" s="2" t="s">
        <v>1544</v>
      </c>
      <c r="F837">
        <f t="shared" si="39"/>
        <v>7</v>
      </c>
      <c r="G837" s="2">
        <f t="shared" si="40"/>
        <v>44317</v>
      </c>
    </row>
    <row r="838" spans="1:7" x14ac:dyDescent="0.25">
      <c r="A838" t="str">
        <f t="shared" si="41"/>
        <v>Paine Población total</v>
      </c>
      <c r="B838" t="s">
        <v>1525</v>
      </c>
      <c r="C838" t="s">
        <v>1540</v>
      </c>
      <c r="D838" t="s">
        <v>54</v>
      </c>
      <c r="E838" s="2" t="s">
        <v>1543</v>
      </c>
      <c r="F838">
        <f t="shared" si="39"/>
        <v>7</v>
      </c>
      <c r="G838" s="2">
        <f t="shared" si="40"/>
        <v>88317</v>
      </c>
    </row>
    <row r="839" spans="1:7" x14ac:dyDescent="0.25">
      <c r="A839" t="str">
        <f t="shared" si="41"/>
        <v>Paine Población  de 0 a 14 años</v>
      </c>
      <c r="B839" t="s">
        <v>1525</v>
      </c>
      <c r="C839" t="s">
        <v>1540</v>
      </c>
      <c r="D839" t="s">
        <v>52</v>
      </c>
      <c r="E839" s="2" t="s">
        <v>1542</v>
      </c>
      <c r="F839">
        <f t="shared" si="39"/>
        <v>7</v>
      </c>
      <c r="G839" s="2">
        <f t="shared" si="40"/>
        <v>18199</v>
      </c>
    </row>
    <row r="840" spans="1:7" x14ac:dyDescent="0.25">
      <c r="A840" t="str">
        <f t="shared" si="41"/>
        <v>Paine Población  de 15 a 64 años</v>
      </c>
      <c r="B840" t="s">
        <v>1525</v>
      </c>
      <c r="C840" t="s">
        <v>1540</v>
      </c>
      <c r="D840" t="s">
        <v>50</v>
      </c>
      <c r="E840" s="2" t="s">
        <v>1541</v>
      </c>
      <c r="F840">
        <f t="shared" si="39"/>
        <v>7</v>
      </c>
      <c r="G840" s="2">
        <f t="shared" si="40"/>
        <v>60013</v>
      </c>
    </row>
    <row r="841" spans="1:7" x14ac:dyDescent="0.25">
      <c r="A841" t="str">
        <f t="shared" si="41"/>
        <v>Paine Población de 65 años o mas</v>
      </c>
      <c r="B841" t="s">
        <v>1525</v>
      </c>
      <c r="C841" t="s">
        <v>1540</v>
      </c>
      <c r="D841" t="s">
        <v>46</v>
      </c>
      <c r="E841" s="2" t="s">
        <v>1539</v>
      </c>
      <c r="F841">
        <f t="shared" si="39"/>
        <v>7</v>
      </c>
      <c r="G841" s="2">
        <f t="shared" si="40"/>
        <v>10105</v>
      </c>
    </row>
    <row r="842" spans="1:7" x14ac:dyDescent="0.25">
      <c r="A842" t="str">
        <f t="shared" si="41"/>
        <v>San Pedro Hombre</v>
      </c>
      <c r="B842" t="s">
        <v>1525</v>
      </c>
      <c r="C842" t="s">
        <v>1533</v>
      </c>
      <c r="D842" t="s">
        <v>58</v>
      </c>
      <c r="E842" s="2" t="s">
        <v>1538</v>
      </c>
      <c r="F842">
        <f t="shared" si="39"/>
        <v>6</v>
      </c>
      <c r="G842" s="2">
        <f t="shared" si="40"/>
        <v>6318</v>
      </c>
    </row>
    <row r="843" spans="1:7" x14ac:dyDescent="0.25">
      <c r="A843" t="str">
        <f t="shared" si="41"/>
        <v>San Pedro Mujer</v>
      </c>
      <c r="B843" t="s">
        <v>1525</v>
      </c>
      <c r="C843" t="s">
        <v>1533</v>
      </c>
      <c r="D843" t="s">
        <v>56</v>
      </c>
      <c r="E843" s="2" t="s">
        <v>1537</v>
      </c>
      <c r="F843">
        <f t="shared" si="39"/>
        <v>6</v>
      </c>
      <c r="G843" s="2">
        <f t="shared" si="40"/>
        <v>6226</v>
      </c>
    </row>
    <row r="844" spans="1:7" x14ac:dyDescent="0.25">
      <c r="A844" t="str">
        <f t="shared" si="41"/>
        <v>San Pedro Población total</v>
      </c>
      <c r="B844" t="s">
        <v>1525</v>
      </c>
      <c r="C844" t="s">
        <v>1533</v>
      </c>
      <c r="D844" t="s">
        <v>54</v>
      </c>
      <c r="E844" s="2" t="s">
        <v>1536</v>
      </c>
      <c r="F844">
        <f t="shared" si="39"/>
        <v>7</v>
      </c>
      <c r="G844" s="2">
        <f t="shared" si="40"/>
        <v>12544</v>
      </c>
    </row>
    <row r="845" spans="1:7" x14ac:dyDescent="0.25">
      <c r="A845" t="str">
        <f t="shared" si="41"/>
        <v>San Pedro Población  de 0 a 14 años</v>
      </c>
      <c r="B845" t="s">
        <v>1525</v>
      </c>
      <c r="C845" t="s">
        <v>1533</v>
      </c>
      <c r="D845" t="s">
        <v>52</v>
      </c>
      <c r="E845" s="2" t="s">
        <v>1535</v>
      </c>
      <c r="F845">
        <f t="shared" si="39"/>
        <v>6</v>
      </c>
      <c r="G845" s="2">
        <f t="shared" si="40"/>
        <v>2408</v>
      </c>
    </row>
    <row r="846" spans="1:7" x14ac:dyDescent="0.25">
      <c r="A846" t="str">
        <f t="shared" si="41"/>
        <v>San Pedro Población  de 15 a 64 años</v>
      </c>
      <c r="B846" t="s">
        <v>1525</v>
      </c>
      <c r="C846" t="s">
        <v>1533</v>
      </c>
      <c r="D846" t="s">
        <v>50</v>
      </c>
      <c r="E846" s="2" t="s">
        <v>1534</v>
      </c>
      <c r="F846">
        <f t="shared" si="39"/>
        <v>6</v>
      </c>
      <c r="G846" s="2">
        <f t="shared" si="40"/>
        <v>8091</v>
      </c>
    </row>
    <row r="847" spans="1:7" x14ac:dyDescent="0.25">
      <c r="A847" t="str">
        <f t="shared" si="41"/>
        <v>San Pedro Población de 65 años o mas</v>
      </c>
      <c r="B847" t="s">
        <v>1525</v>
      </c>
      <c r="C847" t="s">
        <v>1533</v>
      </c>
      <c r="D847" t="s">
        <v>46</v>
      </c>
      <c r="E847" s="2" t="s">
        <v>1532</v>
      </c>
      <c r="F847">
        <f t="shared" si="39"/>
        <v>6</v>
      </c>
      <c r="G847" s="2">
        <f t="shared" si="40"/>
        <v>2045</v>
      </c>
    </row>
    <row r="848" spans="1:7" x14ac:dyDescent="0.25">
      <c r="A848" t="str">
        <f t="shared" si="41"/>
        <v>Alhué Hombre</v>
      </c>
      <c r="B848" t="s">
        <v>1525</v>
      </c>
      <c r="C848" t="s">
        <v>1526</v>
      </c>
      <c r="D848" t="s">
        <v>58</v>
      </c>
      <c r="E848" s="2" t="s">
        <v>1531</v>
      </c>
      <c r="F848">
        <f t="shared" si="39"/>
        <v>6</v>
      </c>
      <c r="G848" s="2">
        <f t="shared" si="40"/>
        <v>3958</v>
      </c>
    </row>
    <row r="849" spans="1:7" x14ac:dyDescent="0.25">
      <c r="A849" t="str">
        <f t="shared" si="41"/>
        <v>Alhué Mujer</v>
      </c>
      <c r="B849" t="s">
        <v>1525</v>
      </c>
      <c r="C849" t="s">
        <v>1526</v>
      </c>
      <c r="D849" t="s">
        <v>56</v>
      </c>
      <c r="E849" s="2" t="s">
        <v>1530</v>
      </c>
      <c r="F849">
        <f t="shared" si="39"/>
        <v>6</v>
      </c>
      <c r="G849" s="2">
        <f t="shared" si="40"/>
        <v>3898</v>
      </c>
    </row>
    <row r="850" spans="1:7" x14ac:dyDescent="0.25">
      <c r="A850" t="str">
        <f t="shared" si="41"/>
        <v>Alhué Población total</v>
      </c>
      <c r="B850" t="s">
        <v>1525</v>
      </c>
      <c r="C850" t="s">
        <v>1526</v>
      </c>
      <c r="D850" t="s">
        <v>54</v>
      </c>
      <c r="E850" s="2" t="s">
        <v>1529</v>
      </c>
      <c r="F850">
        <f t="shared" si="39"/>
        <v>6</v>
      </c>
      <c r="G850" s="2">
        <f t="shared" si="40"/>
        <v>7856</v>
      </c>
    </row>
    <row r="851" spans="1:7" x14ac:dyDescent="0.25">
      <c r="A851" t="str">
        <f t="shared" si="41"/>
        <v>Alhué Población  de 0 a 14 años</v>
      </c>
      <c r="B851" t="s">
        <v>1525</v>
      </c>
      <c r="C851" t="s">
        <v>1526</v>
      </c>
      <c r="D851" t="s">
        <v>52</v>
      </c>
      <c r="E851" s="2" t="s">
        <v>1528</v>
      </c>
      <c r="F851">
        <f t="shared" si="39"/>
        <v>6</v>
      </c>
      <c r="G851" s="2">
        <f t="shared" si="40"/>
        <v>1470</v>
      </c>
    </row>
    <row r="852" spans="1:7" x14ac:dyDescent="0.25">
      <c r="A852" t="str">
        <f t="shared" si="41"/>
        <v>Alhué Población  de 15 a 64 años</v>
      </c>
      <c r="B852" t="s">
        <v>1525</v>
      </c>
      <c r="C852" t="s">
        <v>1526</v>
      </c>
      <c r="D852" t="s">
        <v>50</v>
      </c>
      <c r="E852" s="2" t="s">
        <v>1527</v>
      </c>
      <c r="F852">
        <f t="shared" si="39"/>
        <v>6</v>
      </c>
      <c r="G852" s="2">
        <f t="shared" si="40"/>
        <v>5312</v>
      </c>
    </row>
    <row r="853" spans="1:7" x14ac:dyDescent="0.25">
      <c r="A853" t="str">
        <f t="shared" si="41"/>
        <v>Alhué Población de 65 años o mas</v>
      </c>
      <c r="B853" t="s">
        <v>1525</v>
      </c>
      <c r="C853" t="s">
        <v>1526</v>
      </c>
      <c r="D853" t="s">
        <v>46</v>
      </c>
      <c r="E853" s="2" t="s">
        <v>399</v>
      </c>
      <c r="F853">
        <f t="shared" si="39"/>
        <v>6</v>
      </c>
      <c r="G853" s="2">
        <f t="shared" si="40"/>
        <v>1074</v>
      </c>
    </row>
    <row r="854" spans="1:7" x14ac:dyDescent="0.25">
      <c r="A854" t="str">
        <f t="shared" si="41"/>
        <v>Región Del Libertador Gral. Bernardo O'higgins Hombre</v>
      </c>
      <c r="B854" t="s">
        <v>1300</v>
      </c>
      <c r="C854" t="s">
        <v>1300</v>
      </c>
      <c r="D854" t="s">
        <v>58</v>
      </c>
      <c r="E854" s="2" t="s">
        <v>1524</v>
      </c>
      <c r="F854">
        <f t="shared" si="39"/>
        <v>8</v>
      </c>
      <c r="G854" s="2">
        <f t="shared" si="40"/>
        <v>512497</v>
      </c>
    </row>
    <row r="855" spans="1:7" x14ac:dyDescent="0.25">
      <c r="A855" t="str">
        <f t="shared" si="41"/>
        <v>Región Del Libertador Gral. Bernardo O'higgins Mujer</v>
      </c>
      <c r="B855" t="s">
        <v>1300</v>
      </c>
      <c r="C855" t="s">
        <v>1300</v>
      </c>
      <c r="D855" t="s">
        <v>56</v>
      </c>
      <c r="E855" s="2" t="s">
        <v>1523</v>
      </c>
      <c r="F855">
        <f t="shared" si="39"/>
        <v>8</v>
      </c>
      <c r="G855" s="2">
        <f t="shared" si="40"/>
        <v>513089</v>
      </c>
    </row>
    <row r="856" spans="1:7" x14ac:dyDescent="0.25">
      <c r="A856" t="str">
        <f t="shared" si="41"/>
        <v>Región Del Libertador Gral. Bernardo O'higgins Población total</v>
      </c>
      <c r="B856" t="s">
        <v>1300</v>
      </c>
      <c r="C856" t="s">
        <v>1300</v>
      </c>
      <c r="D856" t="s">
        <v>54</v>
      </c>
      <c r="E856" s="2" t="s">
        <v>1522</v>
      </c>
      <c r="F856">
        <f t="shared" si="39"/>
        <v>9</v>
      </c>
      <c r="G856" s="2">
        <f t="shared" si="40"/>
        <v>1025586</v>
      </c>
    </row>
    <row r="857" spans="1:7" x14ac:dyDescent="0.25">
      <c r="A857" t="str">
        <f t="shared" si="41"/>
        <v>Región Del Libertador Gral. Bernardo O'higgins Población  de 0 a 14 años</v>
      </c>
      <c r="B857" t="s">
        <v>1300</v>
      </c>
      <c r="C857" t="s">
        <v>1300</v>
      </c>
      <c r="D857" t="s">
        <v>52</v>
      </c>
      <c r="E857" s="2" t="s">
        <v>1521</v>
      </c>
      <c r="F857">
        <f t="shared" si="39"/>
        <v>8</v>
      </c>
      <c r="G857" s="2">
        <f t="shared" si="40"/>
        <v>190517</v>
      </c>
    </row>
    <row r="858" spans="1:7" x14ac:dyDescent="0.25">
      <c r="A858" t="str">
        <f t="shared" si="41"/>
        <v>Región Del Libertador Gral. Bernardo O'higgins Población  de 15 a 64 años</v>
      </c>
      <c r="B858" t="s">
        <v>1300</v>
      </c>
      <c r="C858" t="s">
        <v>1300</v>
      </c>
      <c r="D858" t="s">
        <v>50</v>
      </c>
      <c r="E858" s="2" t="s">
        <v>1520</v>
      </c>
      <c r="F858">
        <f t="shared" si="39"/>
        <v>8</v>
      </c>
      <c r="G858" s="2">
        <f t="shared" si="40"/>
        <v>677098</v>
      </c>
    </row>
    <row r="859" spans="1:7" x14ac:dyDescent="0.25">
      <c r="A859" t="str">
        <f t="shared" si="41"/>
        <v>Región Del Libertador Gral. Bernardo O'higgins Población de 65 años o mas</v>
      </c>
      <c r="B859" t="s">
        <v>1300</v>
      </c>
      <c r="C859" t="s">
        <v>1300</v>
      </c>
      <c r="D859" t="s">
        <v>46</v>
      </c>
      <c r="E859" s="2" t="s">
        <v>1519</v>
      </c>
      <c r="F859">
        <f t="shared" si="39"/>
        <v>8</v>
      </c>
      <c r="G859" s="2">
        <f t="shared" si="40"/>
        <v>157971</v>
      </c>
    </row>
    <row r="860" spans="1:7" x14ac:dyDescent="0.25">
      <c r="A860" t="str">
        <f t="shared" si="41"/>
        <v>Navidad Hombre</v>
      </c>
      <c r="B860" t="s">
        <v>1300</v>
      </c>
      <c r="C860" t="s">
        <v>1514</v>
      </c>
      <c r="D860" t="s">
        <v>58</v>
      </c>
      <c r="E860" s="2" t="s">
        <v>1518</v>
      </c>
      <c r="F860">
        <f t="shared" si="39"/>
        <v>6</v>
      </c>
      <c r="G860" s="2">
        <f t="shared" si="40"/>
        <v>3620</v>
      </c>
    </row>
    <row r="861" spans="1:7" x14ac:dyDescent="0.25">
      <c r="A861" t="str">
        <f t="shared" si="41"/>
        <v>Navidad Mujer</v>
      </c>
      <c r="B861" t="s">
        <v>1300</v>
      </c>
      <c r="C861" t="s">
        <v>1514</v>
      </c>
      <c r="D861" t="s">
        <v>56</v>
      </c>
      <c r="E861" s="2" t="s">
        <v>1517</v>
      </c>
      <c r="F861">
        <f t="shared" si="39"/>
        <v>6</v>
      </c>
      <c r="G861" s="2">
        <f t="shared" si="40"/>
        <v>3515</v>
      </c>
    </row>
    <row r="862" spans="1:7" x14ac:dyDescent="0.25">
      <c r="A862" t="str">
        <f t="shared" si="41"/>
        <v>Navidad Población total</v>
      </c>
      <c r="B862" t="s">
        <v>1300</v>
      </c>
      <c r="C862" t="s">
        <v>1514</v>
      </c>
      <c r="D862" t="s">
        <v>54</v>
      </c>
      <c r="E862" s="2" t="s">
        <v>636</v>
      </c>
      <c r="F862">
        <f t="shared" si="39"/>
        <v>6</v>
      </c>
      <c r="G862" s="2">
        <f t="shared" si="40"/>
        <v>7135</v>
      </c>
    </row>
    <row r="863" spans="1:7" x14ac:dyDescent="0.25">
      <c r="A863" t="str">
        <f t="shared" si="41"/>
        <v>Navidad Población  de 0 a 14 años</v>
      </c>
      <c r="B863" t="s">
        <v>1300</v>
      </c>
      <c r="C863" t="s">
        <v>1514</v>
      </c>
      <c r="D863" t="s">
        <v>52</v>
      </c>
      <c r="E863" s="2" t="s">
        <v>1516</v>
      </c>
      <c r="F863">
        <f t="shared" si="39"/>
        <v>5</v>
      </c>
      <c r="G863" s="2">
        <f t="shared" si="40"/>
        <v>992</v>
      </c>
    </row>
    <row r="864" spans="1:7" x14ac:dyDescent="0.25">
      <c r="A864" t="str">
        <f t="shared" si="41"/>
        <v>Navidad Población  de 15 a 64 años</v>
      </c>
      <c r="B864" t="s">
        <v>1300</v>
      </c>
      <c r="C864" t="s">
        <v>1514</v>
      </c>
      <c r="D864" t="s">
        <v>50</v>
      </c>
      <c r="E864" s="2" t="s">
        <v>1515</v>
      </c>
      <c r="F864">
        <f t="shared" si="39"/>
        <v>6</v>
      </c>
      <c r="G864" s="2">
        <f t="shared" si="40"/>
        <v>4246</v>
      </c>
    </row>
    <row r="865" spans="1:7" x14ac:dyDescent="0.25">
      <c r="A865" t="str">
        <f t="shared" si="41"/>
        <v>Navidad Población de 65 años o mas</v>
      </c>
      <c r="B865" t="s">
        <v>1300</v>
      </c>
      <c r="C865" t="s">
        <v>1514</v>
      </c>
      <c r="D865" t="s">
        <v>46</v>
      </c>
      <c r="E865" s="2" t="s">
        <v>1513</v>
      </c>
      <c r="F865">
        <f t="shared" si="39"/>
        <v>6</v>
      </c>
      <c r="G865" s="2">
        <f t="shared" si="40"/>
        <v>1897</v>
      </c>
    </row>
    <row r="866" spans="1:7" x14ac:dyDescent="0.25">
      <c r="A866" t="str">
        <f t="shared" si="41"/>
        <v>Mostazal Hombre</v>
      </c>
      <c r="B866" t="s">
        <v>1300</v>
      </c>
      <c r="C866" t="s">
        <v>1507</v>
      </c>
      <c r="D866" t="s">
        <v>58</v>
      </c>
      <c r="E866" s="2" t="s">
        <v>1512</v>
      </c>
      <c r="F866">
        <f t="shared" si="39"/>
        <v>7</v>
      </c>
      <c r="G866" s="2">
        <f t="shared" si="40"/>
        <v>14285</v>
      </c>
    </row>
    <row r="867" spans="1:7" x14ac:dyDescent="0.25">
      <c r="A867" t="str">
        <f t="shared" si="41"/>
        <v>Mostazal Mujer</v>
      </c>
      <c r="B867" t="s">
        <v>1300</v>
      </c>
      <c r="C867" t="s">
        <v>1507</v>
      </c>
      <c r="D867" t="s">
        <v>56</v>
      </c>
      <c r="E867" s="2" t="s">
        <v>1511</v>
      </c>
      <c r="F867">
        <f t="shared" si="39"/>
        <v>7</v>
      </c>
      <c r="G867" s="2">
        <f t="shared" si="40"/>
        <v>14267</v>
      </c>
    </row>
    <row r="868" spans="1:7" x14ac:dyDescent="0.25">
      <c r="A868" t="str">
        <f t="shared" si="41"/>
        <v>Mostazal Población total</v>
      </c>
      <c r="B868" t="s">
        <v>1300</v>
      </c>
      <c r="C868" t="s">
        <v>1507</v>
      </c>
      <c r="D868" t="s">
        <v>54</v>
      </c>
      <c r="E868" s="2" t="s">
        <v>1510</v>
      </c>
      <c r="F868">
        <f t="shared" si="39"/>
        <v>7</v>
      </c>
      <c r="G868" s="2">
        <f t="shared" si="40"/>
        <v>28552</v>
      </c>
    </row>
    <row r="869" spans="1:7" x14ac:dyDescent="0.25">
      <c r="A869" t="str">
        <f t="shared" si="41"/>
        <v>Mostazal Población  de 0 a 14 años</v>
      </c>
      <c r="B869" t="s">
        <v>1300</v>
      </c>
      <c r="C869" t="s">
        <v>1507</v>
      </c>
      <c r="D869" t="s">
        <v>52</v>
      </c>
      <c r="E869" s="2" t="s">
        <v>1509</v>
      </c>
      <c r="F869">
        <f t="shared" si="39"/>
        <v>6</v>
      </c>
      <c r="G869" s="2">
        <f t="shared" si="40"/>
        <v>5573</v>
      </c>
    </row>
    <row r="870" spans="1:7" x14ac:dyDescent="0.25">
      <c r="A870" t="str">
        <f t="shared" si="41"/>
        <v>Mostazal Población  de 15 a 64 años</v>
      </c>
      <c r="B870" t="s">
        <v>1300</v>
      </c>
      <c r="C870" t="s">
        <v>1507</v>
      </c>
      <c r="D870" t="s">
        <v>50</v>
      </c>
      <c r="E870" s="2" t="s">
        <v>1508</v>
      </c>
      <c r="F870">
        <f t="shared" si="39"/>
        <v>7</v>
      </c>
      <c r="G870" s="2">
        <f t="shared" si="40"/>
        <v>18782</v>
      </c>
    </row>
    <row r="871" spans="1:7" x14ac:dyDescent="0.25">
      <c r="A871" t="str">
        <f t="shared" si="41"/>
        <v>Mostazal Población de 65 años o mas</v>
      </c>
      <c r="B871" t="s">
        <v>1300</v>
      </c>
      <c r="C871" t="s">
        <v>1507</v>
      </c>
      <c r="D871" t="s">
        <v>46</v>
      </c>
      <c r="E871" s="2" t="s">
        <v>1506</v>
      </c>
      <c r="F871">
        <f t="shared" si="39"/>
        <v>6</v>
      </c>
      <c r="G871" s="2">
        <f t="shared" si="40"/>
        <v>4197</v>
      </c>
    </row>
    <row r="872" spans="1:7" x14ac:dyDescent="0.25">
      <c r="A872" t="str">
        <f t="shared" si="41"/>
        <v>Codegua Hombre</v>
      </c>
      <c r="B872" t="s">
        <v>1300</v>
      </c>
      <c r="C872" t="s">
        <v>1501</v>
      </c>
      <c r="D872" t="s">
        <v>58</v>
      </c>
      <c r="E872" s="2" t="s">
        <v>1505</v>
      </c>
      <c r="F872">
        <f t="shared" si="39"/>
        <v>6</v>
      </c>
      <c r="G872" s="2">
        <f t="shared" si="40"/>
        <v>7343</v>
      </c>
    </row>
    <row r="873" spans="1:7" x14ac:dyDescent="0.25">
      <c r="A873" t="str">
        <f t="shared" si="41"/>
        <v>Codegua Mujer</v>
      </c>
      <c r="B873" t="s">
        <v>1300</v>
      </c>
      <c r="C873" t="s">
        <v>1501</v>
      </c>
      <c r="D873" t="s">
        <v>56</v>
      </c>
      <c r="E873" s="2" t="s">
        <v>325</v>
      </c>
      <c r="F873">
        <f t="shared" si="39"/>
        <v>6</v>
      </c>
      <c r="G873" s="2">
        <f t="shared" si="40"/>
        <v>7284</v>
      </c>
    </row>
    <row r="874" spans="1:7" x14ac:dyDescent="0.25">
      <c r="A874" t="str">
        <f t="shared" si="41"/>
        <v>Codegua Población total</v>
      </c>
      <c r="B874" t="s">
        <v>1300</v>
      </c>
      <c r="C874" t="s">
        <v>1501</v>
      </c>
      <c r="D874" t="s">
        <v>54</v>
      </c>
      <c r="E874" s="2" t="s">
        <v>1504</v>
      </c>
      <c r="F874">
        <f t="shared" si="39"/>
        <v>7</v>
      </c>
      <c r="G874" s="2">
        <f t="shared" si="40"/>
        <v>14627</v>
      </c>
    </row>
    <row r="875" spans="1:7" x14ac:dyDescent="0.25">
      <c r="A875" t="str">
        <f t="shared" si="41"/>
        <v>Codegua Población  de 0 a 14 años</v>
      </c>
      <c r="B875" t="s">
        <v>1300</v>
      </c>
      <c r="C875" t="s">
        <v>1501</v>
      </c>
      <c r="D875" t="s">
        <v>52</v>
      </c>
      <c r="E875" s="2" t="s">
        <v>1503</v>
      </c>
      <c r="F875">
        <f t="shared" si="39"/>
        <v>6</v>
      </c>
      <c r="G875" s="2">
        <f t="shared" si="40"/>
        <v>2819</v>
      </c>
    </row>
    <row r="876" spans="1:7" x14ac:dyDescent="0.25">
      <c r="A876" t="str">
        <f t="shared" si="41"/>
        <v>Codegua Población  de 15 a 64 años</v>
      </c>
      <c r="B876" t="s">
        <v>1300</v>
      </c>
      <c r="C876" t="s">
        <v>1501</v>
      </c>
      <c r="D876" t="s">
        <v>50</v>
      </c>
      <c r="E876" s="2" t="s">
        <v>1502</v>
      </c>
      <c r="F876">
        <f t="shared" si="39"/>
        <v>6</v>
      </c>
      <c r="G876" s="2">
        <f t="shared" si="40"/>
        <v>9783</v>
      </c>
    </row>
    <row r="877" spans="1:7" x14ac:dyDescent="0.25">
      <c r="A877" t="str">
        <f t="shared" si="41"/>
        <v>Codegua Población de 65 años o mas</v>
      </c>
      <c r="B877" t="s">
        <v>1300</v>
      </c>
      <c r="C877" t="s">
        <v>1501</v>
      </c>
      <c r="D877" t="s">
        <v>46</v>
      </c>
      <c r="E877" s="2" t="s">
        <v>1500</v>
      </c>
      <c r="F877">
        <f t="shared" si="39"/>
        <v>6</v>
      </c>
      <c r="G877" s="2">
        <f t="shared" si="40"/>
        <v>2025</v>
      </c>
    </row>
    <row r="878" spans="1:7" x14ac:dyDescent="0.25">
      <c r="A878" t="str">
        <f t="shared" si="41"/>
        <v>Graneros Hombre</v>
      </c>
      <c r="B878" t="s">
        <v>1300</v>
      </c>
      <c r="C878" t="s">
        <v>1494</v>
      </c>
      <c r="D878" t="s">
        <v>58</v>
      </c>
      <c r="E878" s="2" t="s">
        <v>1499</v>
      </c>
      <c r="F878">
        <f t="shared" si="39"/>
        <v>7</v>
      </c>
      <c r="G878" s="2">
        <f t="shared" si="40"/>
        <v>19118</v>
      </c>
    </row>
    <row r="879" spans="1:7" x14ac:dyDescent="0.25">
      <c r="A879" t="str">
        <f t="shared" si="41"/>
        <v>Graneros Mujer</v>
      </c>
      <c r="B879" t="s">
        <v>1300</v>
      </c>
      <c r="C879" t="s">
        <v>1494</v>
      </c>
      <c r="D879" t="s">
        <v>56</v>
      </c>
      <c r="E879" s="2" t="s">
        <v>1498</v>
      </c>
      <c r="F879">
        <f t="shared" si="39"/>
        <v>7</v>
      </c>
      <c r="G879" s="2">
        <f t="shared" si="40"/>
        <v>19067</v>
      </c>
    </row>
    <row r="880" spans="1:7" x14ac:dyDescent="0.25">
      <c r="A880" t="str">
        <f t="shared" si="41"/>
        <v>Graneros Población total</v>
      </c>
      <c r="B880" t="s">
        <v>1300</v>
      </c>
      <c r="C880" t="s">
        <v>1494</v>
      </c>
      <c r="D880" t="s">
        <v>54</v>
      </c>
      <c r="E880" s="2" t="s">
        <v>1497</v>
      </c>
      <c r="F880">
        <f t="shared" si="39"/>
        <v>7</v>
      </c>
      <c r="G880" s="2">
        <f t="shared" si="40"/>
        <v>38185</v>
      </c>
    </row>
    <row r="881" spans="1:7" x14ac:dyDescent="0.25">
      <c r="A881" t="str">
        <f t="shared" si="41"/>
        <v>Graneros Población  de 0 a 14 años</v>
      </c>
      <c r="B881" t="s">
        <v>1300</v>
      </c>
      <c r="C881" t="s">
        <v>1494</v>
      </c>
      <c r="D881" t="s">
        <v>52</v>
      </c>
      <c r="E881" s="2" t="s">
        <v>1496</v>
      </c>
      <c r="F881">
        <f t="shared" si="39"/>
        <v>6</v>
      </c>
      <c r="G881" s="2">
        <f t="shared" si="40"/>
        <v>7969</v>
      </c>
    </row>
    <row r="882" spans="1:7" x14ac:dyDescent="0.25">
      <c r="A882" t="str">
        <f t="shared" si="41"/>
        <v>Graneros Población  de 15 a 64 años</v>
      </c>
      <c r="B882" t="s">
        <v>1300</v>
      </c>
      <c r="C882" t="s">
        <v>1494</v>
      </c>
      <c r="D882" t="s">
        <v>50</v>
      </c>
      <c r="E882" s="2" t="s">
        <v>1495</v>
      </c>
      <c r="F882">
        <f t="shared" si="39"/>
        <v>7</v>
      </c>
      <c r="G882" s="2">
        <f t="shared" si="40"/>
        <v>25479</v>
      </c>
    </row>
    <row r="883" spans="1:7" x14ac:dyDescent="0.25">
      <c r="A883" t="str">
        <f t="shared" si="41"/>
        <v>Graneros Población de 65 años o mas</v>
      </c>
      <c r="B883" t="s">
        <v>1300</v>
      </c>
      <c r="C883" t="s">
        <v>1494</v>
      </c>
      <c r="D883" t="s">
        <v>46</v>
      </c>
      <c r="E883" s="2" t="s">
        <v>1493</v>
      </c>
      <c r="F883">
        <f t="shared" si="39"/>
        <v>6</v>
      </c>
      <c r="G883" s="2">
        <f t="shared" si="40"/>
        <v>4737</v>
      </c>
    </row>
    <row r="884" spans="1:7" x14ac:dyDescent="0.25">
      <c r="A884" t="str">
        <f t="shared" si="41"/>
        <v>Litueche Hombre</v>
      </c>
      <c r="B884" t="s">
        <v>1300</v>
      </c>
      <c r="C884" t="s">
        <v>1487</v>
      </c>
      <c r="D884" t="s">
        <v>58</v>
      </c>
      <c r="E884" s="2" t="s">
        <v>1492</v>
      </c>
      <c r="F884">
        <f t="shared" si="39"/>
        <v>6</v>
      </c>
      <c r="G884" s="2">
        <f t="shared" si="40"/>
        <v>3529</v>
      </c>
    </row>
    <row r="885" spans="1:7" x14ac:dyDescent="0.25">
      <c r="A885" t="str">
        <f t="shared" si="41"/>
        <v>Litueche Mujer</v>
      </c>
      <c r="B885" t="s">
        <v>1300</v>
      </c>
      <c r="C885" t="s">
        <v>1487</v>
      </c>
      <c r="D885" t="s">
        <v>56</v>
      </c>
      <c r="E885" s="2" t="s">
        <v>1491</v>
      </c>
      <c r="F885">
        <f t="shared" si="39"/>
        <v>6</v>
      </c>
      <c r="G885" s="2">
        <f t="shared" si="40"/>
        <v>3420</v>
      </c>
    </row>
    <row r="886" spans="1:7" x14ac:dyDescent="0.25">
      <c r="A886" t="str">
        <f t="shared" si="41"/>
        <v>Litueche Población total</v>
      </c>
      <c r="B886" t="s">
        <v>1300</v>
      </c>
      <c r="C886" t="s">
        <v>1487</v>
      </c>
      <c r="D886" t="s">
        <v>54</v>
      </c>
      <c r="E886" s="2" t="s">
        <v>1490</v>
      </c>
      <c r="F886">
        <f t="shared" si="39"/>
        <v>6</v>
      </c>
      <c r="G886" s="2">
        <f t="shared" si="40"/>
        <v>6949</v>
      </c>
    </row>
    <row r="887" spans="1:7" x14ac:dyDescent="0.25">
      <c r="A887" t="str">
        <f t="shared" si="41"/>
        <v>Litueche Población  de 0 a 14 años</v>
      </c>
      <c r="B887" t="s">
        <v>1300</v>
      </c>
      <c r="C887" t="s">
        <v>1487</v>
      </c>
      <c r="D887" t="s">
        <v>52</v>
      </c>
      <c r="E887" s="2" t="s">
        <v>1489</v>
      </c>
      <c r="F887">
        <f t="shared" si="39"/>
        <v>6</v>
      </c>
      <c r="G887" s="2">
        <f t="shared" si="40"/>
        <v>1082</v>
      </c>
    </row>
    <row r="888" spans="1:7" x14ac:dyDescent="0.25">
      <c r="A888" t="str">
        <f t="shared" si="41"/>
        <v>Litueche Población  de 15 a 64 años</v>
      </c>
      <c r="B888" t="s">
        <v>1300</v>
      </c>
      <c r="C888" t="s">
        <v>1487</v>
      </c>
      <c r="D888" t="s">
        <v>50</v>
      </c>
      <c r="E888" s="2" t="s">
        <v>1488</v>
      </c>
      <c r="F888">
        <f t="shared" si="39"/>
        <v>6</v>
      </c>
      <c r="G888" s="2">
        <f t="shared" si="40"/>
        <v>4491</v>
      </c>
    </row>
    <row r="889" spans="1:7" x14ac:dyDescent="0.25">
      <c r="A889" t="str">
        <f t="shared" si="41"/>
        <v>Litueche Población de 65 años o mas</v>
      </c>
      <c r="B889" t="s">
        <v>1300</v>
      </c>
      <c r="C889" t="s">
        <v>1487</v>
      </c>
      <c r="D889" t="s">
        <v>46</v>
      </c>
      <c r="E889" s="2" t="s">
        <v>1486</v>
      </c>
      <c r="F889">
        <f t="shared" si="39"/>
        <v>6</v>
      </c>
      <c r="G889" s="2">
        <f t="shared" si="40"/>
        <v>1376</v>
      </c>
    </row>
    <row r="890" spans="1:7" x14ac:dyDescent="0.25">
      <c r="A890" t="str">
        <f t="shared" si="41"/>
        <v>Rancagua Hombre</v>
      </c>
      <c r="B890" t="s">
        <v>1300</v>
      </c>
      <c r="C890" t="s">
        <v>1480</v>
      </c>
      <c r="D890" t="s">
        <v>58</v>
      </c>
      <c r="E890" s="2" t="s">
        <v>1485</v>
      </c>
      <c r="F890">
        <f t="shared" si="39"/>
        <v>8</v>
      </c>
      <c r="G890" s="2">
        <f t="shared" si="40"/>
        <v>136524</v>
      </c>
    </row>
    <row r="891" spans="1:7" x14ac:dyDescent="0.25">
      <c r="A891" t="str">
        <f t="shared" si="41"/>
        <v>Rancagua Mujer</v>
      </c>
      <c r="B891" t="s">
        <v>1300</v>
      </c>
      <c r="C891" t="s">
        <v>1480</v>
      </c>
      <c r="D891" t="s">
        <v>56</v>
      </c>
      <c r="E891" s="2" t="s">
        <v>1484</v>
      </c>
      <c r="F891">
        <f t="shared" si="39"/>
        <v>8</v>
      </c>
      <c r="G891" s="2">
        <f t="shared" si="40"/>
        <v>137883</v>
      </c>
    </row>
    <row r="892" spans="1:7" x14ac:dyDescent="0.25">
      <c r="A892" t="str">
        <f t="shared" si="41"/>
        <v>Rancagua Población total</v>
      </c>
      <c r="B892" t="s">
        <v>1300</v>
      </c>
      <c r="C892" t="s">
        <v>1480</v>
      </c>
      <c r="D892" t="s">
        <v>54</v>
      </c>
      <c r="E892" s="2" t="s">
        <v>1483</v>
      </c>
      <c r="F892">
        <f t="shared" si="39"/>
        <v>8</v>
      </c>
      <c r="G892" s="2">
        <f t="shared" si="40"/>
        <v>274407</v>
      </c>
    </row>
    <row r="893" spans="1:7" x14ac:dyDescent="0.25">
      <c r="A893" t="str">
        <f t="shared" si="41"/>
        <v>Rancagua Población  de 0 a 14 años</v>
      </c>
      <c r="B893" t="s">
        <v>1300</v>
      </c>
      <c r="C893" t="s">
        <v>1480</v>
      </c>
      <c r="D893" t="s">
        <v>52</v>
      </c>
      <c r="E893" s="2" t="s">
        <v>1482</v>
      </c>
      <c r="F893">
        <f t="shared" si="39"/>
        <v>7</v>
      </c>
      <c r="G893" s="2">
        <f t="shared" si="40"/>
        <v>51652</v>
      </c>
    </row>
    <row r="894" spans="1:7" x14ac:dyDescent="0.25">
      <c r="A894" t="str">
        <f t="shared" si="41"/>
        <v>Rancagua Población  de 15 a 64 años</v>
      </c>
      <c r="B894" t="s">
        <v>1300</v>
      </c>
      <c r="C894" t="s">
        <v>1480</v>
      </c>
      <c r="D894" t="s">
        <v>50</v>
      </c>
      <c r="E894" s="2" t="s">
        <v>1481</v>
      </c>
      <c r="F894">
        <f t="shared" si="39"/>
        <v>8</v>
      </c>
      <c r="G894" s="2">
        <f t="shared" si="40"/>
        <v>182485</v>
      </c>
    </row>
    <row r="895" spans="1:7" x14ac:dyDescent="0.25">
      <c r="A895" t="str">
        <f t="shared" si="41"/>
        <v>Rancagua Población de 65 años o mas</v>
      </c>
      <c r="B895" t="s">
        <v>1300</v>
      </c>
      <c r="C895" t="s">
        <v>1480</v>
      </c>
      <c r="D895" t="s">
        <v>46</v>
      </c>
      <c r="E895" s="2" t="s">
        <v>1479</v>
      </c>
      <c r="F895">
        <f t="shared" si="39"/>
        <v>7</v>
      </c>
      <c r="G895" s="2">
        <f t="shared" si="40"/>
        <v>40270</v>
      </c>
    </row>
    <row r="896" spans="1:7" x14ac:dyDescent="0.25">
      <c r="A896" t="str">
        <f t="shared" si="41"/>
        <v>Machalí Hombre</v>
      </c>
      <c r="B896" t="s">
        <v>1300</v>
      </c>
      <c r="C896" t="s">
        <v>1473</v>
      </c>
      <c r="D896" t="s">
        <v>58</v>
      </c>
      <c r="E896" s="2" t="s">
        <v>1478</v>
      </c>
      <c r="F896">
        <f t="shared" si="39"/>
        <v>7</v>
      </c>
      <c r="G896" s="2">
        <f t="shared" si="40"/>
        <v>32200</v>
      </c>
    </row>
    <row r="897" spans="1:7" x14ac:dyDescent="0.25">
      <c r="A897" t="str">
        <f t="shared" si="41"/>
        <v>Machalí Mujer</v>
      </c>
      <c r="B897" t="s">
        <v>1300</v>
      </c>
      <c r="C897" t="s">
        <v>1473</v>
      </c>
      <c r="D897" t="s">
        <v>56</v>
      </c>
      <c r="E897" s="2" t="s">
        <v>1477</v>
      </c>
      <c r="F897">
        <f t="shared" si="39"/>
        <v>7</v>
      </c>
      <c r="G897" s="2">
        <f t="shared" si="40"/>
        <v>32551</v>
      </c>
    </row>
    <row r="898" spans="1:7" x14ac:dyDescent="0.25">
      <c r="A898" t="str">
        <f t="shared" si="41"/>
        <v>Machalí Población total</v>
      </c>
      <c r="B898" t="s">
        <v>1300</v>
      </c>
      <c r="C898" t="s">
        <v>1473</v>
      </c>
      <c r="D898" t="s">
        <v>54</v>
      </c>
      <c r="E898" s="2" t="s">
        <v>1476</v>
      </c>
      <c r="F898">
        <f t="shared" ref="F898:F961" si="42">+FIND(".",E898)</f>
        <v>7</v>
      </c>
      <c r="G898" s="2">
        <f t="shared" ref="G898:G961" si="43">+LEFT(E898,(F898-1))*1</f>
        <v>64751</v>
      </c>
    </row>
    <row r="899" spans="1:7" x14ac:dyDescent="0.25">
      <c r="A899" t="str">
        <f t="shared" ref="A899:A962" si="44">+C899&amp;D899</f>
        <v>Machalí Población  de 0 a 14 años</v>
      </c>
      <c r="B899" t="s">
        <v>1300</v>
      </c>
      <c r="C899" t="s">
        <v>1473</v>
      </c>
      <c r="D899" t="s">
        <v>52</v>
      </c>
      <c r="E899" s="2" t="s">
        <v>1475</v>
      </c>
      <c r="F899">
        <f t="shared" si="42"/>
        <v>7</v>
      </c>
      <c r="G899" s="2">
        <f t="shared" si="43"/>
        <v>14480</v>
      </c>
    </row>
    <row r="900" spans="1:7" x14ac:dyDescent="0.25">
      <c r="A900" t="str">
        <f t="shared" si="44"/>
        <v>Machalí Población  de 15 a 64 años</v>
      </c>
      <c r="B900" t="s">
        <v>1300</v>
      </c>
      <c r="C900" t="s">
        <v>1473</v>
      </c>
      <c r="D900" t="s">
        <v>50</v>
      </c>
      <c r="E900" s="2" t="s">
        <v>1474</v>
      </c>
      <c r="F900">
        <f t="shared" si="42"/>
        <v>7</v>
      </c>
      <c r="G900" s="2">
        <f t="shared" si="43"/>
        <v>43406</v>
      </c>
    </row>
    <row r="901" spans="1:7" x14ac:dyDescent="0.25">
      <c r="A901" t="str">
        <f t="shared" si="44"/>
        <v>Machalí Población de 65 años o mas</v>
      </c>
      <c r="B901" t="s">
        <v>1300</v>
      </c>
      <c r="C901" t="s">
        <v>1473</v>
      </c>
      <c r="D901" t="s">
        <v>46</v>
      </c>
      <c r="E901" s="2" t="s">
        <v>1472</v>
      </c>
      <c r="F901">
        <f t="shared" si="42"/>
        <v>6</v>
      </c>
      <c r="G901" s="2">
        <f t="shared" si="43"/>
        <v>6865</v>
      </c>
    </row>
    <row r="902" spans="1:7" x14ac:dyDescent="0.25">
      <c r="A902" t="str">
        <f t="shared" si="44"/>
        <v>Doñihue Hombre</v>
      </c>
      <c r="B902" t="s">
        <v>1300</v>
      </c>
      <c r="C902" t="s">
        <v>1466</v>
      </c>
      <c r="D902" t="s">
        <v>58</v>
      </c>
      <c r="E902" s="2" t="s">
        <v>1471</v>
      </c>
      <c r="F902">
        <f t="shared" si="42"/>
        <v>7</v>
      </c>
      <c r="G902" s="2">
        <f t="shared" si="43"/>
        <v>11850</v>
      </c>
    </row>
    <row r="903" spans="1:7" x14ac:dyDescent="0.25">
      <c r="A903" t="str">
        <f t="shared" si="44"/>
        <v>Doñihue Mujer</v>
      </c>
      <c r="B903" t="s">
        <v>1300</v>
      </c>
      <c r="C903" t="s">
        <v>1466</v>
      </c>
      <c r="D903" t="s">
        <v>56</v>
      </c>
      <c r="E903" s="2" t="s">
        <v>1470</v>
      </c>
      <c r="F903">
        <f t="shared" si="42"/>
        <v>7</v>
      </c>
      <c r="G903" s="2">
        <f t="shared" si="43"/>
        <v>11797</v>
      </c>
    </row>
    <row r="904" spans="1:7" x14ac:dyDescent="0.25">
      <c r="A904" t="str">
        <f t="shared" si="44"/>
        <v>Doñihue Población total</v>
      </c>
      <c r="B904" t="s">
        <v>1300</v>
      </c>
      <c r="C904" t="s">
        <v>1466</v>
      </c>
      <c r="D904" t="s">
        <v>54</v>
      </c>
      <c r="E904" s="2" t="s">
        <v>1469</v>
      </c>
      <c r="F904">
        <f t="shared" si="42"/>
        <v>7</v>
      </c>
      <c r="G904" s="2">
        <f t="shared" si="43"/>
        <v>23647</v>
      </c>
    </row>
    <row r="905" spans="1:7" x14ac:dyDescent="0.25">
      <c r="A905" t="str">
        <f t="shared" si="44"/>
        <v>Doñihue Población  de 0 a 14 años</v>
      </c>
      <c r="B905" t="s">
        <v>1300</v>
      </c>
      <c r="C905" t="s">
        <v>1466</v>
      </c>
      <c r="D905" t="s">
        <v>52</v>
      </c>
      <c r="E905" s="2" t="s">
        <v>1468</v>
      </c>
      <c r="F905">
        <f t="shared" si="42"/>
        <v>6</v>
      </c>
      <c r="G905" s="2">
        <f t="shared" si="43"/>
        <v>4576</v>
      </c>
    </row>
    <row r="906" spans="1:7" x14ac:dyDescent="0.25">
      <c r="A906" t="str">
        <f t="shared" si="44"/>
        <v>Doñihue Población  de 15 a 64 años</v>
      </c>
      <c r="B906" t="s">
        <v>1300</v>
      </c>
      <c r="C906" t="s">
        <v>1466</v>
      </c>
      <c r="D906" t="s">
        <v>50</v>
      </c>
      <c r="E906" s="2" t="s">
        <v>1467</v>
      </c>
      <c r="F906">
        <f t="shared" si="42"/>
        <v>7</v>
      </c>
      <c r="G906" s="2">
        <f t="shared" si="43"/>
        <v>15522</v>
      </c>
    </row>
    <row r="907" spans="1:7" x14ac:dyDescent="0.25">
      <c r="A907" t="str">
        <f t="shared" si="44"/>
        <v>Doñihue Población de 65 años o mas</v>
      </c>
      <c r="B907" t="s">
        <v>1300</v>
      </c>
      <c r="C907" t="s">
        <v>1466</v>
      </c>
      <c r="D907" t="s">
        <v>46</v>
      </c>
      <c r="E907" s="2" t="s">
        <v>1465</v>
      </c>
      <c r="F907">
        <f t="shared" si="42"/>
        <v>6</v>
      </c>
      <c r="G907" s="2">
        <f t="shared" si="43"/>
        <v>3549</v>
      </c>
    </row>
    <row r="908" spans="1:7" x14ac:dyDescent="0.25">
      <c r="A908" t="str">
        <f t="shared" si="44"/>
        <v>La Estrella Hombre</v>
      </c>
      <c r="B908" t="s">
        <v>1300</v>
      </c>
      <c r="C908" t="s">
        <v>1460</v>
      </c>
      <c r="D908" t="s">
        <v>58</v>
      </c>
      <c r="E908" s="2" t="s">
        <v>1464</v>
      </c>
      <c r="F908">
        <f t="shared" si="42"/>
        <v>6</v>
      </c>
      <c r="G908" s="2">
        <f t="shared" si="43"/>
        <v>1579</v>
      </c>
    </row>
    <row r="909" spans="1:7" x14ac:dyDescent="0.25">
      <c r="A909" t="str">
        <f t="shared" si="44"/>
        <v>La Estrella Mujer</v>
      </c>
      <c r="B909" t="s">
        <v>1300</v>
      </c>
      <c r="C909" t="s">
        <v>1460</v>
      </c>
      <c r="D909" t="s">
        <v>56</v>
      </c>
      <c r="E909" s="2" t="s">
        <v>1463</v>
      </c>
      <c r="F909">
        <f t="shared" si="42"/>
        <v>6</v>
      </c>
      <c r="G909" s="2">
        <f t="shared" si="43"/>
        <v>1519</v>
      </c>
    </row>
    <row r="910" spans="1:7" x14ac:dyDescent="0.25">
      <c r="A910" t="str">
        <f t="shared" si="44"/>
        <v>La Estrella Población total</v>
      </c>
      <c r="B910" t="s">
        <v>1300</v>
      </c>
      <c r="C910" t="s">
        <v>1460</v>
      </c>
      <c r="D910" t="s">
        <v>54</v>
      </c>
      <c r="E910" s="2" t="s">
        <v>1131</v>
      </c>
      <c r="F910">
        <f t="shared" si="42"/>
        <v>6</v>
      </c>
      <c r="G910" s="2">
        <f t="shared" si="43"/>
        <v>3098</v>
      </c>
    </row>
    <row r="911" spans="1:7" x14ac:dyDescent="0.25">
      <c r="A911" t="str">
        <f t="shared" si="44"/>
        <v>La Estrella Población  de 0 a 14 años</v>
      </c>
      <c r="B911" t="s">
        <v>1300</v>
      </c>
      <c r="C911" t="s">
        <v>1460</v>
      </c>
      <c r="D911" t="s">
        <v>52</v>
      </c>
      <c r="E911" s="2" t="s">
        <v>1462</v>
      </c>
      <c r="F911">
        <f t="shared" si="42"/>
        <v>5</v>
      </c>
      <c r="G911" s="2">
        <f t="shared" si="43"/>
        <v>447</v>
      </c>
    </row>
    <row r="912" spans="1:7" x14ac:dyDescent="0.25">
      <c r="A912" t="str">
        <f t="shared" si="44"/>
        <v>La Estrella Población  de 15 a 64 años</v>
      </c>
      <c r="B912" t="s">
        <v>1300</v>
      </c>
      <c r="C912" t="s">
        <v>1460</v>
      </c>
      <c r="D912" t="s">
        <v>50</v>
      </c>
      <c r="E912" s="2" t="s">
        <v>1461</v>
      </c>
      <c r="F912">
        <f t="shared" si="42"/>
        <v>6</v>
      </c>
      <c r="G912" s="2">
        <f t="shared" si="43"/>
        <v>1941</v>
      </c>
    </row>
    <row r="913" spans="1:7" x14ac:dyDescent="0.25">
      <c r="A913" t="str">
        <f t="shared" si="44"/>
        <v>La Estrella Población de 65 años o mas</v>
      </c>
      <c r="B913" t="s">
        <v>1300</v>
      </c>
      <c r="C913" t="s">
        <v>1460</v>
      </c>
      <c r="D913" t="s">
        <v>46</v>
      </c>
      <c r="E913" s="2" t="s">
        <v>1459</v>
      </c>
      <c r="F913">
        <f t="shared" si="42"/>
        <v>5</v>
      </c>
      <c r="G913" s="2">
        <f t="shared" si="43"/>
        <v>710</v>
      </c>
    </row>
    <row r="914" spans="1:7" x14ac:dyDescent="0.25">
      <c r="A914" t="str">
        <f t="shared" si="44"/>
        <v>Olivar Hombre</v>
      </c>
      <c r="B914" t="s">
        <v>1300</v>
      </c>
      <c r="C914" t="s">
        <v>1453</v>
      </c>
      <c r="D914" t="s">
        <v>58</v>
      </c>
      <c r="E914" s="2" t="s">
        <v>1458</v>
      </c>
      <c r="F914">
        <f t="shared" si="42"/>
        <v>6</v>
      </c>
      <c r="G914" s="2">
        <f t="shared" si="43"/>
        <v>7542</v>
      </c>
    </row>
    <row r="915" spans="1:7" x14ac:dyDescent="0.25">
      <c r="A915" t="str">
        <f t="shared" si="44"/>
        <v>Olivar Mujer</v>
      </c>
      <c r="B915" t="s">
        <v>1300</v>
      </c>
      <c r="C915" t="s">
        <v>1453</v>
      </c>
      <c r="D915" t="s">
        <v>56</v>
      </c>
      <c r="E915" s="2" t="s">
        <v>1457</v>
      </c>
      <c r="F915">
        <f t="shared" si="42"/>
        <v>6</v>
      </c>
      <c r="G915" s="2">
        <f t="shared" si="43"/>
        <v>7465</v>
      </c>
    </row>
    <row r="916" spans="1:7" x14ac:dyDescent="0.25">
      <c r="A916" t="str">
        <f t="shared" si="44"/>
        <v>Olivar Población total</v>
      </c>
      <c r="B916" t="s">
        <v>1300</v>
      </c>
      <c r="C916" t="s">
        <v>1453</v>
      </c>
      <c r="D916" t="s">
        <v>54</v>
      </c>
      <c r="E916" s="2" t="s">
        <v>1456</v>
      </c>
      <c r="F916">
        <f t="shared" si="42"/>
        <v>7</v>
      </c>
      <c r="G916" s="2">
        <f t="shared" si="43"/>
        <v>15007</v>
      </c>
    </row>
    <row r="917" spans="1:7" x14ac:dyDescent="0.25">
      <c r="A917" t="str">
        <f t="shared" si="44"/>
        <v>Olivar Población  de 0 a 14 años</v>
      </c>
      <c r="B917" t="s">
        <v>1300</v>
      </c>
      <c r="C917" t="s">
        <v>1453</v>
      </c>
      <c r="D917" t="s">
        <v>52</v>
      </c>
      <c r="E917" s="2" t="s">
        <v>1455</v>
      </c>
      <c r="F917">
        <f t="shared" si="42"/>
        <v>6</v>
      </c>
      <c r="G917" s="2">
        <f t="shared" si="43"/>
        <v>2806</v>
      </c>
    </row>
    <row r="918" spans="1:7" x14ac:dyDescent="0.25">
      <c r="A918" t="str">
        <f t="shared" si="44"/>
        <v>Olivar Población  de 15 a 64 años</v>
      </c>
      <c r="B918" t="s">
        <v>1300</v>
      </c>
      <c r="C918" t="s">
        <v>1453</v>
      </c>
      <c r="D918" t="s">
        <v>50</v>
      </c>
      <c r="E918" s="2" t="s">
        <v>1454</v>
      </c>
      <c r="F918">
        <f t="shared" si="42"/>
        <v>7</v>
      </c>
      <c r="G918" s="2">
        <f t="shared" si="43"/>
        <v>10142</v>
      </c>
    </row>
    <row r="919" spans="1:7" x14ac:dyDescent="0.25">
      <c r="A919" t="str">
        <f t="shared" si="44"/>
        <v>Olivar Población de 65 años o mas</v>
      </c>
      <c r="B919" t="s">
        <v>1300</v>
      </c>
      <c r="C919" t="s">
        <v>1453</v>
      </c>
      <c r="D919" t="s">
        <v>46</v>
      </c>
      <c r="E919" s="2" t="s">
        <v>1171</v>
      </c>
      <c r="F919">
        <f t="shared" si="42"/>
        <v>6</v>
      </c>
      <c r="G919" s="2">
        <f t="shared" si="43"/>
        <v>2059</v>
      </c>
    </row>
    <row r="920" spans="1:7" x14ac:dyDescent="0.25">
      <c r="A920" t="str">
        <f t="shared" si="44"/>
        <v>Coinco Hombre</v>
      </c>
      <c r="B920" t="s">
        <v>1300</v>
      </c>
      <c r="C920" t="s">
        <v>1447</v>
      </c>
      <c r="D920" t="s">
        <v>58</v>
      </c>
      <c r="E920" s="2" t="s">
        <v>1452</v>
      </c>
      <c r="F920">
        <f t="shared" si="42"/>
        <v>6</v>
      </c>
      <c r="G920" s="2">
        <f t="shared" si="43"/>
        <v>4050</v>
      </c>
    </row>
    <row r="921" spans="1:7" x14ac:dyDescent="0.25">
      <c r="A921" t="str">
        <f t="shared" si="44"/>
        <v>Coinco Mujer</v>
      </c>
      <c r="B921" t="s">
        <v>1300</v>
      </c>
      <c r="C921" t="s">
        <v>1447</v>
      </c>
      <c r="D921" t="s">
        <v>56</v>
      </c>
      <c r="E921" s="2" t="s">
        <v>1451</v>
      </c>
      <c r="F921">
        <f t="shared" si="42"/>
        <v>6</v>
      </c>
      <c r="G921" s="2">
        <f t="shared" si="43"/>
        <v>3974</v>
      </c>
    </row>
    <row r="922" spans="1:7" x14ac:dyDescent="0.25">
      <c r="A922" t="str">
        <f t="shared" si="44"/>
        <v>Coinco Población total</v>
      </c>
      <c r="B922" t="s">
        <v>1300</v>
      </c>
      <c r="C922" t="s">
        <v>1447</v>
      </c>
      <c r="D922" t="s">
        <v>54</v>
      </c>
      <c r="E922" s="2" t="s">
        <v>1450</v>
      </c>
      <c r="F922">
        <f t="shared" si="42"/>
        <v>6</v>
      </c>
      <c r="G922" s="2">
        <f t="shared" si="43"/>
        <v>8024</v>
      </c>
    </row>
    <row r="923" spans="1:7" x14ac:dyDescent="0.25">
      <c r="A923" t="str">
        <f t="shared" si="44"/>
        <v>Coinco Población  de 0 a 14 años</v>
      </c>
      <c r="B923" t="s">
        <v>1300</v>
      </c>
      <c r="C923" t="s">
        <v>1447</v>
      </c>
      <c r="D923" t="s">
        <v>52</v>
      </c>
      <c r="E923" s="2" t="s">
        <v>1449</v>
      </c>
      <c r="F923">
        <f t="shared" si="42"/>
        <v>6</v>
      </c>
      <c r="G923" s="2">
        <f t="shared" si="43"/>
        <v>1343</v>
      </c>
    </row>
    <row r="924" spans="1:7" x14ac:dyDescent="0.25">
      <c r="A924" t="str">
        <f t="shared" si="44"/>
        <v>Coinco Población  de 15 a 64 años</v>
      </c>
      <c r="B924" t="s">
        <v>1300</v>
      </c>
      <c r="C924" t="s">
        <v>1447</v>
      </c>
      <c r="D924" t="s">
        <v>50</v>
      </c>
      <c r="E924" s="2" t="s">
        <v>1448</v>
      </c>
      <c r="F924">
        <f t="shared" si="42"/>
        <v>6</v>
      </c>
      <c r="G924" s="2">
        <f t="shared" si="43"/>
        <v>5176</v>
      </c>
    </row>
    <row r="925" spans="1:7" x14ac:dyDescent="0.25">
      <c r="A925" t="str">
        <f t="shared" si="44"/>
        <v>Coinco Población de 65 años o mas</v>
      </c>
      <c r="B925" t="s">
        <v>1300</v>
      </c>
      <c r="C925" t="s">
        <v>1447</v>
      </c>
      <c r="D925" t="s">
        <v>46</v>
      </c>
      <c r="E925" s="2" t="s">
        <v>1327</v>
      </c>
      <c r="F925">
        <f t="shared" si="42"/>
        <v>6</v>
      </c>
      <c r="G925" s="2">
        <f t="shared" si="43"/>
        <v>1505</v>
      </c>
    </row>
    <row r="926" spans="1:7" x14ac:dyDescent="0.25">
      <c r="A926" t="str">
        <f t="shared" si="44"/>
        <v>Requínoa Hombre</v>
      </c>
      <c r="B926" t="s">
        <v>1300</v>
      </c>
      <c r="C926" t="s">
        <v>1441</v>
      </c>
      <c r="D926" t="s">
        <v>58</v>
      </c>
      <c r="E926" s="2" t="s">
        <v>1446</v>
      </c>
      <c r="F926">
        <f t="shared" si="42"/>
        <v>7</v>
      </c>
      <c r="G926" s="2">
        <f t="shared" si="43"/>
        <v>15930</v>
      </c>
    </row>
    <row r="927" spans="1:7" x14ac:dyDescent="0.25">
      <c r="A927" t="str">
        <f t="shared" si="44"/>
        <v>Requínoa Mujer</v>
      </c>
      <c r="B927" t="s">
        <v>1300</v>
      </c>
      <c r="C927" t="s">
        <v>1441</v>
      </c>
      <c r="D927" t="s">
        <v>56</v>
      </c>
      <c r="E927" s="2" t="s">
        <v>1445</v>
      </c>
      <c r="F927">
        <f t="shared" si="42"/>
        <v>7</v>
      </c>
      <c r="G927" s="2">
        <f t="shared" si="43"/>
        <v>15794</v>
      </c>
    </row>
    <row r="928" spans="1:7" x14ac:dyDescent="0.25">
      <c r="A928" t="str">
        <f t="shared" si="44"/>
        <v>Requínoa Población total</v>
      </c>
      <c r="B928" t="s">
        <v>1300</v>
      </c>
      <c r="C928" t="s">
        <v>1441</v>
      </c>
      <c r="D928" t="s">
        <v>54</v>
      </c>
      <c r="E928" s="2" t="s">
        <v>1444</v>
      </c>
      <c r="F928">
        <f t="shared" si="42"/>
        <v>7</v>
      </c>
      <c r="G928" s="2">
        <f t="shared" si="43"/>
        <v>31724</v>
      </c>
    </row>
    <row r="929" spans="1:7" x14ac:dyDescent="0.25">
      <c r="A929" t="str">
        <f t="shared" si="44"/>
        <v>Requínoa Población  de 0 a 14 años</v>
      </c>
      <c r="B929" t="s">
        <v>1300</v>
      </c>
      <c r="C929" t="s">
        <v>1441</v>
      </c>
      <c r="D929" t="s">
        <v>52</v>
      </c>
      <c r="E929" s="2" t="s">
        <v>1443</v>
      </c>
      <c r="F929">
        <f t="shared" si="42"/>
        <v>6</v>
      </c>
      <c r="G929" s="2">
        <f t="shared" si="43"/>
        <v>6262</v>
      </c>
    </row>
    <row r="930" spans="1:7" x14ac:dyDescent="0.25">
      <c r="A930" t="str">
        <f t="shared" si="44"/>
        <v>Requínoa Población  de 15 a 64 años</v>
      </c>
      <c r="B930" t="s">
        <v>1300</v>
      </c>
      <c r="C930" t="s">
        <v>1441</v>
      </c>
      <c r="D930" t="s">
        <v>50</v>
      </c>
      <c r="E930" s="2" t="s">
        <v>1442</v>
      </c>
      <c r="F930">
        <f t="shared" si="42"/>
        <v>7</v>
      </c>
      <c r="G930" s="2">
        <f t="shared" si="43"/>
        <v>21364</v>
      </c>
    </row>
    <row r="931" spans="1:7" x14ac:dyDescent="0.25">
      <c r="A931" t="str">
        <f t="shared" si="44"/>
        <v>Requínoa Población de 65 años o mas</v>
      </c>
      <c r="B931" t="s">
        <v>1300</v>
      </c>
      <c r="C931" t="s">
        <v>1441</v>
      </c>
      <c r="D931" t="s">
        <v>46</v>
      </c>
      <c r="E931" s="2" t="s">
        <v>1440</v>
      </c>
      <c r="F931">
        <f t="shared" si="42"/>
        <v>6</v>
      </c>
      <c r="G931" s="2">
        <f t="shared" si="43"/>
        <v>4098</v>
      </c>
    </row>
    <row r="932" spans="1:7" x14ac:dyDescent="0.25">
      <c r="A932" t="str">
        <f t="shared" si="44"/>
        <v>Las Cabras Hombre</v>
      </c>
      <c r="B932" t="s">
        <v>1300</v>
      </c>
      <c r="C932" t="s">
        <v>1434</v>
      </c>
      <c r="D932" t="s">
        <v>58</v>
      </c>
      <c r="E932" s="2" t="s">
        <v>1439</v>
      </c>
      <c r="F932">
        <f t="shared" si="42"/>
        <v>7</v>
      </c>
      <c r="G932" s="2">
        <f t="shared" si="43"/>
        <v>14032</v>
      </c>
    </row>
    <row r="933" spans="1:7" x14ac:dyDescent="0.25">
      <c r="A933" t="str">
        <f t="shared" si="44"/>
        <v>Las Cabras Mujer</v>
      </c>
      <c r="B933" t="s">
        <v>1300</v>
      </c>
      <c r="C933" t="s">
        <v>1434</v>
      </c>
      <c r="D933" t="s">
        <v>56</v>
      </c>
      <c r="E933" s="2" t="s">
        <v>1438</v>
      </c>
      <c r="F933">
        <f t="shared" si="42"/>
        <v>7</v>
      </c>
      <c r="G933" s="2">
        <f t="shared" si="43"/>
        <v>13717</v>
      </c>
    </row>
    <row r="934" spans="1:7" x14ac:dyDescent="0.25">
      <c r="A934" t="str">
        <f t="shared" si="44"/>
        <v>Las Cabras Población total</v>
      </c>
      <c r="B934" t="s">
        <v>1300</v>
      </c>
      <c r="C934" t="s">
        <v>1434</v>
      </c>
      <c r="D934" t="s">
        <v>54</v>
      </c>
      <c r="E934" s="2" t="s">
        <v>1437</v>
      </c>
      <c r="F934">
        <f t="shared" si="42"/>
        <v>7</v>
      </c>
      <c r="G934" s="2">
        <f t="shared" si="43"/>
        <v>27749</v>
      </c>
    </row>
    <row r="935" spans="1:7" x14ac:dyDescent="0.25">
      <c r="A935" t="str">
        <f t="shared" si="44"/>
        <v>Las Cabras Población  de 0 a 14 años</v>
      </c>
      <c r="B935" t="s">
        <v>1300</v>
      </c>
      <c r="C935" t="s">
        <v>1434</v>
      </c>
      <c r="D935" t="s">
        <v>52</v>
      </c>
      <c r="E935" s="2" t="s">
        <v>1436</v>
      </c>
      <c r="F935">
        <f t="shared" si="42"/>
        <v>6</v>
      </c>
      <c r="G935" s="2">
        <f t="shared" si="43"/>
        <v>4911</v>
      </c>
    </row>
    <row r="936" spans="1:7" x14ac:dyDescent="0.25">
      <c r="A936" t="str">
        <f t="shared" si="44"/>
        <v>Las Cabras Población  de 15 a 64 años</v>
      </c>
      <c r="B936" t="s">
        <v>1300</v>
      </c>
      <c r="C936" t="s">
        <v>1434</v>
      </c>
      <c r="D936" t="s">
        <v>50</v>
      </c>
      <c r="E936" s="2" t="s">
        <v>1435</v>
      </c>
      <c r="F936">
        <f t="shared" si="42"/>
        <v>7</v>
      </c>
      <c r="G936" s="2">
        <f t="shared" si="43"/>
        <v>18205</v>
      </c>
    </row>
    <row r="937" spans="1:7" x14ac:dyDescent="0.25">
      <c r="A937" t="str">
        <f t="shared" si="44"/>
        <v>Las Cabras Población de 65 años o mas</v>
      </c>
      <c r="B937" t="s">
        <v>1300</v>
      </c>
      <c r="C937" t="s">
        <v>1434</v>
      </c>
      <c r="D937" t="s">
        <v>46</v>
      </c>
      <c r="E937" s="2" t="s">
        <v>1433</v>
      </c>
      <c r="F937">
        <f t="shared" si="42"/>
        <v>6</v>
      </c>
      <c r="G937" s="2">
        <f t="shared" si="43"/>
        <v>4633</v>
      </c>
    </row>
    <row r="938" spans="1:7" x14ac:dyDescent="0.25">
      <c r="A938" t="str">
        <f t="shared" si="44"/>
        <v>Coltauco Hombre</v>
      </c>
      <c r="B938" t="s">
        <v>1300</v>
      </c>
      <c r="C938" t="s">
        <v>1428</v>
      </c>
      <c r="D938" t="s">
        <v>58</v>
      </c>
      <c r="E938" s="2" t="s">
        <v>1432</v>
      </c>
      <c r="F938">
        <f t="shared" si="42"/>
        <v>7</v>
      </c>
      <c r="G938" s="2">
        <f t="shared" si="43"/>
        <v>11107</v>
      </c>
    </row>
    <row r="939" spans="1:7" x14ac:dyDescent="0.25">
      <c r="A939" t="str">
        <f t="shared" si="44"/>
        <v>Coltauco Mujer</v>
      </c>
      <c r="B939" t="s">
        <v>1300</v>
      </c>
      <c r="C939" t="s">
        <v>1428</v>
      </c>
      <c r="D939" t="s">
        <v>56</v>
      </c>
      <c r="E939" s="2" t="s">
        <v>1431</v>
      </c>
      <c r="F939">
        <f t="shared" si="42"/>
        <v>7</v>
      </c>
      <c r="G939" s="2">
        <f t="shared" si="43"/>
        <v>11036</v>
      </c>
    </row>
    <row r="940" spans="1:7" x14ac:dyDescent="0.25">
      <c r="A940" t="str">
        <f t="shared" si="44"/>
        <v>Coltauco Población total</v>
      </c>
      <c r="B940" t="s">
        <v>1300</v>
      </c>
      <c r="C940" t="s">
        <v>1428</v>
      </c>
      <c r="D940" t="s">
        <v>54</v>
      </c>
      <c r="E940" s="2" t="s">
        <v>1430</v>
      </c>
      <c r="F940">
        <f t="shared" si="42"/>
        <v>7</v>
      </c>
      <c r="G940" s="2">
        <f t="shared" si="43"/>
        <v>22143</v>
      </c>
    </row>
    <row r="941" spans="1:7" x14ac:dyDescent="0.25">
      <c r="A941" t="str">
        <f t="shared" si="44"/>
        <v>Coltauco Población  de 0 a 14 años</v>
      </c>
      <c r="B941" t="s">
        <v>1300</v>
      </c>
      <c r="C941" t="s">
        <v>1428</v>
      </c>
      <c r="D941" t="s">
        <v>52</v>
      </c>
      <c r="E941" s="2" t="s">
        <v>79</v>
      </c>
      <c r="F941">
        <f t="shared" si="42"/>
        <v>6</v>
      </c>
      <c r="G941" s="2">
        <f t="shared" si="43"/>
        <v>4126</v>
      </c>
    </row>
    <row r="942" spans="1:7" x14ac:dyDescent="0.25">
      <c r="A942" t="str">
        <f t="shared" si="44"/>
        <v>Coltauco Población  de 15 a 64 años</v>
      </c>
      <c r="B942" t="s">
        <v>1300</v>
      </c>
      <c r="C942" t="s">
        <v>1428</v>
      </c>
      <c r="D942" t="s">
        <v>50</v>
      </c>
      <c r="E942" s="2" t="s">
        <v>1429</v>
      </c>
      <c r="F942">
        <f t="shared" si="42"/>
        <v>7</v>
      </c>
      <c r="G942" s="2">
        <f t="shared" si="43"/>
        <v>14407</v>
      </c>
    </row>
    <row r="943" spans="1:7" x14ac:dyDescent="0.25">
      <c r="A943" t="str">
        <f t="shared" si="44"/>
        <v>Coltauco Población de 65 años o mas</v>
      </c>
      <c r="B943" t="s">
        <v>1300</v>
      </c>
      <c r="C943" t="s">
        <v>1428</v>
      </c>
      <c r="D943" t="s">
        <v>46</v>
      </c>
      <c r="E943" s="2" t="s">
        <v>1427</v>
      </c>
      <c r="F943">
        <f t="shared" si="42"/>
        <v>6</v>
      </c>
      <c r="G943" s="2">
        <f t="shared" si="43"/>
        <v>3610</v>
      </c>
    </row>
    <row r="944" spans="1:7" x14ac:dyDescent="0.25">
      <c r="A944" t="str">
        <f t="shared" si="44"/>
        <v>Quinta De Tilcoco Hombre</v>
      </c>
      <c r="B944" t="s">
        <v>1300</v>
      </c>
      <c r="C944" t="s">
        <v>1421</v>
      </c>
      <c r="D944" t="s">
        <v>58</v>
      </c>
      <c r="E944" s="2" t="s">
        <v>1426</v>
      </c>
      <c r="F944">
        <f t="shared" si="42"/>
        <v>6</v>
      </c>
      <c r="G944" s="2">
        <f t="shared" si="43"/>
        <v>7162</v>
      </c>
    </row>
    <row r="945" spans="1:7" x14ac:dyDescent="0.25">
      <c r="A945" t="str">
        <f t="shared" si="44"/>
        <v>Quinta De Tilcoco Mujer</v>
      </c>
      <c r="B945" t="s">
        <v>1300</v>
      </c>
      <c r="C945" t="s">
        <v>1421</v>
      </c>
      <c r="D945" t="s">
        <v>56</v>
      </c>
      <c r="E945" s="2" t="s">
        <v>1425</v>
      </c>
      <c r="F945">
        <f t="shared" si="42"/>
        <v>6</v>
      </c>
      <c r="G945" s="2">
        <f t="shared" si="43"/>
        <v>7126</v>
      </c>
    </row>
    <row r="946" spans="1:7" x14ac:dyDescent="0.25">
      <c r="A946" t="str">
        <f t="shared" si="44"/>
        <v>Quinta De Tilcoco Población total</v>
      </c>
      <c r="B946" t="s">
        <v>1300</v>
      </c>
      <c r="C946" t="s">
        <v>1421</v>
      </c>
      <c r="D946" t="s">
        <v>54</v>
      </c>
      <c r="E946" s="2" t="s">
        <v>1424</v>
      </c>
      <c r="F946">
        <f t="shared" si="42"/>
        <v>7</v>
      </c>
      <c r="G946" s="2">
        <f t="shared" si="43"/>
        <v>14288</v>
      </c>
    </row>
    <row r="947" spans="1:7" x14ac:dyDescent="0.25">
      <c r="A947" t="str">
        <f t="shared" si="44"/>
        <v>Quinta De Tilcoco Población  de 0 a 14 años</v>
      </c>
      <c r="B947" t="s">
        <v>1300</v>
      </c>
      <c r="C947" t="s">
        <v>1421</v>
      </c>
      <c r="D947" t="s">
        <v>52</v>
      </c>
      <c r="E947" s="2" t="s">
        <v>1423</v>
      </c>
      <c r="F947">
        <f t="shared" si="42"/>
        <v>6</v>
      </c>
      <c r="G947" s="2">
        <f t="shared" si="43"/>
        <v>2467</v>
      </c>
    </row>
    <row r="948" spans="1:7" x14ac:dyDescent="0.25">
      <c r="A948" t="str">
        <f t="shared" si="44"/>
        <v>Quinta De Tilcoco Población  de 15 a 64 años</v>
      </c>
      <c r="B948" t="s">
        <v>1300</v>
      </c>
      <c r="C948" t="s">
        <v>1421</v>
      </c>
      <c r="D948" t="s">
        <v>50</v>
      </c>
      <c r="E948" s="2" t="s">
        <v>1422</v>
      </c>
      <c r="F948">
        <f t="shared" si="42"/>
        <v>6</v>
      </c>
      <c r="G948" s="2">
        <f t="shared" si="43"/>
        <v>9476</v>
      </c>
    </row>
    <row r="949" spans="1:7" x14ac:dyDescent="0.25">
      <c r="A949" t="str">
        <f t="shared" si="44"/>
        <v>Quinta De Tilcoco Población de 65 años o mas</v>
      </c>
      <c r="B949" t="s">
        <v>1300</v>
      </c>
      <c r="C949" t="s">
        <v>1421</v>
      </c>
      <c r="D949" t="s">
        <v>46</v>
      </c>
      <c r="E949" s="2" t="s">
        <v>1420</v>
      </c>
      <c r="F949">
        <f t="shared" si="42"/>
        <v>6</v>
      </c>
      <c r="G949" s="2">
        <f t="shared" si="43"/>
        <v>2345</v>
      </c>
    </row>
    <row r="950" spans="1:7" x14ac:dyDescent="0.25">
      <c r="A950" t="str">
        <f t="shared" si="44"/>
        <v>Pichidegua Hombre</v>
      </c>
      <c r="B950" t="s">
        <v>1300</v>
      </c>
      <c r="C950" t="s">
        <v>1414</v>
      </c>
      <c r="D950" t="s">
        <v>58</v>
      </c>
      <c r="E950" s="2" t="s">
        <v>1419</v>
      </c>
      <c r="F950">
        <f t="shared" si="42"/>
        <v>7</v>
      </c>
      <c r="G950" s="2">
        <f t="shared" si="43"/>
        <v>10631</v>
      </c>
    </row>
    <row r="951" spans="1:7" x14ac:dyDescent="0.25">
      <c r="A951" t="str">
        <f t="shared" si="44"/>
        <v>Pichidegua Mujer</v>
      </c>
      <c r="B951" t="s">
        <v>1300</v>
      </c>
      <c r="C951" t="s">
        <v>1414</v>
      </c>
      <c r="D951" t="s">
        <v>56</v>
      </c>
      <c r="E951" s="2" t="s">
        <v>1418</v>
      </c>
      <c r="F951">
        <f t="shared" si="42"/>
        <v>7</v>
      </c>
      <c r="G951" s="2">
        <f t="shared" si="43"/>
        <v>10443</v>
      </c>
    </row>
    <row r="952" spans="1:7" x14ac:dyDescent="0.25">
      <c r="A952" t="str">
        <f t="shared" si="44"/>
        <v>Pichidegua Población total</v>
      </c>
      <c r="B952" t="s">
        <v>1300</v>
      </c>
      <c r="C952" t="s">
        <v>1414</v>
      </c>
      <c r="D952" t="s">
        <v>54</v>
      </c>
      <c r="E952" s="2" t="s">
        <v>1417</v>
      </c>
      <c r="F952">
        <f t="shared" si="42"/>
        <v>7</v>
      </c>
      <c r="G952" s="2">
        <f t="shared" si="43"/>
        <v>21074</v>
      </c>
    </row>
    <row r="953" spans="1:7" x14ac:dyDescent="0.25">
      <c r="A953" t="str">
        <f t="shared" si="44"/>
        <v>Pichidegua Población  de 0 a 14 años</v>
      </c>
      <c r="B953" t="s">
        <v>1300</v>
      </c>
      <c r="C953" t="s">
        <v>1414</v>
      </c>
      <c r="D953" t="s">
        <v>52</v>
      </c>
      <c r="E953" s="2" t="s">
        <v>1416</v>
      </c>
      <c r="F953">
        <f t="shared" si="42"/>
        <v>6</v>
      </c>
      <c r="G953" s="2">
        <f t="shared" si="43"/>
        <v>3580</v>
      </c>
    </row>
    <row r="954" spans="1:7" x14ac:dyDescent="0.25">
      <c r="A954" t="str">
        <f t="shared" si="44"/>
        <v>Pichidegua Población  de 15 a 64 años</v>
      </c>
      <c r="B954" t="s">
        <v>1300</v>
      </c>
      <c r="C954" t="s">
        <v>1414</v>
      </c>
      <c r="D954" t="s">
        <v>50</v>
      </c>
      <c r="E954" s="2" t="s">
        <v>1415</v>
      </c>
      <c r="F954">
        <f t="shared" si="42"/>
        <v>7</v>
      </c>
      <c r="G954" s="2">
        <f t="shared" si="43"/>
        <v>13770</v>
      </c>
    </row>
    <row r="955" spans="1:7" x14ac:dyDescent="0.25">
      <c r="A955" t="str">
        <f t="shared" si="44"/>
        <v>Pichidegua Población de 65 años o mas</v>
      </c>
      <c r="B955" t="s">
        <v>1300</v>
      </c>
      <c r="C955" t="s">
        <v>1414</v>
      </c>
      <c r="D955" t="s">
        <v>46</v>
      </c>
      <c r="E955" s="2" t="s">
        <v>1413</v>
      </c>
      <c r="F955">
        <f t="shared" si="42"/>
        <v>6</v>
      </c>
      <c r="G955" s="2">
        <f t="shared" si="43"/>
        <v>3724</v>
      </c>
    </row>
    <row r="956" spans="1:7" x14ac:dyDescent="0.25">
      <c r="A956" t="str">
        <f t="shared" si="44"/>
        <v>Peumo Hombre</v>
      </c>
      <c r="B956" t="s">
        <v>1300</v>
      </c>
      <c r="C956" t="s">
        <v>1407</v>
      </c>
      <c r="D956" t="s">
        <v>58</v>
      </c>
      <c r="E956" s="2" t="s">
        <v>1412</v>
      </c>
      <c r="F956">
        <f t="shared" si="42"/>
        <v>6</v>
      </c>
      <c r="G956" s="2">
        <f t="shared" si="43"/>
        <v>7539</v>
      </c>
    </row>
    <row r="957" spans="1:7" x14ac:dyDescent="0.25">
      <c r="A957" t="str">
        <f t="shared" si="44"/>
        <v>Peumo Mujer</v>
      </c>
      <c r="B957" t="s">
        <v>1300</v>
      </c>
      <c r="C957" t="s">
        <v>1407</v>
      </c>
      <c r="D957" t="s">
        <v>56</v>
      </c>
      <c r="E957" s="2" t="s">
        <v>1411</v>
      </c>
      <c r="F957">
        <f t="shared" si="42"/>
        <v>6</v>
      </c>
      <c r="G957" s="2">
        <f t="shared" si="43"/>
        <v>7489</v>
      </c>
    </row>
    <row r="958" spans="1:7" x14ac:dyDescent="0.25">
      <c r="A958" t="str">
        <f t="shared" si="44"/>
        <v>Peumo Población total</v>
      </c>
      <c r="B958" t="s">
        <v>1300</v>
      </c>
      <c r="C958" t="s">
        <v>1407</v>
      </c>
      <c r="D958" t="s">
        <v>54</v>
      </c>
      <c r="E958" s="2" t="s">
        <v>1410</v>
      </c>
      <c r="F958">
        <f t="shared" si="42"/>
        <v>7</v>
      </c>
      <c r="G958" s="2">
        <f t="shared" si="43"/>
        <v>15028</v>
      </c>
    </row>
    <row r="959" spans="1:7" x14ac:dyDescent="0.25">
      <c r="A959" t="str">
        <f t="shared" si="44"/>
        <v>Peumo Población  de 0 a 14 años</v>
      </c>
      <c r="B959" t="s">
        <v>1300</v>
      </c>
      <c r="C959" t="s">
        <v>1407</v>
      </c>
      <c r="D959" t="s">
        <v>52</v>
      </c>
      <c r="E959" s="2" t="s">
        <v>1409</v>
      </c>
      <c r="F959">
        <f t="shared" si="42"/>
        <v>6</v>
      </c>
      <c r="G959" s="2">
        <f t="shared" si="43"/>
        <v>2654</v>
      </c>
    </row>
    <row r="960" spans="1:7" x14ac:dyDescent="0.25">
      <c r="A960" t="str">
        <f t="shared" si="44"/>
        <v>Peumo Población  de 15 a 64 años</v>
      </c>
      <c r="B960" t="s">
        <v>1300</v>
      </c>
      <c r="C960" t="s">
        <v>1407</v>
      </c>
      <c r="D960" t="s">
        <v>50</v>
      </c>
      <c r="E960" s="2" t="s">
        <v>1408</v>
      </c>
      <c r="F960">
        <f t="shared" si="42"/>
        <v>6</v>
      </c>
      <c r="G960" s="2">
        <f t="shared" si="43"/>
        <v>9860</v>
      </c>
    </row>
    <row r="961" spans="1:7" x14ac:dyDescent="0.25">
      <c r="A961" t="str">
        <f t="shared" si="44"/>
        <v>Peumo Población de 65 años o mas</v>
      </c>
      <c r="B961" t="s">
        <v>1300</v>
      </c>
      <c r="C961" t="s">
        <v>1407</v>
      </c>
      <c r="D961" t="s">
        <v>46</v>
      </c>
      <c r="E961" s="2" t="s">
        <v>1406</v>
      </c>
      <c r="F961">
        <f t="shared" si="42"/>
        <v>6</v>
      </c>
      <c r="G961" s="2">
        <f t="shared" si="43"/>
        <v>2514</v>
      </c>
    </row>
    <row r="962" spans="1:7" x14ac:dyDescent="0.25">
      <c r="A962" t="str">
        <f t="shared" si="44"/>
        <v>Pichilemu Hombre</v>
      </c>
      <c r="B962" t="s">
        <v>1300</v>
      </c>
      <c r="C962" t="s">
        <v>1401</v>
      </c>
      <c r="D962" t="s">
        <v>58</v>
      </c>
      <c r="E962" s="2" t="s">
        <v>1405</v>
      </c>
      <c r="F962">
        <f t="shared" ref="F962:F1025" si="45">+FIND(".",E962)</f>
        <v>6</v>
      </c>
      <c r="G962" s="2">
        <f t="shared" ref="G962:G1025" si="46">+LEFT(E962,(F962-1))*1</f>
        <v>9474</v>
      </c>
    </row>
    <row r="963" spans="1:7" x14ac:dyDescent="0.25">
      <c r="A963" t="str">
        <f t="shared" ref="A963:A1026" si="47">+C963&amp;D963</f>
        <v>Pichilemu Mujer</v>
      </c>
      <c r="B963" t="s">
        <v>1300</v>
      </c>
      <c r="C963" t="s">
        <v>1401</v>
      </c>
      <c r="D963" t="s">
        <v>56</v>
      </c>
      <c r="E963" s="2" t="s">
        <v>1404</v>
      </c>
      <c r="F963">
        <f t="shared" si="45"/>
        <v>6</v>
      </c>
      <c r="G963" s="2">
        <f t="shared" si="46"/>
        <v>9330</v>
      </c>
    </row>
    <row r="964" spans="1:7" x14ac:dyDescent="0.25">
      <c r="A964" t="str">
        <f t="shared" si="47"/>
        <v>Pichilemu Población total</v>
      </c>
      <c r="B964" t="s">
        <v>1300</v>
      </c>
      <c r="C964" t="s">
        <v>1401</v>
      </c>
      <c r="D964" t="s">
        <v>54</v>
      </c>
      <c r="E964" s="2" t="s">
        <v>1403</v>
      </c>
      <c r="F964">
        <f t="shared" si="45"/>
        <v>7</v>
      </c>
      <c r="G964" s="2">
        <f t="shared" si="46"/>
        <v>18804</v>
      </c>
    </row>
    <row r="965" spans="1:7" x14ac:dyDescent="0.25">
      <c r="A965" t="str">
        <f t="shared" si="47"/>
        <v>Pichilemu Población  de 0 a 14 años</v>
      </c>
      <c r="B965" t="s">
        <v>1300</v>
      </c>
      <c r="C965" t="s">
        <v>1401</v>
      </c>
      <c r="D965" t="s">
        <v>52</v>
      </c>
      <c r="E965" s="2" t="s">
        <v>576</v>
      </c>
      <c r="F965">
        <f t="shared" si="45"/>
        <v>6</v>
      </c>
      <c r="G965" s="2">
        <f t="shared" si="46"/>
        <v>3187</v>
      </c>
    </row>
    <row r="966" spans="1:7" x14ac:dyDescent="0.25">
      <c r="A966" t="str">
        <f t="shared" si="47"/>
        <v>Pichilemu Población  de 15 a 64 años</v>
      </c>
      <c r="B966" t="s">
        <v>1300</v>
      </c>
      <c r="C966" t="s">
        <v>1401</v>
      </c>
      <c r="D966" t="s">
        <v>50</v>
      </c>
      <c r="E966" s="2" t="s">
        <v>1402</v>
      </c>
      <c r="F966">
        <f t="shared" si="45"/>
        <v>7</v>
      </c>
      <c r="G966" s="2">
        <f t="shared" si="46"/>
        <v>12461</v>
      </c>
    </row>
    <row r="967" spans="1:7" x14ac:dyDescent="0.25">
      <c r="A967" t="str">
        <f t="shared" si="47"/>
        <v>Pichilemu Población de 65 años o mas</v>
      </c>
      <c r="B967" t="s">
        <v>1300</v>
      </c>
      <c r="C967" t="s">
        <v>1401</v>
      </c>
      <c r="D967" t="s">
        <v>46</v>
      </c>
      <c r="E967" s="2" t="s">
        <v>1400</v>
      </c>
      <c r="F967">
        <f t="shared" si="45"/>
        <v>6</v>
      </c>
      <c r="G967" s="2">
        <f t="shared" si="46"/>
        <v>3156</v>
      </c>
    </row>
    <row r="968" spans="1:7" x14ac:dyDescent="0.25">
      <c r="A968" t="str">
        <f t="shared" si="47"/>
        <v>Marchihue Hombre</v>
      </c>
      <c r="B968" t="s">
        <v>1300</v>
      </c>
      <c r="C968" t="s">
        <v>1394</v>
      </c>
      <c r="D968" t="s">
        <v>58</v>
      </c>
      <c r="E968" s="2" t="s">
        <v>1399</v>
      </c>
      <c r="F968">
        <f t="shared" si="45"/>
        <v>6</v>
      </c>
      <c r="G968" s="2">
        <f t="shared" si="46"/>
        <v>3881</v>
      </c>
    </row>
    <row r="969" spans="1:7" x14ac:dyDescent="0.25">
      <c r="A969" t="str">
        <f t="shared" si="47"/>
        <v>Marchihue Mujer</v>
      </c>
      <c r="B969" t="s">
        <v>1300</v>
      </c>
      <c r="C969" t="s">
        <v>1394</v>
      </c>
      <c r="D969" t="s">
        <v>56</v>
      </c>
      <c r="E969" s="2" t="s">
        <v>1398</v>
      </c>
      <c r="F969">
        <f t="shared" si="45"/>
        <v>6</v>
      </c>
      <c r="G969" s="2">
        <f t="shared" si="46"/>
        <v>3834</v>
      </c>
    </row>
    <row r="970" spans="1:7" x14ac:dyDescent="0.25">
      <c r="A970" t="str">
        <f t="shared" si="47"/>
        <v>Marchihue Población total</v>
      </c>
      <c r="B970" t="s">
        <v>1300</v>
      </c>
      <c r="C970" t="s">
        <v>1394</v>
      </c>
      <c r="D970" t="s">
        <v>54</v>
      </c>
      <c r="E970" s="2" t="s">
        <v>1397</v>
      </c>
      <c r="F970">
        <f t="shared" si="45"/>
        <v>6</v>
      </c>
      <c r="G970" s="2">
        <f t="shared" si="46"/>
        <v>7715</v>
      </c>
    </row>
    <row r="971" spans="1:7" x14ac:dyDescent="0.25">
      <c r="A971" t="str">
        <f t="shared" si="47"/>
        <v>Marchihue Población  de 0 a 14 años</v>
      </c>
      <c r="B971" t="s">
        <v>1300</v>
      </c>
      <c r="C971" t="s">
        <v>1394</v>
      </c>
      <c r="D971" t="s">
        <v>52</v>
      </c>
      <c r="E971" s="2" t="s">
        <v>1396</v>
      </c>
      <c r="F971">
        <f t="shared" si="45"/>
        <v>6</v>
      </c>
      <c r="G971" s="2">
        <f t="shared" si="46"/>
        <v>1183</v>
      </c>
    </row>
    <row r="972" spans="1:7" x14ac:dyDescent="0.25">
      <c r="A972" t="str">
        <f t="shared" si="47"/>
        <v>Marchihue Población  de 15 a 64 años</v>
      </c>
      <c r="B972" t="s">
        <v>1300</v>
      </c>
      <c r="C972" t="s">
        <v>1394</v>
      </c>
      <c r="D972" t="s">
        <v>50</v>
      </c>
      <c r="E972" s="2" t="s">
        <v>1395</v>
      </c>
      <c r="F972">
        <f t="shared" si="45"/>
        <v>6</v>
      </c>
      <c r="G972" s="2">
        <f t="shared" si="46"/>
        <v>4897</v>
      </c>
    </row>
    <row r="973" spans="1:7" x14ac:dyDescent="0.25">
      <c r="A973" t="str">
        <f t="shared" si="47"/>
        <v>Marchihue Población de 65 años o mas</v>
      </c>
      <c r="B973" t="s">
        <v>1300</v>
      </c>
      <c r="C973" t="s">
        <v>1394</v>
      </c>
      <c r="D973" t="s">
        <v>46</v>
      </c>
      <c r="E973" s="2" t="s">
        <v>1393</v>
      </c>
      <c r="F973">
        <f t="shared" si="45"/>
        <v>6</v>
      </c>
      <c r="G973" s="2">
        <f t="shared" si="46"/>
        <v>1635</v>
      </c>
    </row>
    <row r="974" spans="1:7" x14ac:dyDescent="0.25">
      <c r="A974" t="str">
        <f t="shared" si="47"/>
        <v>Rengo Hombre</v>
      </c>
      <c r="B974" t="s">
        <v>1300</v>
      </c>
      <c r="C974" t="s">
        <v>1387</v>
      </c>
      <c r="D974" t="s">
        <v>58</v>
      </c>
      <c r="E974" s="2" t="s">
        <v>1392</v>
      </c>
      <c r="F974">
        <f t="shared" si="45"/>
        <v>7</v>
      </c>
      <c r="G974" s="2">
        <f t="shared" si="46"/>
        <v>32753</v>
      </c>
    </row>
    <row r="975" spans="1:7" x14ac:dyDescent="0.25">
      <c r="A975" t="str">
        <f t="shared" si="47"/>
        <v>Rengo Mujer</v>
      </c>
      <c r="B975" t="s">
        <v>1300</v>
      </c>
      <c r="C975" t="s">
        <v>1387</v>
      </c>
      <c r="D975" t="s">
        <v>56</v>
      </c>
      <c r="E975" s="2" t="s">
        <v>1391</v>
      </c>
      <c r="F975">
        <f t="shared" si="45"/>
        <v>7</v>
      </c>
      <c r="G975" s="2">
        <f t="shared" si="46"/>
        <v>33033</v>
      </c>
    </row>
    <row r="976" spans="1:7" x14ac:dyDescent="0.25">
      <c r="A976" t="str">
        <f t="shared" si="47"/>
        <v>Rengo Población total</v>
      </c>
      <c r="B976" t="s">
        <v>1300</v>
      </c>
      <c r="C976" t="s">
        <v>1387</v>
      </c>
      <c r="D976" t="s">
        <v>54</v>
      </c>
      <c r="E976" s="2" t="s">
        <v>1390</v>
      </c>
      <c r="F976">
        <f t="shared" si="45"/>
        <v>7</v>
      </c>
      <c r="G976" s="2">
        <f t="shared" si="46"/>
        <v>65786</v>
      </c>
    </row>
    <row r="977" spans="1:7" x14ac:dyDescent="0.25">
      <c r="A977" t="str">
        <f t="shared" si="47"/>
        <v>Rengo Población  de 0 a 14 años</v>
      </c>
      <c r="B977" t="s">
        <v>1300</v>
      </c>
      <c r="C977" t="s">
        <v>1387</v>
      </c>
      <c r="D977" t="s">
        <v>52</v>
      </c>
      <c r="E977" s="2" t="s">
        <v>1389</v>
      </c>
      <c r="F977">
        <f t="shared" si="45"/>
        <v>7</v>
      </c>
      <c r="G977" s="2">
        <f t="shared" si="46"/>
        <v>12518</v>
      </c>
    </row>
    <row r="978" spans="1:7" x14ac:dyDescent="0.25">
      <c r="A978" t="str">
        <f t="shared" si="47"/>
        <v>Rengo Población  de 15 a 64 años</v>
      </c>
      <c r="B978" t="s">
        <v>1300</v>
      </c>
      <c r="C978" t="s">
        <v>1387</v>
      </c>
      <c r="D978" t="s">
        <v>50</v>
      </c>
      <c r="E978" s="2" t="s">
        <v>1388</v>
      </c>
      <c r="F978">
        <f t="shared" si="45"/>
        <v>7</v>
      </c>
      <c r="G978" s="2">
        <f t="shared" si="46"/>
        <v>43441</v>
      </c>
    </row>
    <row r="979" spans="1:7" x14ac:dyDescent="0.25">
      <c r="A979" t="str">
        <f t="shared" si="47"/>
        <v>Rengo Población de 65 años o mas</v>
      </c>
      <c r="B979" t="s">
        <v>1300</v>
      </c>
      <c r="C979" t="s">
        <v>1387</v>
      </c>
      <c r="D979" t="s">
        <v>46</v>
      </c>
      <c r="E979" s="2" t="s">
        <v>1386</v>
      </c>
      <c r="F979">
        <f t="shared" si="45"/>
        <v>6</v>
      </c>
      <c r="G979" s="2">
        <f t="shared" si="46"/>
        <v>9827</v>
      </c>
    </row>
    <row r="980" spans="1:7" x14ac:dyDescent="0.25">
      <c r="A980" t="str">
        <f t="shared" si="47"/>
        <v>San Vicente Hombre</v>
      </c>
      <c r="B980" t="s">
        <v>1300</v>
      </c>
      <c r="C980" t="s">
        <v>1380</v>
      </c>
      <c r="D980" t="s">
        <v>58</v>
      </c>
      <c r="E980" s="2" t="s">
        <v>1385</v>
      </c>
      <c r="F980">
        <f t="shared" si="45"/>
        <v>7</v>
      </c>
      <c r="G980" s="2">
        <f t="shared" si="46"/>
        <v>26190</v>
      </c>
    </row>
    <row r="981" spans="1:7" x14ac:dyDescent="0.25">
      <c r="A981" t="str">
        <f t="shared" si="47"/>
        <v>San Vicente Mujer</v>
      </c>
      <c r="B981" t="s">
        <v>1300</v>
      </c>
      <c r="C981" t="s">
        <v>1380</v>
      </c>
      <c r="D981" t="s">
        <v>56</v>
      </c>
      <c r="E981" s="2" t="s">
        <v>1384</v>
      </c>
      <c r="F981">
        <f t="shared" si="45"/>
        <v>7</v>
      </c>
      <c r="G981" s="2">
        <f t="shared" si="46"/>
        <v>26099</v>
      </c>
    </row>
    <row r="982" spans="1:7" x14ac:dyDescent="0.25">
      <c r="A982" t="str">
        <f t="shared" si="47"/>
        <v>San Vicente Población total</v>
      </c>
      <c r="B982" t="s">
        <v>1300</v>
      </c>
      <c r="C982" t="s">
        <v>1380</v>
      </c>
      <c r="D982" t="s">
        <v>54</v>
      </c>
      <c r="E982" s="2" t="s">
        <v>1383</v>
      </c>
      <c r="F982">
        <f t="shared" si="45"/>
        <v>7</v>
      </c>
      <c r="G982" s="2">
        <f t="shared" si="46"/>
        <v>52289</v>
      </c>
    </row>
    <row r="983" spans="1:7" x14ac:dyDescent="0.25">
      <c r="A983" t="str">
        <f t="shared" si="47"/>
        <v>San Vicente Población  de 0 a 14 años</v>
      </c>
      <c r="B983" t="s">
        <v>1300</v>
      </c>
      <c r="C983" t="s">
        <v>1380</v>
      </c>
      <c r="D983" t="s">
        <v>52</v>
      </c>
      <c r="E983" s="2" t="s">
        <v>1382</v>
      </c>
      <c r="F983">
        <f t="shared" si="45"/>
        <v>6</v>
      </c>
      <c r="G983" s="2">
        <f t="shared" si="46"/>
        <v>9131</v>
      </c>
    </row>
    <row r="984" spans="1:7" x14ac:dyDescent="0.25">
      <c r="A984" t="str">
        <f t="shared" si="47"/>
        <v>San Vicente Población  de 15 a 64 años</v>
      </c>
      <c r="B984" t="s">
        <v>1300</v>
      </c>
      <c r="C984" t="s">
        <v>1380</v>
      </c>
      <c r="D984" t="s">
        <v>50</v>
      </c>
      <c r="E984" s="2" t="s">
        <v>1381</v>
      </c>
      <c r="F984">
        <f t="shared" si="45"/>
        <v>7</v>
      </c>
      <c r="G984" s="2">
        <f t="shared" si="46"/>
        <v>34101</v>
      </c>
    </row>
    <row r="985" spans="1:7" x14ac:dyDescent="0.25">
      <c r="A985" t="str">
        <f t="shared" si="47"/>
        <v>San Vicente Población de 65 años o mas</v>
      </c>
      <c r="B985" t="s">
        <v>1300</v>
      </c>
      <c r="C985" t="s">
        <v>1380</v>
      </c>
      <c r="D985" t="s">
        <v>46</v>
      </c>
      <c r="E985" s="2" t="s">
        <v>1379</v>
      </c>
      <c r="F985">
        <f t="shared" si="45"/>
        <v>6</v>
      </c>
      <c r="G985" s="2">
        <f t="shared" si="46"/>
        <v>9057</v>
      </c>
    </row>
    <row r="986" spans="1:7" x14ac:dyDescent="0.25">
      <c r="A986" t="str">
        <f t="shared" si="47"/>
        <v>Malloa Hombre</v>
      </c>
      <c r="B986" t="s">
        <v>1300</v>
      </c>
      <c r="C986" t="s">
        <v>1373</v>
      </c>
      <c r="D986" t="s">
        <v>58</v>
      </c>
      <c r="E986" s="2" t="s">
        <v>1378</v>
      </c>
      <c r="F986">
        <f t="shared" si="45"/>
        <v>6</v>
      </c>
      <c r="G986" s="2">
        <f t="shared" si="46"/>
        <v>7213</v>
      </c>
    </row>
    <row r="987" spans="1:7" x14ac:dyDescent="0.25">
      <c r="A987" t="str">
        <f t="shared" si="47"/>
        <v>Malloa Mujer</v>
      </c>
      <c r="B987" t="s">
        <v>1300</v>
      </c>
      <c r="C987" t="s">
        <v>1373</v>
      </c>
      <c r="D987" t="s">
        <v>56</v>
      </c>
      <c r="E987" s="2" t="s">
        <v>1377</v>
      </c>
      <c r="F987">
        <f t="shared" si="45"/>
        <v>6</v>
      </c>
      <c r="G987" s="2">
        <f t="shared" si="46"/>
        <v>7087</v>
      </c>
    </row>
    <row r="988" spans="1:7" x14ac:dyDescent="0.25">
      <c r="A988" t="str">
        <f t="shared" si="47"/>
        <v>Malloa Población total</v>
      </c>
      <c r="B988" t="s">
        <v>1300</v>
      </c>
      <c r="C988" t="s">
        <v>1373</v>
      </c>
      <c r="D988" t="s">
        <v>54</v>
      </c>
      <c r="E988" s="2" t="s">
        <v>1376</v>
      </c>
      <c r="F988">
        <f t="shared" si="45"/>
        <v>7</v>
      </c>
      <c r="G988" s="2">
        <f t="shared" si="46"/>
        <v>14300</v>
      </c>
    </row>
    <row r="989" spans="1:7" x14ac:dyDescent="0.25">
      <c r="A989" t="str">
        <f t="shared" si="47"/>
        <v>Malloa Población  de 0 a 14 años</v>
      </c>
      <c r="B989" t="s">
        <v>1300</v>
      </c>
      <c r="C989" t="s">
        <v>1373</v>
      </c>
      <c r="D989" t="s">
        <v>52</v>
      </c>
      <c r="E989" s="2" t="s">
        <v>1375</v>
      </c>
      <c r="F989">
        <f t="shared" si="45"/>
        <v>6</v>
      </c>
      <c r="G989" s="2">
        <f t="shared" si="46"/>
        <v>2406</v>
      </c>
    </row>
    <row r="990" spans="1:7" x14ac:dyDescent="0.25">
      <c r="A990" t="str">
        <f t="shared" si="47"/>
        <v>Malloa Población  de 15 a 64 años</v>
      </c>
      <c r="B990" t="s">
        <v>1300</v>
      </c>
      <c r="C990" t="s">
        <v>1373</v>
      </c>
      <c r="D990" t="s">
        <v>50</v>
      </c>
      <c r="E990" s="2" t="s">
        <v>1374</v>
      </c>
      <c r="F990">
        <f t="shared" si="45"/>
        <v>6</v>
      </c>
      <c r="G990" s="2">
        <f t="shared" si="46"/>
        <v>9386</v>
      </c>
    </row>
    <row r="991" spans="1:7" x14ac:dyDescent="0.25">
      <c r="A991" t="str">
        <f t="shared" si="47"/>
        <v>Malloa Población de 65 años o mas</v>
      </c>
      <c r="B991" t="s">
        <v>1300</v>
      </c>
      <c r="C991" t="s">
        <v>1373</v>
      </c>
      <c r="D991" t="s">
        <v>46</v>
      </c>
      <c r="E991" s="2" t="s">
        <v>1372</v>
      </c>
      <c r="F991">
        <f t="shared" si="45"/>
        <v>6</v>
      </c>
      <c r="G991" s="2">
        <f t="shared" si="46"/>
        <v>2508</v>
      </c>
    </row>
    <row r="992" spans="1:7" x14ac:dyDescent="0.25">
      <c r="A992" t="str">
        <f t="shared" si="47"/>
        <v>Peralillo Hombre</v>
      </c>
      <c r="B992" t="s">
        <v>1300</v>
      </c>
      <c r="C992" t="s">
        <v>1366</v>
      </c>
      <c r="D992" t="s">
        <v>58</v>
      </c>
      <c r="E992" s="2" t="s">
        <v>1371</v>
      </c>
      <c r="F992">
        <f t="shared" si="45"/>
        <v>6</v>
      </c>
      <c r="G992" s="2">
        <f t="shared" si="46"/>
        <v>6109</v>
      </c>
    </row>
    <row r="993" spans="1:7" x14ac:dyDescent="0.25">
      <c r="A993" t="str">
        <f t="shared" si="47"/>
        <v>Peralillo Mujer</v>
      </c>
      <c r="B993" t="s">
        <v>1300</v>
      </c>
      <c r="C993" t="s">
        <v>1366</v>
      </c>
      <c r="D993" t="s">
        <v>56</v>
      </c>
      <c r="E993" s="2" t="s">
        <v>1370</v>
      </c>
      <c r="F993">
        <f t="shared" si="45"/>
        <v>6</v>
      </c>
      <c r="G993" s="2">
        <f t="shared" si="46"/>
        <v>6065</v>
      </c>
    </row>
    <row r="994" spans="1:7" x14ac:dyDescent="0.25">
      <c r="A994" t="str">
        <f t="shared" si="47"/>
        <v>Peralillo Población total</v>
      </c>
      <c r="B994" t="s">
        <v>1300</v>
      </c>
      <c r="C994" t="s">
        <v>1366</v>
      </c>
      <c r="D994" t="s">
        <v>54</v>
      </c>
      <c r="E994" s="2" t="s">
        <v>1369</v>
      </c>
      <c r="F994">
        <f t="shared" si="45"/>
        <v>7</v>
      </c>
      <c r="G994" s="2">
        <f t="shared" si="46"/>
        <v>12174</v>
      </c>
    </row>
    <row r="995" spans="1:7" x14ac:dyDescent="0.25">
      <c r="A995" t="str">
        <f t="shared" si="47"/>
        <v>Peralillo Población  de 0 a 14 años</v>
      </c>
      <c r="B995" t="s">
        <v>1300</v>
      </c>
      <c r="C995" t="s">
        <v>1366</v>
      </c>
      <c r="D995" t="s">
        <v>52</v>
      </c>
      <c r="E995" s="2" t="s">
        <v>1368</v>
      </c>
      <c r="F995">
        <f t="shared" si="45"/>
        <v>6</v>
      </c>
      <c r="G995" s="2">
        <f t="shared" si="46"/>
        <v>1996</v>
      </c>
    </row>
    <row r="996" spans="1:7" x14ac:dyDescent="0.25">
      <c r="A996" t="str">
        <f t="shared" si="47"/>
        <v>Peralillo Población  de 15 a 64 años</v>
      </c>
      <c r="B996" t="s">
        <v>1300</v>
      </c>
      <c r="C996" t="s">
        <v>1366</v>
      </c>
      <c r="D996" t="s">
        <v>50</v>
      </c>
      <c r="E996" s="2" t="s">
        <v>1367</v>
      </c>
      <c r="F996">
        <f t="shared" si="45"/>
        <v>6</v>
      </c>
      <c r="G996" s="2">
        <f t="shared" si="46"/>
        <v>7924</v>
      </c>
    </row>
    <row r="997" spans="1:7" x14ac:dyDescent="0.25">
      <c r="A997" t="str">
        <f t="shared" si="47"/>
        <v>Peralillo Población de 65 años o mas</v>
      </c>
      <c r="B997" t="s">
        <v>1300</v>
      </c>
      <c r="C997" t="s">
        <v>1366</v>
      </c>
      <c r="D997" t="s">
        <v>46</v>
      </c>
      <c r="E997" s="2" t="s">
        <v>1365</v>
      </c>
      <c r="F997">
        <f t="shared" si="45"/>
        <v>6</v>
      </c>
      <c r="G997" s="2">
        <f t="shared" si="46"/>
        <v>2254</v>
      </c>
    </row>
    <row r="998" spans="1:7" x14ac:dyDescent="0.25">
      <c r="A998" t="str">
        <f t="shared" si="47"/>
        <v>Palmilla Hombre</v>
      </c>
      <c r="B998" t="s">
        <v>1300</v>
      </c>
      <c r="C998" t="s">
        <v>1359</v>
      </c>
      <c r="D998" t="s">
        <v>58</v>
      </c>
      <c r="E998" s="2" t="s">
        <v>1364</v>
      </c>
      <c r="F998">
        <f t="shared" si="45"/>
        <v>6</v>
      </c>
      <c r="G998" s="2">
        <f t="shared" si="46"/>
        <v>6850</v>
      </c>
    </row>
    <row r="999" spans="1:7" x14ac:dyDescent="0.25">
      <c r="A999" t="str">
        <f t="shared" si="47"/>
        <v>Palmilla Mujer</v>
      </c>
      <c r="B999" t="s">
        <v>1300</v>
      </c>
      <c r="C999" t="s">
        <v>1359</v>
      </c>
      <c r="D999" t="s">
        <v>56</v>
      </c>
      <c r="E999" s="2" t="s">
        <v>1363</v>
      </c>
      <c r="F999">
        <f t="shared" si="45"/>
        <v>6</v>
      </c>
      <c r="G999" s="2">
        <f t="shared" si="46"/>
        <v>6747</v>
      </c>
    </row>
    <row r="1000" spans="1:7" x14ac:dyDescent="0.25">
      <c r="A1000" t="str">
        <f t="shared" si="47"/>
        <v>Palmilla Población total</v>
      </c>
      <c r="B1000" t="s">
        <v>1300</v>
      </c>
      <c r="C1000" t="s">
        <v>1359</v>
      </c>
      <c r="D1000" t="s">
        <v>54</v>
      </c>
      <c r="E1000" s="2" t="s">
        <v>1362</v>
      </c>
      <c r="F1000">
        <f t="shared" si="45"/>
        <v>7</v>
      </c>
      <c r="G1000" s="2">
        <f t="shared" si="46"/>
        <v>13597</v>
      </c>
    </row>
    <row r="1001" spans="1:7" x14ac:dyDescent="0.25">
      <c r="A1001" t="str">
        <f t="shared" si="47"/>
        <v>Palmilla Población  de 0 a 14 años</v>
      </c>
      <c r="B1001" t="s">
        <v>1300</v>
      </c>
      <c r="C1001" t="s">
        <v>1359</v>
      </c>
      <c r="D1001" t="s">
        <v>52</v>
      </c>
      <c r="E1001" s="2" t="s">
        <v>1361</v>
      </c>
      <c r="F1001">
        <f t="shared" si="45"/>
        <v>6</v>
      </c>
      <c r="G1001" s="2">
        <f t="shared" si="46"/>
        <v>2239</v>
      </c>
    </row>
    <row r="1002" spans="1:7" x14ac:dyDescent="0.25">
      <c r="A1002" t="str">
        <f t="shared" si="47"/>
        <v>Palmilla Población  de 15 a 64 años</v>
      </c>
      <c r="B1002" t="s">
        <v>1300</v>
      </c>
      <c r="C1002" t="s">
        <v>1359</v>
      </c>
      <c r="D1002" t="s">
        <v>50</v>
      </c>
      <c r="E1002" s="2" t="s">
        <v>1360</v>
      </c>
      <c r="F1002">
        <f t="shared" si="45"/>
        <v>6</v>
      </c>
      <c r="G1002" s="2">
        <f t="shared" si="46"/>
        <v>9122</v>
      </c>
    </row>
    <row r="1003" spans="1:7" x14ac:dyDescent="0.25">
      <c r="A1003" t="str">
        <f t="shared" si="47"/>
        <v>Palmilla Población de 65 años o mas</v>
      </c>
      <c r="B1003" t="s">
        <v>1300</v>
      </c>
      <c r="C1003" t="s">
        <v>1359</v>
      </c>
      <c r="D1003" t="s">
        <v>46</v>
      </c>
      <c r="E1003" s="2" t="s">
        <v>1347</v>
      </c>
      <c r="F1003">
        <f t="shared" si="45"/>
        <v>6</v>
      </c>
      <c r="G1003" s="2">
        <f t="shared" si="46"/>
        <v>2236</v>
      </c>
    </row>
    <row r="1004" spans="1:7" x14ac:dyDescent="0.25">
      <c r="A1004" t="str">
        <f t="shared" si="47"/>
        <v>San Fernando Hombre</v>
      </c>
      <c r="B1004" t="s">
        <v>1300</v>
      </c>
      <c r="C1004" t="s">
        <v>1353</v>
      </c>
      <c r="D1004" t="s">
        <v>58</v>
      </c>
      <c r="E1004" s="2" t="s">
        <v>1358</v>
      </c>
      <c r="F1004">
        <f t="shared" si="45"/>
        <v>7</v>
      </c>
      <c r="G1004" s="2">
        <f t="shared" si="46"/>
        <v>40162</v>
      </c>
    </row>
    <row r="1005" spans="1:7" x14ac:dyDescent="0.25">
      <c r="A1005" t="str">
        <f t="shared" si="47"/>
        <v>San Fernando Mujer</v>
      </c>
      <c r="B1005" t="s">
        <v>1300</v>
      </c>
      <c r="C1005" t="s">
        <v>1353</v>
      </c>
      <c r="D1005" t="s">
        <v>56</v>
      </c>
      <c r="E1005" s="2" t="s">
        <v>1357</v>
      </c>
      <c r="F1005">
        <f t="shared" si="45"/>
        <v>7</v>
      </c>
      <c r="G1005" s="2">
        <f t="shared" si="46"/>
        <v>40955</v>
      </c>
    </row>
    <row r="1006" spans="1:7" x14ac:dyDescent="0.25">
      <c r="A1006" t="str">
        <f t="shared" si="47"/>
        <v>San Fernando Población total</v>
      </c>
      <c r="B1006" t="s">
        <v>1300</v>
      </c>
      <c r="C1006" t="s">
        <v>1353</v>
      </c>
      <c r="D1006" t="s">
        <v>54</v>
      </c>
      <c r="E1006" s="2" t="s">
        <v>1356</v>
      </c>
      <c r="F1006">
        <f t="shared" si="45"/>
        <v>7</v>
      </c>
      <c r="G1006" s="2">
        <f t="shared" si="46"/>
        <v>81117</v>
      </c>
    </row>
    <row r="1007" spans="1:7" x14ac:dyDescent="0.25">
      <c r="A1007" t="str">
        <f t="shared" si="47"/>
        <v>San Fernando Población  de 0 a 14 años</v>
      </c>
      <c r="B1007" t="s">
        <v>1300</v>
      </c>
      <c r="C1007" t="s">
        <v>1353</v>
      </c>
      <c r="D1007" t="s">
        <v>52</v>
      </c>
      <c r="E1007" s="2" t="s">
        <v>1355</v>
      </c>
      <c r="F1007">
        <f t="shared" si="45"/>
        <v>7</v>
      </c>
      <c r="G1007" s="2">
        <f t="shared" si="46"/>
        <v>15469</v>
      </c>
    </row>
    <row r="1008" spans="1:7" x14ac:dyDescent="0.25">
      <c r="A1008" t="str">
        <f t="shared" si="47"/>
        <v>San Fernando Población  de 15 a 64 años</v>
      </c>
      <c r="B1008" t="s">
        <v>1300</v>
      </c>
      <c r="C1008" t="s">
        <v>1353</v>
      </c>
      <c r="D1008" t="s">
        <v>50</v>
      </c>
      <c r="E1008" s="2" t="s">
        <v>1354</v>
      </c>
      <c r="F1008">
        <f t="shared" si="45"/>
        <v>7</v>
      </c>
      <c r="G1008" s="2">
        <f t="shared" si="46"/>
        <v>53291</v>
      </c>
    </row>
    <row r="1009" spans="1:7" x14ac:dyDescent="0.25">
      <c r="A1009" t="str">
        <f t="shared" si="47"/>
        <v>San Fernando Población de 65 años o mas</v>
      </c>
      <c r="B1009" t="s">
        <v>1300</v>
      </c>
      <c r="C1009" t="s">
        <v>1353</v>
      </c>
      <c r="D1009" t="s">
        <v>46</v>
      </c>
      <c r="E1009" s="2" t="s">
        <v>1352</v>
      </c>
      <c r="F1009">
        <f t="shared" si="45"/>
        <v>7</v>
      </c>
      <c r="G1009" s="2">
        <f t="shared" si="46"/>
        <v>12357</v>
      </c>
    </row>
    <row r="1010" spans="1:7" x14ac:dyDescent="0.25">
      <c r="A1010" t="str">
        <f t="shared" si="47"/>
        <v>Pumanque Hombre</v>
      </c>
      <c r="B1010" t="s">
        <v>1300</v>
      </c>
      <c r="C1010" t="s">
        <v>1346</v>
      </c>
      <c r="D1010" t="s">
        <v>58</v>
      </c>
      <c r="E1010" s="2" t="s">
        <v>1351</v>
      </c>
      <c r="F1010">
        <f t="shared" si="45"/>
        <v>6</v>
      </c>
      <c r="G1010" s="2">
        <f t="shared" si="46"/>
        <v>1782</v>
      </c>
    </row>
    <row r="1011" spans="1:7" x14ac:dyDescent="0.25">
      <c r="A1011" t="str">
        <f t="shared" si="47"/>
        <v>Pumanque Mujer</v>
      </c>
      <c r="B1011" t="s">
        <v>1300</v>
      </c>
      <c r="C1011" t="s">
        <v>1346</v>
      </c>
      <c r="D1011" t="s">
        <v>56</v>
      </c>
      <c r="E1011" s="2" t="s">
        <v>1350</v>
      </c>
      <c r="F1011">
        <f t="shared" si="45"/>
        <v>6</v>
      </c>
      <c r="G1011" s="2">
        <f t="shared" si="46"/>
        <v>1734</v>
      </c>
    </row>
    <row r="1012" spans="1:7" x14ac:dyDescent="0.25">
      <c r="A1012" t="str">
        <f t="shared" si="47"/>
        <v>Pumanque Población total</v>
      </c>
      <c r="B1012" t="s">
        <v>1300</v>
      </c>
      <c r="C1012" t="s">
        <v>1346</v>
      </c>
      <c r="D1012" t="s">
        <v>54</v>
      </c>
      <c r="E1012" s="2" t="s">
        <v>1349</v>
      </c>
      <c r="F1012">
        <f t="shared" si="45"/>
        <v>6</v>
      </c>
      <c r="G1012" s="2">
        <f t="shared" si="46"/>
        <v>3516</v>
      </c>
    </row>
    <row r="1013" spans="1:7" x14ac:dyDescent="0.25">
      <c r="A1013" t="str">
        <f t="shared" si="47"/>
        <v>Pumanque Población  de 0 a 14 años</v>
      </c>
      <c r="B1013" t="s">
        <v>1300</v>
      </c>
      <c r="C1013" t="s">
        <v>1346</v>
      </c>
      <c r="D1013" t="s">
        <v>52</v>
      </c>
      <c r="E1013" s="2" t="s">
        <v>1348</v>
      </c>
      <c r="F1013">
        <f t="shared" si="45"/>
        <v>5</v>
      </c>
      <c r="G1013" s="2">
        <f t="shared" si="46"/>
        <v>415</v>
      </c>
    </row>
    <row r="1014" spans="1:7" x14ac:dyDescent="0.25">
      <c r="A1014" t="str">
        <f t="shared" si="47"/>
        <v>Pumanque Población  de 15 a 64 años</v>
      </c>
      <c r="B1014" t="s">
        <v>1300</v>
      </c>
      <c r="C1014" t="s">
        <v>1346</v>
      </c>
      <c r="D1014" t="s">
        <v>50</v>
      </c>
      <c r="E1014" s="2" t="s">
        <v>1347</v>
      </c>
      <c r="F1014">
        <f t="shared" si="45"/>
        <v>6</v>
      </c>
      <c r="G1014" s="2">
        <f t="shared" si="46"/>
        <v>2236</v>
      </c>
    </row>
    <row r="1015" spans="1:7" x14ac:dyDescent="0.25">
      <c r="A1015" t="str">
        <f t="shared" si="47"/>
        <v>Pumanque Población de 65 años o mas</v>
      </c>
      <c r="B1015" t="s">
        <v>1300</v>
      </c>
      <c r="C1015" t="s">
        <v>1346</v>
      </c>
      <c r="D1015" t="s">
        <v>46</v>
      </c>
      <c r="E1015" s="2" t="s">
        <v>1345</v>
      </c>
      <c r="F1015">
        <f t="shared" si="45"/>
        <v>5</v>
      </c>
      <c r="G1015" s="2">
        <f t="shared" si="46"/>
        <v>865</v>
      </c>
    </row>
    <row r="1016" spans="1:7" x14ac:dyDescent="0.25">
      <c r="A1016" t="str">
        <f t="shared" si="47"/>
        <v>Placilla Hombre</v>
      </c>
      <c r="B1016" t="s">
        <v>1300</v>
      </c>
      <c r="C1016" t="s">
        <v>1341</v>
      </c>
      <c r="D1016" t="s">
        <v>58</v>
      </c>
      <c r="E1016" s="2" t="s">
        <v>398</v>
      </c>
      <c r="F1016">
        <f t="shared" si="45"/>
        <v>6</v>
      </c>
      <c r="G1016" s="2">
        <f t="shared" si="46"/>
        <v>4670</v>
      </c>
    </row>
    <row r="1017" spans="1:7" x14ac:dyDescent="0.25">
      <c r="A1017" t="str">
        <f t="shared" si="47"/>
        <v>Placilla Mujer</v>
      </c>
      <c r="B1017" t="s">
        <v>1300</v>
      </c>
      <c r="C1017" t="s">
        <v>1341</v>
      </c>
      <c r="D1017" t="s">
        <v>56</v>
      </c>
      <c r="E1017" s="2" t="s">
        <v>1344</v>
      </c>
      <c r="F1017">
        <f t="shared" si="45"/>
        <v>6</v>
      </c>
      <c r="G1017" s="2">
        <f t="shared" si="46"/>
        <v>4611</v>
      </c>
    </row>
    <row r="1018" spans="1:7" x14ac:dyDescent="0.25">
      <c r="A1018" t="str">
        <f t="shared" si="47"/>
        <v>Placilla Población total</v>
      </c>
      <c r="B1018" t="s">
        <v>1300</v>
      </c>
      <c r="C1018" t="s">
        <v>1341</v>
      </c>
      <c r="D1018" t="s">
        <v>54</v>
      </c>
      <c r="E1018" s="2" t="s">
        <v>1343</v>
      </c>
      <c r="F1018">
        <f t="shared" si="45"/>
        <v>6</v>
      </c>
      <c r="G1018" s="2">
        <f t="shared" si="46"/>
        <v>9281</v>
      </c>
    </row>
    <row r="1019" spans="1:7" x14ac:dyDescent="0.25">
      <c r="A1019" t="str">
        <f t="shared" si="47"/>
        <v>Placilla Población  de 0 a 14 años</v>
      </c>
      <c r="B1019" t="s">
        <v>1300</v>
      </c>
      <c r="C1019" t="s">
        <v>1341</v>
      </c>
      <c r="D1019" t="s">
        <v>52</v>
      </c>
      <c r="E1019" s="2" t="s">
        <v>1342</v>
      </c>
      <c r="F1019">
        <f t="shared" si="45"/>
        <v>6</v>
      </c>
      <c r="G1019" s="2">
        <f t="shared" si="46"/>
        <v>1570</v>
      </c>
    </row>
    <row r="1020" spans="1:7" x14ac:dyDescent="0.25">
      <c r="A1020" t="str">
        <f t="shared" si="47"/>
        <v>Placilla Población  de 15 a 64 años</v>
      </c>
      <c r="B1020" t="s">
        <v>1300</v>
      </c>
      <c r="C1020" t="s">
        <v>1341</v>
      </c>
      <c r="D1020" t="s">
        <v>50</v>
      </c>
      <c r="E1020" s="2" t="s">
        <v>1180</v>
      </c>
      <c r="F1020">
        <f t="shared" si="45"/>
        <v>6</v>
      </c>
      <c r="G1020" s="2">
        <f t="shared" si="46"/>
        <v>6087</v>
      </c>
    </row>
    <row r="1021" spans="1:7" x14ac:dyDescent="0.25">
      <c r="A1021" t="str">
        <f t="shared" si="47"/>
        <v>Placilla Población de 65 años o mas</v>
      </c>
      <c r="B1021" t="s">
        <v>1300</v>
      </c>
      <c r="C1021" t="s">
        <v>1341</v>
      </c>
      <c r="D1021" t="s">
        <v>46</v>
      </c>
      <c r="E1021" s="2" t="s">
        <v>1340</v>
      </c>
      <c r="F1021">
        <f t="shared" si="45"/>
        <v>6</v>
      </c>
      <c r="G1021" s="2">
        <f t="shared" si="46"/>
        <v>1624</v>
      </c>
    </row>
    <row r="1022" spans="1:7" x14ac:dyDescent="0.25">
      <c r="A1022" t="str">
        <f t="shared" si="47"/>
        <v>Santa Cruz Hombre</v>
      </c>
      <c r="B1022" t="s">
        <v>1300</v>
      </c>
      <c r="C1022" t="s">
        <v>1334</v>
      </c>
      <c r="D1022" t="s">
        <v>58</v>
      </c>
      <c r="E1022" s="2" t="s">
        <v>1339</v>
      </c>
      <c r="F1022">
        <f t="shared" si="45"/>
        <v>7</v>
      </c>
      <c r="G1022" s="2">
        <f t="shared" si="46"/>
        <v>21157</v>
      </c>
    </row>
    <row r="1023" spans="1:7" x14ac:dyDescent="0.25">
      <c r="A1023" t="str">
        <f t="shared" si="47"/>
        <v>Santa Cruz Mujer</v>
      </c>
      <c r="B1023" t="s">
        <v>1300</v>
      </c>
      <c r="C1023" t="s">
        <v>1334</v>
      </c>
      <c r="D1023" t="s">
        <v>56</v>
      </c>
      <c r="E1023" s="2" t="s">
        <v>1338</v>
      </c>
      <c r="F1023">
        <f t="shared" si="45"/>
        <v>7</v>
      </c>
      <c r="G1023" s="2">
        <f t="shared" si="46"/>
        <v>21425</v>
      </c>
    </row>
    <row r="1024" spans="1:7" x14ac:dyDescent="0.25">
      <c r="A1024" t="str">
        <f t="shared" si="47"/>
        <v>Santa Cruz Población total</v>
      </c>
      <c r="B1024" t="s">
        <v>1300</v>
      </c>
      <c r="C1024" t="s">
        <v>1334</v>
      </c>
      <c r="D1024" t="s">
        <v>54</v>
      </c>
      <c r="E1024" s="2" t="s">
        <v>1337</v>
      </c>
      <c r="F1024">
        <f t="shared" si="45"/>
        <v>7</v>
      </c>
      <c r="G1024" s="2">
        <f t="shared" si="46"/>
        <v>42582</v>
      </c>
    </row>
    <row r="1025" spans="1:7" x14ac:dyDescent="0.25">
      <c r="A1025" t="str">
        <f t="shared" si="47"/>
        <v>Santa Cruz Población  de 0 a 14 años</v>
      </c>
      <c r="B1025" t="s">
        <v>1300</v>
      </c>
      <c r="C1025" t="s">
        <v>1334</v>
      </c>
      <c r="D1025" t="s">
        <v>52</v>
      </c>
      <c r="E1025" s="2" t="s">
        <v>1336</v>
      </c>
      <c r="F1025">
        <f t="shared" si="45"/>
        <v>6</v>
      </c>
      <c r="G1025" s="2">
        <f t="shared" si="46"/>
        <v>7513</v>
      </c>
    </row>
    <row r="1026" spans="1:7" x14ac:dyDescent="0.25">
      <c r="A1026" t="str">
        <f t="shared" si="47"/>
        <v>Santa Cruz Población  de 15 a 64 años</v>
      </c>
      <c r="B1026" t="s">
        <v>1300</v>
      </c>
      <c r="C1026" t="s">
        <v>1334</v>
      </c>
      <c r="D1026" t="s">
        <v>50</v>
      </c>
      <c r="E1026" s="2" t="s">
        <v>1335</v>
      </c>
      <c r="F1026">
        <f t="shared" ref="F1026:F1089" si="48">+FIND(".",E1026)</f>
        <v>7</v>
      </c>
      <c r="G1026" s="2">
        <f t="shared" ref="G1026:G1089" si="49">+LEFT(E1026,(F1026-1))*1</f>
        <v>28018</v>
      </c>
    </row>
    <row r="1027" spans="1:7" x14ac:dyDescent="0.25">
      <c r="A1027" t="str">
        <f t="shared" ref="A1027:A1090" si="50">+C1027&amp;D1027</f>
        <v>Santa Cruz Población de 65 años o mas</v>
      </c>
      <c r="B1027" t="s">
        <v>1300</v>
      </c>
      <c r="C1027" t="s">
        <v>1334</v>
      </c>
      <c r="D1027" t="s">
        <v>46</v>
      </c>
      <c r="E1027" s="2" t="s">
        <v>1333</v>
      </c>
      <c r="F1027">
        <f t="shared" si="48"/>
        <v>6</v>
      </c>
      <c r="G1027" s="2">
        <f t="shared" si="49"/>
        <v>7051</v>
      </c>
    </row>
    <row r="1028" spans="1:7" x14ac:dyDescent="0.25">
      <c r="A1028" t="str">
        <f t="shared" si="50"/>
        <v>Paredones Hombre</v>
      </c>
      <c r="B1028" t="s">
        <v>1300</v>
      </c>
      <c r="C1028" t="s">
        <v>1328</v>
      </c>
      <c r="D1028" t="s">
        <v>58</v>
      </c>
      <c r="E1028" s="2" t="s">
        <v>576</v>
      </c>
      <c r="F1028">
        <f t="shared" si="48"/>
        <v>6</v>
      </c>
      <c r="G1028" s="2">
        <f t="shared" si="49"/>
        <v>3187</v>
      </c>
    </row>
    <row r="1029" spans="1:7" x14ac:dyDescent="0.25">
      <c r="A1029" t="str">
        <f t="shared" si="50"/>
        <v>Paredones Mujer</v>
      </c>
      <c r="B1029" t="s">
        <v>1300</v>
      </c>
      <c r="C1029" t="s">
        <v>1328</v>
      </c>
      <c r="D1029" t="s">
        <v>56</v>
      </c>
      <c r="E1029" s="2" t="s">
        <v>1332</v>
      </c>
      <c r="F1029">
        <f t="shared" si="48"/>
        <v>6</v>
      </c>
      <c r="G1029" s="2">
        <f t="shared" si="49"/>
        <v>3072</v>
      </c>
    </row>
    <row r="1030" spans="1:7" x14ac:dyDescent="0.25">
      <c r="A1030" t="str">
        <f t="shared" si="50"/>
        <v>Paredones Población total</v>
      </c>
      <c r="B1030" t="s">
        <v>1300</v>
      </c>
      <c r="C1030" t="s">
        <v>1328</v>
      </c>
      <c r="D1030" t="s">
        <v>54</v>
      </c>
      <c r="E1030" s="2" t="s">
        <v>1331</v>
      </c>
      <c r="F1030">
        <f t="shared" si="48"/>
        <v>6</v>
      </c>
      <c r="G1030" s="2">
        <f t="shared" si="49"/>
        <v>6259</v>
      </c>
    </row>
    <row r="1031" spans="1:7" x14ac:dyDescent="0.25">
      <c r="A1031" t="str">
        <f t="shared" si="50"/>
        <v>Paredones Población  de 0 a 14 años</v>
      </c>
      <c r="B1031" t="s">
        <v>1300</v>
      </c>
      <c r="C1031" t="s">
        <v>1328</v>
      </c>
      <c r="D1031" t="s">
        <v>52</v>
      </c>
      <c r="E1031" s="2" t="s">
        <v>1330</v>
      </c>
      <c r="F1031">
        <f t="shared" si="48"/>
        <v>5</v>
      </c>
      <c r="G1031" s="2">
        <f t="shared" si="49"/>
        <v>850</v>
      </c>
    </row>
    <row r="1032" spans="1:7" x14ac:dyDescent="0.25">
      <c r="A1032" t="str">
        <f t="shared" si="50"/>
        <v>Paredones Población  de 15 a 64 años</v>
      </c>
      <c r="B1032" t="s">
        <v>1300</v>
      </c>
      <c r="C1032" t="s">
        <v>1328</v>
      </c>
      <c r="D1032" t="s">
        <v>50</v>
      </c>
      <c r="E1032" s="2" t="s">
        <v>1329</v>
      </c>
      <c r="F1032">
        <f t="shared" si="48"/>
        <v>6</v>
      </c>
      <c r="G1032" s="2">
        <f t="shared" si="49"/>
        <v>3904</v>
      </c>
    </row>
    <row r="1033" spans="1:7" x14ac:dyDescent="0.25">
      <c r="A1033" t="str">
        <f t="shared" si="50"/>
        <v>Paredones Población de 65 años o mas</v>
      </c>
      <c r="B1033" t="s">
        <v>1300</v>
      </c>
      <c r="C1033" t="s">
        <v>1328</v>
      </c>
      <c r="D1033" t="s">
        <v>46</v>
      </c>
      <c r="E1033" s="2" t="s">
        <v>1327</v>
      </c>
      <c r="F1033">
        <f t="shared" si="48"/>
        <v>6</v>
      </c>
      <c r="G1033" s="2">
        <f t="shared" si="49"/>
        <v>1505</v>
      </c>
    </row>
    <row r="1034" spans="1:7" x14ac:dyDescent="0.25">
      <c r="A1034" t="str">
        <f t="shared" si="50"/>
        <v>Nancagua Hombre</v>
      </c>
      <c r="B1034" t="s">
        <v>1300</v>
      </c>
      <c r="C1034" t="s">
        <v>1321</v>
      </c>
      <c r="D1034" t="s">
        <v>58</v>
      </c>
      <c r="E1034" s="2" t="s">
        <v>1326</v>
      </c>
      <c r="F1034">
        <f t="shared" si="48"/>
        <v>6</v>
      </c>
      <c r="G1034" s="2">
        <f t="shared" si="49"/>
        <v>9833</v>
      </c>
    </row>
    <row r="1035" spans="1:7" x14ac:dyDescent="0.25">
      <c r="A1035" t="str">
        <f t="shared" si="50"/>
        <v>Nancagua Mujer</v>
      </c>
      <c r="B1035" t="s">
        <v>1300</v>
      </c>
      <c r="C1035" t="s">
        <v>1321</v>
      </c>
      <c r="D1035" t="s">
        <v>56</v>
      </c>
      <c r="E1035" s="2" t="s">
        <v>1325</v>
      </c>
      <c r="F1035">
        <f t="shared" si="48"/>
        <v>6</v>
      </c>
      <c r="G1035" s="2">
        <f t="shared" si="49"/>
        <v>9892</v>
      </c>
    </row>
    <row r="1036" spans="1:7" x14ac:dyDescent="0.25">
      <c r="A1036" t="str">
        <f t="shared" si="50"/>
        <v>Nancagua Población total</v>
      </c>
      <c r="B1036" t="s">
        <v>1300</v>
      </c>
      <c r="C1036" t="s">
        <v>1321</v>
      </c>
      <c r="D1036" t="s">
        <v>54</v>
      </c>
      <c r="E1036" s="2" t="s">
        <v>1324</v>
      </c>
      <c r="F1036">
        <f t="shared" si="48"/>
        <v>7</v>
      </c>
      <c r="G1036" s="2">
        <f t="shared" si="49"/>
        <v>19725</v>
      </c>
    </row>
    <row r="1037" spans="1:7" x14ac:dyDescent="0.25">
      <c r="A1037" t="str">
        <f t="shared" si="50"/>
        <v>Nancagua Población  de 0 a 14 años</v>
      </c>
      <c r="B1037" t="s">
        <v>1300</v>
      </c>
      <c r="C1037" t="s">
        <v>1321</v>
      </c>
      <c r="D1037" t="s">
        <v>52</v>
      </c>
      <c r="E1037" s="2" t="s">
        <v>1323</v>
      </c>
      <c r="F1037">
        <f t="shared" si="48"/>
        <v>6</v>
      </c>
      <c r="G1037" s="2">
        <f t="shared" si="49"/>
        <v>3552</v>
      </c>
    </row>
    <row r="1038" spans="1:7" x14ac:dyDescent="0.25">
      <c r="A1038" t="str">
        <f t="shared" si="50"/>
        <v>Nancagua Población  de 15 a 64 años</v>
      </c>
      <c r="B1038" t="s">
        <v>1300</v>
      </c>
      <c r="C1038" t="s">
        <v>1321</v>
      </c>
      <c r="D1038" t="s">
        <v>50</v>
      </c>
      <c r="E1038" s="2" t="s">
        <v>1322</v>
      </c>
      <c r="F1038">
        <f t="shared" si="48"/>
        <v>7</v>
      </c>
      <c r="G1038" s="2">
        <f t="shared" si="49"/>
        <v>12963</v>
      </c>
    </row>
    <row r="1039" spans="1:7" x14ac:dyDescent="0.25">
      <c r="A1039" t="str">
        <f t="shared" si="50"/>
        <v>Nancagua Población de 65 años o mas</v>
      </c>
      <c r="B1039" t="s">
        <v>1300</v>
      </c>
      <c r="C1039" t="s">
        <v>1321</v>
      </c>
      <c r="D1039" t="s">
        <v>46</v>
      </c>
      <c r="E1039" s="2" t="s">
        <v>1320</v>
      </c>
      <c r="F1039">
        <f t="shared" si="48"/>
        <v>6</v>
      </c>
      <c r="G1039" s="2">
        <f t="shared" si="49"/>
        <v>3210</v>
      </c>
    </row>
    <row r="1040" spans="1:7" x14ac:dyDescent="0.25">
      <c r="A1040" t="str">
        <f t="shared" si="50"/>
        <v>Chimbarongo Hombre</v>
      </c>
      <c r="B1040" t="s">
        <v>1300</v>
      </c>
      <c r="C1040" t="s">
        <v>1314</v>
      </c>
      <c r="D1040" t="s">
        <v>58</v>
      </c>
      <c r="E1040" s="2" t="s">
        <v>1319</v>
      </c>
      <c r="F1040">
        <f t="shared" si="48"/>
        <v>7</v>
      </c>
      <c r="G1040" s="2">
        <f t="shared" si="49"/>
        <v>19322</v>
      </c>
    </row>
    <row r="1041" spans="1:7" x14ac:dyDescent="0.25">
      <c r="A1041" t="str">
        <f t="shared" si="50"/>
        <v>Chimbarongo Mujer</v>
      </c>
      <c r="B1041" t="s">
        <v>1300</v>
      </c>
      <c r="C1041" t="s">
        <v>1314</v>
      </c>
      <c r="D1041" t="s">
        <v>56</v>
      </c>
      <c r="E1041" s="2" t="s">
        <v>1318</v>
      </c>
      <c r="F1041">
        <f t="shared" si="48"/>
        <v>7</v>
      </c>
      <c r="G1041" s="2">
        <f t="shared" si="49"/>
        <v>19129</v>
      </c>
    </row>
    <row r="1042" spans="1:7" x14ac:dyDescent="0.25">
      <c r="A1042" t="str">
        <f t="shared" si="50"/>
        <v>Chimbarongo Población total</v>
      </c>
      <c r="B1042" t="s">
        <v>1300</v>
      </c>
      <c r="C1042" t="s">
        <v>1314</v>
      </c>
      <c r="D1042" t="s">
        <v>54</v>
      </c>
      <c r="E1042" s="2" t="s">
        <v>1317</v>
      </c>
      <c r="F1042">
        <f t="shared" si="48"/>
        <v>7</v>
      </c>
      <c r="G1042" s="2">
        <f t="shared" si="49"/>
        <v>38451</v>
      </c>
    </row>
    <row r="1043" spans="1:7" x14ac:dyDescent="0.25">
      <c r="A1043" t="str">
        <f t="shared" si="50"/>
        <v>Chimbarongo Población  de 0 a 14 años</v>
      </c>
      <c r="B1043" t="s">
        <v>1300</v>
      </c>
      <c r="C1043" t="s">
        <v>1314</v>
      </c>
      <c r="D1043" t="s">
        <v>52</v>
      </c>
      <c r="E1043" s="2" t="s">
        <v>1316</v>
      </c>
      <c r="F1043">
        <f t="shared" si="48"/>
        <v>6</v>
      </c>
      <c r="G1043" s="2">
        <f t="shared" si="49"/>
        <v>6960</v>
      </c>
    </row>
    <row r="1044" spans="1:7" x14ac:dyDescent="0.25">
      <c r="A1044" t="str">
        <f t="shared" si="50"/>
        <v>Chimbarongo Población  de 15 a 64 años</v>
      </c>
      <c r="B1044" t="s">
        <v>1300</v>
      </c>
      <c r="C1044" t="s">
        <v>1314</v>
      </c>
      <c r="D1044" t="s">
        <v>50</v>
      </c>
      <c r="E1044" s="2" t="s">
        <v>1315</v>
      </c>
      <c r="F1044">
        <f t="shared" si="48"/>
        <v>7</v>
      </c>
      <c r="G1044" s="2">
        <f t="shared" si="49"/>
        <v>25552</v>
      </c>
    </row>
    <row r="1045" spans="1:7" x14ac:dyDescent="0.25">
      <c r="A1045" t="str">
        <f t="shared" si="50"/>
        <v>Chimbarongo Población de 65 años o mas</v>
      </c>
      <c r="B1045" t="s">
        <v>1300</v>
      </c>
      <c r="C1045" t="s">
        <v>1314</v>
      </c>
      <c r="D1045" t="s">
        <v>46</v>
      </c>
      <c r="E1045" s="2" t="s">
        <v>1313</v>
      </c>
      <c r="F1045">
        <f t="shared" si="48"/>
        <v>6</v>
      </c>
      <c r="G1045" s="2">
        <f t="shared" si="49"/>
        <v>5939</v>
      </c>
    </row>
    <row r="1046" spans="1:7" x14ac:dyDescent="0.25">
      <c r="A1046" t="str">
        <f t="shared" si="50"/>
        <v>Lolol Hombre</v>
      </c>
      <c r="B1046" t="s">
        <v>1300</v>
      </c>
      <c r="C1046" t="s">
        <v>1307</v>
      </c>
      <c r="D1046" t="s">
        <v>58</v>
      </c>
      <c r="E1046" s="2" t="s">
        <v>1312</v>
      </c>
      <c r="F1046">
        <f t="shared" si="48"/>
        <v>6</v>
      </c>
      <c r="G1046" s="2">
        <f t="shared" si="49"/>
        <v>3760</v>
      </c>
    </row>
    <row r="1047" spans="1:7" x14ac:dyDescent="0.25">
      <c r="A1047" t="str">
        <f t="shared" si="50"/>
        <v>Lolol Mujer</v>
      </c>
      <c r="B1047" t="s">
        <v>1300</v>
      </c>
      <c r="C1047" t="s">
        <v>1307</v>
      </c>
      <c r="D1047" t="s">
        <v>56</v>
      </c>
      <c r="E1047" s="2" t="s">
        <v>1311</v>
      </c>
      <c r="F1047">
        <f t="shared" si="48"/>
        <v>6</v>
      </c>
      <c r="G1047" s="2">
        <f t="shared" si="49"/>
        <v>3694</v>
      </c>
    </row>
    <row r="1048" spans="1:7" x14ac:dyDescent="0.25">
      <c r="A1048" t="str">
        <f t="shared" si="50"/>
        <v>Lolol Población total</v>
      </c>
      <c r="B1048" t="s">
        <v>1300</v>
      </c>
      <c r="C1048" t="s">
        <v>1307</v>
      </c>
      <c r="D1048" t="s">
        <v>54</v>
      </c>
      <c r="E1048" s="2" t="s">
        <v>1310</v>
      </c>
      <c r="F1048">
        <f t="shared" si="48"/>
        <v>6</v>
      </c>
      <c r="G1048" s="2">
        <f t="shared" si="49"/>
        <v>7454</v>
      </c>
    </row>
    <row r="1049" spans="1:7" x14ac:dyDescent="0.25">
      <c r="A1049" t="str">
        <f t="shared" si="50"/>
        <v>Lolol Población  de 0 a 14 años</v>
      </c>
      <c r="B1049" t="s">
        <v>1300</v>
      </c>
      <c r="C1049" t="s">
        <v>1307</v>
      </c>
      <c r="D1049" t="s">
        <v>52</v>
      </c>
      <c r="E1049" s="2" t="s">
        <v>1309</v>
      </c>
      <c r="F1049">
        <f t="shared" si="48"/>
        <v>6</v>
      </c>
      <c r="G1049" s="2">
        <f t="shared" si="49"/>
        <v>1127</v>
      </c>
    </row>
    <row r="1050" spans="1:7" x14ac:dyDescent="0.25">
      <c r="A1050" t="str">
        <f t="shared" si="50"/>
        <v>Lolol Población  de 15 a 64 años</v>
      </c>
      <c r="B1050" t="s">
        <v>1300</v>
      </c>
      <c r="C1050" t="s">
        <v>1307</v>
      </c>
      <c r="D1050" t="s">
        <v>50</v>
      </c>
      <c r="E1050" s="2" t="s">
        <v>1308</v>
      </c>
      <c r="F1050">
        <f t="shared" si="48"/>
        <v>6</v>
      </c>
      <c r="G1050" s="2">
        <f t="shared" si="49"/>
        <v>4700</v>
      </c>
    </row>
    <row r="1051" spans="1:7" x14ac:dyDescent="0.25">
      <c r="A1051" t="str">
        <f t="shared" si="50"/>
        <v>Lolol Población de 65 años o mas</v>
      </c>
      <c r="B1051" t="s">
        <v>1300</v>
      </c>
      <c r="C1051" t="s">
        <v>1307</v>
      </c>
      <c r="D1051" t="s">
        <v>46</v>
      </c>
      <c r="E1051" s="2" t="s">
        <v>1306</v>
      </c>
      <c r="F1051">
        <f t="shared" si="48"/>
        <v>6</v>
      </c>
      <c r="G1051" s="2">
        <f t="shared" si="49"/>
        <v>1627</v>
      </c>
    </row>
    <row r="1052" spans="1:7" x14ac:dyDescent="0.25">
      <c r="A1052" t="str">
        <f t="shared" si="50"/>
        <v>Chépica Hombre</v>
      </c>
      <c r="B1052" t="s">
        <v>1300</v>
      </c>
      <c r="C1052" t="s">
        <v>1301</v>
      </c>
      <c r="D1052" t="s">
        <v>58</v>
      </c>
      <c r="E1052" s="2" t="s">
        <v>1226</v>
      </c>
      <c r="F1052">
        <f t="shared" si="48"/>
        <v>6</v>
      </c>
      <c r="G1052" s="2">
        <f t="shared" si="49"/>
        <v>8113</v>
      </c>
    </row>
    <row r="1053" spans="1:7" x14ac:dyDescent="0.25">
      <c r="A1053" t="str">
        <f t="shared" si="50"/>
        <v>Chépica Mujer</v>
      </c>
      <c r="B1053" t="s">
        <v>1300</v>
      </c>
      <c r="C1053" t="s">
        <v>1301</v>
      </c>
      <c r="D1053" t="s">
        <v>56</v>
      </c>
      <c r="E1053" s="2" t="s">
        <v>1305</v>
      </c>
      <c r="F1053">
        <f t="shared" si="48"/>
        <v>6</v>
      </c>
      <c r="G1053" s="2">
        <f t="shared" si="49"/>
        <v>8035</v>
      </c>
    </row>
    <row r="1054" spans="1:7" x14ac:dyDescent="0.25">
      <c r="A1054" t="str">
        <f t="shared" si="50"/>
        <v>Chépica Población total</v>
      </c>
      <c r="B1054" t="s">
        <v>1300</v>
      </c>
      <c r="C1054" t="s">
        <v>1301</v>
      </c>
      <c r="D1054" t="s">
        <v>54</v>
      </c>
      <c r="E1054" s="2" t="s">
        <v>1304</v>
      </c>
      <c r="F1054">
        <f t="shared" si="48"/>
        <v>7</v>
      </c>
      <c r="G1054" s="2">
        <f t="shared" si="49"/>
        <v>16148</v>
      </c>
    </row>
    <row r="1055" spans="1:7" x14ac:dyDescent="0.25">
      <c r="A1055" t="str">
        <f t="shared" si="50"/>
        <v>Chépica Población  de 0 a 14 años</v>
      </c>
      <c r="B1055" t="s">
        <v>1300</v>
      </c>
      <c r="C1055" t="s">
        <v>1301</v>
      </c>
      <c r="D1055" t="s">
        <v>52</v>
      </c>
      <c r="E1055" s="2" t="s">
        <v>1303</v>
      </c>
      <c r="F1055">
        <f t="shared" si="48"/>
        <v>6</v>
      </c>
      <c r="G1055" s="2">
        <f t="shared" si="49"/>
        <v>2662</v>
      </c>
    </row>
    <row r="1056" spans="1:7" x14ac:dyDescent="0.25">
      <c r="A1056" t="str">
        <f t="shared" si="50"/>
        <v>Chépica Población  de 15 a 64 años</v>
      </c>
      <c r="B1056" t="s">
        <v>1300</v>
      </c>
      <c r="C1056" t="s">
        <v>1301</v>
      </c>
      <c r="D1056" t="s">
        <v>50</v>
      </c>
      <c r="E1056" s="2" t="s">
        <v>1302</v>
      </c>
      <c r="F1056">
        <f t="shared" si="48"/>
        <v>7</v>
      </c>
      <c r="G1056" s="2">
        <f t="shared" si="49"/>
        <v>10480</v>
      </c>
    </row>
    <row r="1057" spans="1:7" x14ac:dyDescent="0.25">
      <c r="A1057" t="str">
        <f t="shared" si="50"/>
        <v>Chépica Población de 65 años o mas</v>
      </c>
      <c r="B1057" t="s">
        <v>1300</v>
      </c>
      <c r="C1057" t="s">
        <v>1301</v>
      </c>
      <c r="D1057" t="s">
        <v>46</v>
      </c>
      <c r="E1057" s="2" t="s">
        <v>176</v>
      </c>
      <c r="F1057">
        <f t="shared" si="48"/>
        <v>6</v>
      </c>
      <c r="G1057" s="2">
        <f t="shared" si="49"/>
        <v>3006</v>
      </c>
    </row>
    <row r="1058" spans="1:7" x14ac:dyDescent="0.25">
      <c r="A1058" t="str">
        <f t="shared" si="50"/>
        <v>Región Del Maule Hombre</v>
      </c>
      <c r="B1058" t="s">
        <v>1090</v>
      </c>
      <c r="C1058" t="s">
        <v>1090</v>
      </c>
      <c r="D1058" t="s">
        <v>58</v>
      </c>
      <c r="E1058" s="2" t="s">
        <v>1299</v>
      </c>
      <c r="F1058">
        <f t="shared" si="48"/>
        <v>8</v>
      </c>
      <c r="G1058" s="2">
        <f t="shared" si="49"/>
        <v>574048</v>
      </c>
    </row>
    <row r="1059" spans="1:7" x14ac:dyDescent="0.25">
      <c r="A1059" t="str">
        <f t="shared" si="50"/>
        <v>Región Del Maule Mujer</v>
      </c>
      <c r="B1059" t="s">
        <v>1090</v>
      </c>
      <c r="C1059" t="s">
        <v>1090</v>
      </c>
      <c r="D1059" t="s">
        <v>56</v>
      </c>
      <c r="E1059" s="2" t="s">
        <v>1298</v>
      </c>
      <c r="F1059">
        <f t="shared" si="48"/>
        <v>8</v>
      </c>
      <c r="G1059" s="2">
        <f t="shared" si="49"/>
        <v>597934</v>
      </c>
    </row>
    <row r="1060" spans="1:7" x14ac:dyDescent="0.25">
      <c r="A1060" t="str">
        <f t="shared" si="50"/>
        <v>Región Del Maule Población total</v>
      </c>
      <c r="B1060" t="s">
        <v>1090</v>
      </c>
      <c r="C1060" t="s">
        <v>1090</v>
      </c>
      <c r="D1060" t="s">
        <v>54</v>
      </c>
      <c r="E1060" s="2" t="s">
        <v>1297</v>
      </c>
      <c r="F1060">
        <f t="shared" si="48"/>
        <v>9</v>
      </c>
      <c r="G1060" s="2">
        <f t="shared" si="49"/>
        <v>1171982</v>
      </c>
    </row>
    <row r="1061" spans="1:7" x14ac:dyDescent="0.25">
      <c r="A1061" t="str">
        <f t="shared" si="50"/>
        <v>Región Del Maule Población  de 0 a 14 años</v>
      </c>
      <c r="B1061" t="s">
        <v>1090</v>
      </c>
      <c r="C1061" t="s">
        <v>1090</v>
      </c>
      <c r="D1061" t="s">
        <v>52</v>
      </c>
      <c r="E1061" s="2" t="s">
        <v>1296</v>
      </c>
      <c r="F1061">
        <f t="shared" si="48"/>
        <v>8</v>
      </c>
      <c r="G1061" s="2">
        <f t="shared" si="49"/>
        <v>218832</v>
      </c>
    </row>
    <row r="1062" spans="1:7" x14ac:dyDescent="0.25">
      <c r="A1062" t="str">
        <f t="shared" si="50"/>
        <v>Región Del Maule Población  de 15 a 64 años</v>
      </c>
      <c r="B1062" t="s">
        <v>1090</v>
      </c>
      <c r="C1062" t="s">
        <v>1090</v>
      </c>
      <c r="D1062" t="s">
        <v>50</v>
      </c>
      <c r="E1062" s="2" t="s">
        <v>1295</v>
      </c>
      <c r="F1062">
        <f t="shared" si="48"/>
        <v>8</v>
      </c>
      <c r="G1062" s="2">
        <f t="shared" si="49"/>
        <v>769415</v>
      </c>
    </row>
    <row r="1063" spans="1:7" x14ac:dyDescent="0.25">
      <c r="A1063" t="str">
        <f t="shared" si="50"/>
        <v>Región Del Maule Población de 65 años o mas</v>
      </c>
      <c r="B1063" t="s">
        <v>1090</v>
      </c>
      <c r="C1063" t="s">
        <v>1090</v>
      </c>
      <c r="D1063" t="s">
        <v>46</v>
      </c>
      <c r="E1063" s="2" t="s">
        <v>1294</v>
      </c>
      <c r="F1063">
        <f t="shared" si="48"/>
        <v>8</v>
      </c>
      <c r="G1063" s="2">
        <f t="shared" si="49"/>
        <v>183735</v>
      </c>
    </row>
    <row r="1064" spans="1:7" x14ac:dyDescent="0.25">
      <c r="A1064" t="str">
        <f t="shared" si="50"/>
        <v>Teno Hombre</v>
      </c>
      <c r="B1064" t="s">
        <v>1090</v>
      </c>
      <c r="C1064" t="s">
        <v>1288</v>
      </c>
      <c r="D1064" t="s">
        <v>58</v>
      </c>
      <c r="E1064" s="2" t="s">
        <v>1293</v>
      </c>
      <c r="F1064">
        <f t="shared" si="48"/>
        <v>7</v>
      </c>
      <c r="G1064" s="2">
        <f t="shared" si="49"/>
        <v>15887</v>
      </c>
    </row>
    <row r="1065" spans="1:7" x14ac:dyDescent="0.25">
      <c r="A1065" t="str">
        <f t="shared" si="50"/>
        <v>Teno Mujer</v>
      </c>
      <c r="B1065" t="s">
        <v>1090</v>
      </c>
      <c r="C1065" t="s">
        <v>1288</v>
      </c>
      <c r="D1065" t="s">
        <v>56</v>
      </c>
      <c r="E1065" s="2" t="s">
        <v>1292</v>
      </c>
      <c r="F1065">
        <f t="shared" si="48"/>
        <v>7</v>
      </c>
      <c r="G1065" s="2">
        <f t="shared" si="49"/>
        <v>15998</v>
      </c>
    </row>
    <row r="1066" spans="1:7" x14ac:dyDescent="0.25">
      <c r="A1066" t="str">
        <f t="shared" si="50"/>
        <v>Teno Población total</v>
      </c>
      <c r="B1066" t="s">
        <v>1090</v>
      </c>
      <c r="C1066" t="s">
        <v>1288</v>
      </c>
      <c r="D1066" t="s">
        <v>54</v>
      </c>
      <c r="E1066" s="2" t="s">
        <v>1291</v>
      </c>
      <c r="F1066">
        <f t="shared" si="48"/>
        <v>7</v>
      </c>
      <c r="G1066" s="2">
        <f t="shared" si="49"/>
        <v>31885</v>
      </c>
    </row>
    <row r="1067" spans="1:7" x14ac:dyDescent="0.25">
      <c r="A1067" t="str">
        <f t="shared" si="50"/>
        <v>Teno Población  de 0 a 14 años</v>
      </c>
      <c r="B1067" t="s">
        <v>1090</v>
      </c>
      <c r="C1067" t="s">
        <v>1288</v>
      </c>
      <c r="D1067" t="s">
        <v>52</v>
      </c>
      <c r="E1067" s="2" t="s">
        <v>1290</v>
      </c>
      <c r="F1067">
        <f t="shared" si="48"/>
        <v>6</v>
      </c>
      <c r="G1067" s="2">
        <f t="shared" si="49"/>
        <v>5704</v>
      </c>
    </row>
    <row r="1068" spans="1:7" x14ac:dyDescent="0.25">
      <c r="A1068" t="str">
        <f t="shared" si="50"/>
        <v>Teno Población  de 15 a 64 años</v>
      </c>
      <c r="B1068" t="s">
        <v>1090</v>
      </c>
      <c r="C1068" t="s">
        <v>1288</v>
      </c>
      <c r="D1068" t="s">
        <v>50</v>
      </c>
      <c r="E1068" s="2" t="s">
        <v>1289</v>
      </c>
      <c r="F1068">
        <f t="shared" si="48"/>
        <v>7</v>
      </c>
      <c r="G1068" s="2">
        <f t="shared" si="49"/>
        <v>21164</v>
      </c>
    </row>
    <row r="1069" spans="1:7" x14ac:dyDescent="0.25">
      <c r="A1069" t="str">
        <f t="shared" si="50"/>
        <v>Teno Población de 65 años o mas</v>
      </c>
      <c r="B1069" t="s">
        <v>1090</v>
      </c>
      <c r="C1069" t="s">
        <v>1288</v>
      </c>
      <c r="D1069" t="s">
        <v>46</v>
      </c>
      <c r="E1069" s="2" t="s">
        <v>1287</v>
      </c>
      <c r="F1069">
        <f t="shared" si="48"/>
        <v>6</v>
      </c>
      <c r="G1069" s="2">
        <f t="shared" si="49"/>
        <v>5017</v>
      </c>
    </row>
    <row r="1070" spans="1:7" x14ac:dyDescent="0.25">
      <c r="A1070" t="str">
        <f t="shared" si="50"/>
        <v>Vichuquén Hombre</v>
      </c>
      <c r="B1070" t="s">
        <v>1090</v>
      </c>
      <c r="C1070" t="s">
        <v>1281</v>
      </c>
      <c r="D1070" t="s">
        <v>58</v>
      </c>
      <c r="E1070" s="2" t="s">
        <v>1286</v>
      </c>
      <c r="F1070">
        <f t="shared" si="48"/>
        <v>6</v>
      </c>
      <c r="G1070" s="2">
        <f t="shared" si="49"/>
        <v>2145</v>
      </c>
    </row>
    <row r="1071" spans="1:7" x14ac:dyDescent="0.25">
      <c r="A1071" t="str">
        <f t="shared" si="50"/>
        <v>Vichuquén Mujer</v>
      </c>
      <c r="B1071" t="s">
        <v>1090</v>
      </c>
      <c r="C1071" t="s">
        <v>1281</v>
      </c>
      <c r="D1071" t="s">
        <v>56</v>
      </c>
      <c r="E1071" s="2" t="s">
        <v>1285</v>
      </c>
      <c r="F1071">
        <f t="shared" si="48"/>
        <v>6</v>
      </c>
      <c r="G1071" s="2">
        <f t="shared" si="49"/>
        <v>2166</v>
      </c>
    </row>
    <row r="1072" spans="1:7" x14ac:dyDescent="0.25">
      <c r="A1072" t="str">
        <f t="shared" si="50"/>
        <v>Vichuquén Población total</v>
      </c>
      <c r="B1072" t="s">
        <v>1090</v>
      </c>
      <c r="C1072" t="s">
        <v>1281</v>
      </c>
      <c r="D1072" t="s">
        <v>54</v>
      </c>
      <c r="E1072" s="2" t="s">
        <v>1284</v>
      </c>
      <c r="F1072">
        <f t="shared" si="48"/>
        <v>6</v>
      </c>
      <c r="G1072" s="2">
        <f t="shared" si="49"/>
        <v>4311</v>
      </c>
    </row>
    <row r="1073" spans="1:7" x14ac:dyDescent="0.25">
      <c r="A1073" t="str">
        <f t="shared" si="50"/>
        <v>Vichuquén Población  de 0 a 14 años</v>
      </c>
      <c r="B1073" t="s">
        <v>1090</v>
      </c>
      <c r="C1073" t="s">
        <v>1281</v>
      </c>
      <c r="D1073" t="s">
        <v>52</v>
      </c>
      <c r="E1073" s="2" t="s">
        <v>1283</v>
      </c>
      <c r="F1073">
        <f t="shared" si="48"/>
        <v>5</v>
      </c>
      <c r="G1073" s="2">
        <f t="shared" si="49"/>
        <v>664</v>
      </c>
    </row>
    <row r="1074" spans="1:7" x14ac:dyDescent="0.25">
      <c r="A1074" t="str">
        <f t="shared" si="50"/>
        <v>Vichuquén Población  de 15 a 64 años</v>
      </c>
      <c r="B1074" t="s">
        <v>1090</v>
      </c>
      <c r="C1074" t="s">
        <v>1281</v>
      </c>
      <c r="D1074" t="s">
        <v>50</v>
      </c>
      <c r="E1074" s="2" t="s">
        <v>1282</v>
      </c>
      <c r="F1074">
        <f t="shared" si="48"/>
        <v>6</v>
      </c>
      <c r="G1074" s="2">
        <f t="shared" si="49"/>
        <v>2724</v>
      </c>
    </row>
    <row r="1075" spans="1:7" x14ac:dyDescent="0.25">
      <c r="A1075" t="str">
        <f t="shared" si="50"/>
        <v>Vichuquén Población de 65 años o mas</v>
      </c>
      <c r="B1075" t="s">
        <v>1090</v>
      </c>
      <c r="C1075" t="s">
        <v>1281</v>
      </c>
      <c r="D1075" t="s">
        <v>46</v>
      </c>
      <c r="E1075" s="2" t="s">
        <v>1280</v>
      </c>
      <c r="F1075">
        <f t="shared" si="48"/>
        <v>5</v>
      </c>
      <c r="G1075" s="2">
        <f t="shared" si="49"/>
        <v>923</v>
      </c>
    </row>
    <row r="1076" spans="1:7" x14ac:dyDescent="0.25">
      <c r="A1076" t="str">
        <f t="shared" si="50"/>
        <v>Rauco Hombre</v>
      </c>
      <c r="B1076" t="s">
        <v>1090</v>
      </c>
      <c r="C1076" t="s">
        <v>1275</v>
      </c>
      <c r="D1076" t="s">
        <v>58</v>
      </c>
      <c r="E1076" s="2" t="s">
        <v>1279</v>
      </c>
      <c r="F1076">
        <f t="shared" si="48"/>
        <v>6</v>
      </c>
      <c r="G1076" s="2">
        <f t="shared" si="49"/>
        <v>5809</v>
      </c>
    </row>
    <row r="1077" spans="1:7" x14ac:dyDescent="0.25">
      <c r="A1077" t="str">
        <f t="shared" si="50"/>
        <v>Rauco Mujer</v>
      </c>
      <c r="B1077" t="s">
        <v>1090</v>
      </c>
      <c r="C1077" t="s">
        <v>1275</v>
      </c>
      <c r="D1077" t="s">
        <v>56</v>
      </c>
      <c r="E1077" s="2" t="s">
        <v>1278</v>
      </c>
      <c r="F1077">
        <f t="shared" si="48"/>
        <v>6</v>
      </c>
      <c r="G1077" s="2">
        <f t="shared" si="49"/>
        <v>5944</v>
      </c>
    </row>
    <row r="1078" spans="1:7" x14ac:dyDescent="0.25">
      <c r="A1078" t="str">
        <f t="shared" si="50"/>
        <v>Rauco Población total</v>
      </c>
      <c r="B1078" t="s">
        <v>1090</v>
      </c>
      <c r="C1078" t="s">
        <v>1275</v>
      </c>
      <c r="D1078" t="s">
        <v>54</v>
      </c>
      <c r="E1078" s="2" t="s">
        <v>1277</v>
      </c>
      <c r="F1078">
        <f t="shared" si="48"/>
        <v>7</v>
      </c>
      <c r="G1078" s="2">
        <f t="shared" si="49"/>
        <v>11753</v>
      </c>
    </row>
    <row r="1079" spans="1:7" x14ac:dyDescent="0.25">
      <c r="A1079" t="str">
        <f t="shared" si="50"/>
        <v>Rauco Población  de 0 a 14 años</v>
      </c>
      <c r="B1079" t="s">
        <v>1090</v>
      </c>
      <c r="C1079" t="s">
        <v>1275</v>
      </c>
      <c r="D1079" t="s">
        <v>52</v>
      </c>
      <c r="E1079" s="2" t="s">
        <v>1276</v>
      </c>
      <c r="F1079">
        <f t="shared" si="48"/>
        <v>6</v>
      </c>
      <c r="G1079" s="2">
        <f t="shared" si="49"/>
        <v>2089</v>
      </c>
    </row>
    <row r="1080" spans="1:7" x14ac:dyDescent="0.25">
      <c r="A1080" t="str">
        <f t="shared" si="50"/>
        <v>Rauco Población  de 15 a 64 años</v>
      </c>
      <c r="B1080" t="s">
        <v>1090</v>
      </c>
      <c r="C1080" t="s">
        <v>1275</v>
      </c>
      <c r="D1080" t="s">
        <v>50</v>
      </c>
      <c r="E1080" s="2" t="s">
        <v>1225</v>
      </c>
      <c r="F1080">
        <f t="shared" si="48"/>
        <v>6</v>
      </c>
      <c r="G1080" s="2">
        <f t="shared" si="49"/>
        <v>7608</v>
      </c>
    </row>
    <row r="1081" spans="1:7" x14ac:dyDescent="0.25">
      <c r="A1081" t="str">
        <f t="shared" si="50"/>
        <v>Rauco Población de 65 años o mas</v>
      </c>
      <c r="B1081" t="s">
        <v>1090</v>
      </c>
      <c r="C1081" t="s">
        <v>1275</v>
      </c>
      <c r="D1081" t="s">
        <v>46</v>
      </c>
      <c r="E1081" s="2" t="s">
        <v>1274</v>
      </c>
      <c r="F1081">
        <f t="shared" si="48"/>
        <v>6</v>
      </c>
      <c r="G1081" s="2">
        <f t="shared" si="49"/>
        <v>2056</v>
      </c>
    </row>
    <row r="1082" spans="1:7" x14ac:dyDescent="0.25">
      <c r="A1082" t="str">
        <f t="shared" si="50"/>
        <v>Romeral Hombre</v>
      </c>
      <c r="B1082" t="s">
        <v>1090</v>
      </c>
      <c r="C1082" t="s">
        <v>1268</v>
      </c>
      <c r="D1082" t="s">
        <v>58</v>
      </c>
      <c r="E1082" s="2" t="s">
        <v>1273</v>
      </c>
      <c r="F1082">
        <f t="shared" si="48"/>
        <v>6</v>
      </c>
      <c r="G1082" s="2">
        <f t="shared" si="49"/>
        <v>8334</v>
      </c>
    </row>
    <row r="1083" spans="1:7" x14ac:dyDescent="0.25">
      <c r="A1083" t="str">
        <f t="shared" si="50"/>
        <v>Romeral Mujer</v>
      </c>
      <c r="B1083" t="s">
        <v>1090</v>
      </c>
      <c r="C1083" t="s">
        <v>1268</v>
      </c>
      <c r="D1083" t="s">
        <v>56</v>
      </c>
      <c r="E1083" s="2" t="s">
        <v>1272</v>
      </c>
      <c r="F1083">
        <f t="shared" si="48"/>
        <v>6</v>
      </c>
      <c r="G1083" s="2">
        <f t="shared" si="49"/>
        <v>8591</v>
      </c>
    </row>
    <row r="1084" spans="1:7" x14ac:dyDescent="0.25">
      <c r="A1084" t="str">
        <f t="shared" si="50"/>
        <v>Romeral Población total</v>
      </c>
      <c r="B1084" t="s">
        <v>1090</v>
      </c>
      <c r="C1084" t="s">
        <v>1268</v>
      </c>
      <c r="D1084" t="s">
        <v>54</v>
      </c>
      <c r="E1084" s="2" t="s">
        <v>1271</v>
      </c>
      <c r="F1084">
        <f t="shared" si="48"/>
        <v>7</v>
      </c>
      <c r="G1084" s="2">
        <f t="shared" si="49"/>
        <v>16925</v>
      </c>
    </row>
    <row r="1085" spans="1:7" x14ac:dyDescent="0.25">
      <c r="A1085" t="str">
        <f t="shared" si="50"/>
        <v>Romeral Población  de 0 a 14 años</v>
      </c>
      <c r="B1085" t="s">
        <v>1090</v>
      </c>
      <c r="C1085" t="s">
        <v>1268</v>
      </c>
      <c r="D1085" t="s">
        <v>52</v>
      </c>
      <c r="E1085" s="2" t="s">
        <v>1270</v>
      </c>
      <c r="F1085">
        <f t="shared" si="48"/>
        <v>6</v>
      </c>
      <c r="G1085" s="2">
        <f t="shared" si="49"/>
        <v>3126</v>
      </c>
    </row>
    <row r="1086" spans="1:7" x14ac:dyDescent="0.25">
      <c r="A1086" t="str">
        <f t="shared" si="50"/>
        <v>Romeral Población  de 15 a 64 años</v>
      </c>
      <c r="B1086" t="s">
        <v>1090</v>
      </c>
      <c r="C1086" t="s">
        <v>1268</v>
      </c>
      <c r="D1086" t="s">
        <v>50</v>
      </c>
      <c r="E1086" s="2" t="s">
        <v>1269</v>
      </c>
      <c r="F1086">
        <f t="shared" si="48"/>
        <v>7</v>
      </c>
      <c r="G1086" s="2">
        <f t="shared" si="49"/>
        <v>11275</v>
      </c>
    </row>
    <row r="1087" spans="1:7" x14ac:dyDescent="0.25">
      <c r="A1087" t="str">
        <f t="shared" si="50"/>
        <v>Romeral Población de 65 años o mas</v>
      </c>
      <c r="B1087" t="s">
        <v>1090</v>
      </c>
      <c r="C1087" t="s">
        <v>1268</v>
      </c>
      <c r="D1087" t="s">
        <v>46</v>
      </c>
      <c r="E1087" s="2" t="s">
        <v>1267</v>
      </c>
      <c r="F1087">
        <f t="shared" si="48"/>
        <v>6</v>
      </c>
      <c r="G1087" s="2">
        <f t="shared" si="49"/>
        <v>2524</v>
      </c>
    </row>
    <row r="1088" spans="1:7" x14ac:dyDescent="0.25">
      <c r="A1088" t="str">
        <f t="shared" si="50"/>
        <v>Hualañé Hombre</v>
      </c>
      <c r="B1088" t="s">
        <v>1090</v>
      </c>
      <c r="C1088" t="s">
        <v>1261</v>
      </c>
      <c r="D1088" t="s">
        <v>58</v>
      </c>
      <c r="E1088" s="2" t="s">
        <v>1266</v>
      </c>
      <c r="F1088">
        <f t="shared" si="48"/>
        <v>6</v>
      </c>
      <c r="G1088" s="2">
        <f t="shared" si="49"/>
        <v>5089</v>
      </c>
    </row>
    <row r="1089" spans="1:7" x14ac:dyDescent="0.25">
      <c r="A1089" t="str">
        <f t="shared" si="50"/>
        <v>Hualañé Mujer</v>
      </c>
      <c r="B1089" t="s">
        <v>1090</v>
      </c>
      <c r="C1089" t="s">
        <v>1261</v>
      </c>
      <c r="D1089" t="s">
        <v>56</v>
      </c>
      <c r="E1089" s="2" t="s">
        <v>1265</v>
      </c>
      <c r="F1089">
        <f t="shared" si="48"/>
        <v>6</v>
      </c>
      <c r="G1089" s="2">
        <f t="shared" si="49"/>
        <v>5136</v>
      </c>
    </row>
    <row r="1090" spans="1:7" x14ac:dyDescent="0.25">
      <c r="A1090" t="str">
        <f t="shared" si="50"/>
        <v>Hualañé Población total</v>
      </c>
      <c r="B1090" t="s">
        <v>1090</v>
      </c>
      <c r="C1090" t="s">
        <v>1261</v>
      </c>
      <c r="D1090" t="s">
        <v>54</v>
      </c>
      <c r="E1090" s="2" t="s">
        <v>1264</v>
      </c>
      <c r="F1090">
        <f t="shared" ref="F1090:F1153" si="51">+FIND(".",E1090)</f>
        <v>7</v>
      </c>
      <c r="G1090" s="2">
        <f t="shared" ref="G1090:G1153" si="52">+LEFT(E1090,(F1090-1))*1</f>
        <v>10225</v>
      </c>
    </row>
    <row r="1091" spans="1:7" x14ac:dyDescent="0.25">
      <c r="A1091" t="str">
        <f t="shared" ref="A1091:A1154" si="53">+C1091&amp;D1091</f>
        <v>Hualañé Población  de 0 a 14 años</v>
      </c>
      <c r="B1091" t="s">
        <v>1090</v>
      </c>
      <c r="C1091" t="s">
        <v>1261</v>
      </c>
      <c r="D1091" t="s">
        <v>52</v>
      </c>
      <c r="E1091" s="2" t="s">
        <v>1263</v>
      </c>
      <c r="F1091">
        <f t="shared" si="51"/>
        <v>6</v>
      </c>
      <c r="G1091" s="2">
        <f t="shared" si="52"/>
        <v>1646</v>
      </c>
    </row>
    <row r="1092" spans="1:7" x14ac:dyDescent="0.25">
      <c r="A1092" t="str">
        <f t="shared" si="53"/>
        <v>Hualañé Población  de 15 a 64 años</v>
      </c>
      <c r="B1092" t="s">
        <v>1090</v>
      </c>
      <c r="C1092" t="s">
        <v>1261</v>
      </c>
      <c r="D1092" t="s">
        <v>50</v>
      </c>
      <c r="E1092" s="2" t="s">
        <v>1262</v>
      </c>
      <c r="F1092">
        <f t="shared" si="51"/>
        <v>6</v>
      </c>
      <c r="G1092" s="2">
        <f t="shared" si="52"/>
        <v>6420</v>
      </c>
    </row>
    <row r="1093" spans="1:7" x14ac:dyDescent="0.25">
      <c r="A1093" t="str">
        <f t="shared" si="53"/>
        <v>Hualañé Población de 65 años o mas</v>
      </c>
      <c r="B1093" t="s">
        <v>1090</v>
      </c>
      <c r="C1093" t="s">
        <v>1261</v>
      </c>
      <c r="D1093" t="s">
        <v>46</v>
      </c>
      <c r="E1093" s="2" t="s">
        <v>1260</v>
      </c>
      <c r="F1093">
        <f t="shared" si="51"/>
        <v>6</v>
      </c>
      <c r="G1093" s="2">
        <f t="shared" si="52"/>
        <v>2159</v>
      </c>
    </row>
    <row r="1094" spans="1:7" x14ac:dyDescent="0.25">
      <c r="A1094" t="str">
        <f t="shared" si="53"/>
        <v>Curicó Hombre</v>
      </c>
      <c r="B1094" t="s">
        <v>1090</v>
      </c>
      <c r="C1094" t="s">
        <v>1254</v>
      </c>
      <c r="D1094" t="s">
        <v>58</v>
      </c>
      <c r="E1094" s="2" t="s">
        <v>1259</v>
      </c>
      <c r="F1094">
        <f t="shared" si="51"/>
        <v>7</v>
      </c>
      <c r="G1094" s="2">
        <f t="shared" si="52"/>
        <v>84120</v>
      </c>
    </row>
    <row r="1095" spans="1:7" x14ac:dyDescent="0.25">
      <c r="A1095" t="str">
        <f t="shared" si="53"/>
        <v>Curicó Mujer</v>
      </c>
      <c r="B1095" t="s">
        <v>1090</v>
      </c>
      <c r="C1095" t="s">
        <v>1254</v>
      </c>
      <c r="D1095" t="s">
        <v>56</v>
      </c>
      <c r="E1095" s="2" t="s">
        <v>1258</v>
      </c>
      <c r="F1095">
        <f t="shared" si="51"/>
        <v>7</v>
      </c>
      <c r="G1095" s="2">
        <f t="shared" si="52"/>
        <v>87469</v>
      </c>
    </row>
    <row r="1096" spans="1:7" x14ac:dyDescent="0.25">
      <c r="A1096" t="str">
        <f t="shared" si="53"/>
        <v>Curicó Población total</v>
      </c>
      <c r="B1096" t="s">
        <v>1090</v>
      </c>
      <c r="C1096" t="s">
        <v>1254</v>
      </c>
      <c r="D1096" t="s">
        <v>54</v>
      </c>
      <c r="E1096" s="2" t="s">
        <v>1257</v>
      </c>
      <c r="F1096">
        <f t="shared" si="51"/>
        <v>8</v>
      </c>
      <c r="G1096" s="2">
        <f t="shared" si="52"/>
        <v>171589</v>
      </c>
    </row>
    <row r="1097" spans="1:7" x14ac:dyDescent="0.25">
      <c r="A1097" t="str">
        <f t="shared" si="53"/>
        <v>Curicó Población  de 0 a 14 años</v>
      </c>
      <c r="B1097" t="s">
        <v>1090</v>
      </c>
      <c r="C1097" t="s">
        <v>1254</v>
      </c>
      <c r="D1097" t="s">
        <v>52</v>
      </c>
      <c r="E1097" s="2" t="s">
        <v>1256</v>
      </c>
      <c r="F1097">
        <f t="shared" si="51"/>
        <v>7</v>
      </c>
      <c r="G1097" s="2">
        <f t="shared" si="52"/>
        <v>32488</v>
      </c>
    </row>
    <row r="1098" spans="1:7" x14ac:dyDescent="0.25">
      <c r="A1098" t="str">
        <f t="shared" si="53"/>
        <v>Curicó Población  de 15 a 64 años</v>
      </c>
      <c r="B1098" t="s">
        <v>1090</v>
      </c>
      <c r="C1098" t="s">
        <v>1254</v>
      </c>
      <c r="D1098" t="s">
        <v>50</v>
      </c>
      <c r="E1098" s="2" t="s">
        <v>1255</v>
      </c>
      <c r="F1098">
        <f t="shared" si="51"/>
        <v>8</v>
      </c>
      <c r="G1098" s="2">
        <f t="shared" si="52"/>
        <v>115147</v>
      </c>
    </row>
    <row r="1099" spans="1:7" x14ac:dyDescent="0.25">
      <c r="A1099" t="str">
        <f t="shared" si="53"/>
        <v>Curicó Población de 65 años o mas</v>
      </c>
      <c r="B1099" t="s">
        <v>1090</v>
      </c>
      <c r="C1099" t="s">
        <v>1254</v>
      </c>
      <c r="D1099" t="s">
        <v>46</v>
      </c>
      <c r="E1099" s="2" t="s">
        <v>1253</v>
      </c>
      <c r="F1099">
        <f t="shared" si="51"/>
        <v>7</v>
      </c>
      <c r="G1099" s="2">
        <f t="shared" si="52"/>
        <v>23954</v>
      </c>
    </row>
    <row r="1100" spans="1:7" x14ac:dyDescent="0.25">
      <c r="A1100" t="str">
        <f t="shared" si="53"/>
        <v>Licantén Hombre</v>
      </c>
      <c r="B1100" t="s">
        <v>1090</v>
      </c>
      <c r="C1100" t="s">
        <v>1247</v>
      </c>
      <c r="D1100" t="s">
        <v>58</v>
      </c>
      <c r="E1100" s="2" t="s">
        <v>1252</v>
      </c>
      <c r="F1100">
        <f t="shared" si="51"/>
        <v>6</v>
      </c>
      <c r="G1100" s="2">
        <f t="shared" si="52"/>
        <v>3478</v>
      </c>
    </row>
    <row r="1101" spans="1:7" x14ac:dyDescent="0.25">
      <c r="A1101" t="str">
        <f t="shared" si="53"/>
        <v>Licantén Mujer</v>
      </c>
      <c r="B1101" t="s">
        <v>1090</v>
      </c>
      <c r="C1101" t="s">
        <v>1247</v>
      </c>
      <c r="D1101" t="s">
        <v>56</v>
      </c>
      <c r="E1101" s="2" t="s">
        <v>1251</v>
      </c>
      <c r="F1101">
        <f t="shared" si="51"/>
        <v>6</v>
      </c>
      <c r="G1101" s="2">
        <f t="shared" si="52"/>
        <v>3508</v>
      </c>
    </row>
    <row r="1102" spans="1:7" x14ac:dyDescent="0.25">
      <c r="A1102" t="str">
        <f t="shared" si="53"/>
        <v>Licantén Población total</v>
      </c>
      <c r="B1102" t="s">
        <v>1090</v>
      </c>
      <c r="C1102" t="s">
        <v>1247</v>
      </c>
      <c r="D1102" t="s">
        <v>54</v>
      </c>
      <c r="E1102" s="2" t="s">
        <v>1250</v>
      </c>
      <c r="F1102">
        <f t="shared" si="51"/>
        <v>6</v>
      </c>
      <c r="G1102" s="2">
        <f t="shared" si="52"/>
        <v>6986</v>
      </c>
    </row>
    <row r="1103" spans="1:7" x14ac:dyDescent="0.25">
      <c r="A1103" t="str">
        <f t="shared" si="53"/>
        <v>Licantén Población  de 0 a 14 años</v>
      </c>
      <c r="B1103" t="s">
        <v>1090</v>
      </c>
      <c r="C1103" t="s">
        <v>1247</v>
      </c>
      <c r="D1103" t="s">
        <v>52</v>
      </c>
      <c r="E1103" s="2" t="s">
        <v>1249</v>
      </c>
      <c r="F1103">
        <f t="shared" si="51"/>
        <v>6</v>
      </c>
      <c r="G1103" s="2">
        <f t="shared" si="52"/>
        <v>1173</v>
      </c>
    </row>
    <row r="1104" spans="1:7" x14ac:dyDescent="0.25">
      <c r="A1104" t="str">
        <f t="shared" si="53"/>
        <v>Licantén Población  de 15 a 64 años</v>
      </c>
      <c r="B1104" t="s">
        <v>1090</v>
      </c>
      <c r="C1104" t="s">
        <v>1247</v>
      </c>
      <c r="D1104" t="s">
        <v>50</v>
      </c>
      <c r="E1104" s="2" t="s">
        <v>1248</v>
      </c>
      <c r="F1104">
        <f t="shared" si="51"/>
        <v>6</v>
      </c>
      <c r="G1104" s="2">
        <f t="shared" si="52"/>
        <v>4510</v>
      </c>
    </row>
    <row r="1105" spans="1:7" x14ac:dyDescent="0.25">
      <c r="A1105" t="str">
        <f t="shared" si="53"/>
        <v>Licantén Población de 65 años o mas</v>
      </c>
      <c r="B1105" t="s">
        <v>1090</v>
      </c>
      <c r="C1105" t="s">
        <v>1247</v>
      </c>
      <c r="D1105" t="s">
        <v>46</v>
      </c>
      <c r="E1105" s="2" t="s">
        <v>1246</v>
      </c>
      <c r="F1105">
        <f t="shared" si="51"/>
        <v>6</v>
      </c>
      <c r="G1105" s="2">
        <f t="shared" si="52"/>
        <v>1303</v>
      </c>
    </row>
    <row r="1106" spans="1:7" x14ac:dyDescent="0.25">
      <c r="A1106" t="str">
        <f t="shared" si="53"/>
        <v>Sagrada Familia Hombre</v>
      </c>
      <c r="B1106" t="s">
        <v>1090</v>
      </c>
      <c r="C1106" t="s">
        <v>1241</v>
      </c>
      <c r="D1106" t="s">
        <v>58</v>
      </c>
      <c r="E1106" s="2" t="s">
        <v>1245</v>
      </c>
      <c r="F1106">
        <f t="shared" si="51"/>
        <v>6</v>
      </c>
      <c r="G1106" s="2">
        <f t="shared" si="52"/>
        <v>9815</v>
      </c>
    </row>
    <row r="1107" spans="1:7" x14ac:dyDescent="0.25">
      <c r="A1107" t="str">
        <f t="shared" si="53"/>
        <v>Sagrada Familia Mujer</v>
      </c>
      <c r="B1107" t="s">
        <v>1090</v>
      </c>
      <c r="C1107" t="s">
        <v>1241</v>
      </c>
      <c r="D1107" t="s">
        <v>56</v>
      </c>
      <c r="E1107" s="2" t="s">
        <v>1056</v>
      </c>
      <c r="F1107">
        <f t="shared" si="51"/>
        <v>6</v>
      </c>
      <c r="G1107" s="2">
        <f t="shared" si="52"/>
        <v>9939</v>
      </c>
    </row>
    <row r="1108" spans="1:7" x14ac:dyDescent="0.25">
      <c r="A1108" t="str">
        <f t="shared" si="53"/>
        <v>Sagrada Familia Población total</v>
      </c>
      <c r="B1108" t="s">
        <v>1090</v>
      </c>
      <c r="C1108" t="s">
        <v>1241</v>
      </c>
      <c r="D1108" t="s">
        <v>54</v>
      </c>
      <c r="E1108" s="2" t="s">
        <v>1244</v>
      </c>
      <c r="F1108">
        <f t="shared" si="51"/>
        <v>7</v>
      </c>
      <c r="G1108" s="2">
        <f t="shared" si="52"/>
        <v>19754</v>
      </c>
    </row>
    <row r="1109" spans="1:7" x14ac:dyDescent="0.25">
      <c r="A1109" t="str">
        <f t="shared" si="53"/>
        <v>Sagrada Familia Población  de 0 a 14 años</v>
      </c>
      <c r="B1109" t="s">
        <v>1090</v>
      </c>
      <c r="C1109" t="s">
        <v>1241</v>
      </c>
      <c r="D1109" t="s">
        <v>52</v>
      </c>
      <c r="E1109" s="2" t="s">
        <v>1243</v>
      </c>
      <c r="F1109">
        <f t="shared" si="51"/>
        <v>6</v>
      </c>
      <c r="G1109" s="2">
        <f t="shared" si="52"/>
        <v>3419</v>
      </c>
    </row>
    <row r="1110" spans="1:7" x14ac:dyDescent="0.25">
      <c r="A1110" t="str">
        <f t="shared" si="53"/>
        <v>Sagrada Familia Población  de 15 a 64 años</v>
      </c>
      <c r="B1110" t="s">
        <v>1090</v>
      </c>
      <c r="C1110" t="s">
        <v>1241</v>
      </c>
      <c r="D1110" t="s">
        <v>50</v>
      </c>
      <c r="E1110" s="2" t="s">
        <v>1242</v>
      </c>
      <c r="F1110">
        <f t="shared" si="51"/>
        <v>7</v>
      </c>
      <c r="G1110" s="2">
        <f t="shared" si="52"/>
        <v>13188</v>
      </c>
    </row>
    <row r="1111" spans="1:7" x14ac:dyDescent="0.25">
      <c r="A1111" t="str">
        <f t="shared" si="53"/>
        <v>Sagrada Familia Población de 65 años o mas</v>
      </c>
      <c r="B1111" t="s">
        <v>1090</v>
      </c>
      <c r="C1111" t="s">
        <v>1241</v>
      </c>
      <c r="D1111" t="s">
        <v>46</v>
      </c>
      <c r="E1111" s="2" t="s">
        <v>1240</v>
      </c>
      <c r="F1111">
        <f t="shared" si="51"/>
        <v>6</v>
      </c>
      <c r="G1111" s="2">
        <f t="shared" si="52"/>
        <v>3147</v>
      </c>
    </row>
    <row r="1112" spans="1:7" x14ac:dyDescent="0.25">
      <c r="A1112" t="str">
        <f t="shared" si="53"/>
        <v>Curepto Hombre</v>
      </c>
      <c r="B1112" t="s">
        <v>1090</v>
      </c>
      <c r="C1112" t="s">
        <v>1234</v>
      </c>
      <c r="D1112" t="s">
        <v>58</v>
      </c>
      <c r="E1112" s="2" t="s">
        <v>1239</v>
      </c>
      <c r="F1112">
        <f t="shared" si="51"/>
        <v>6</v>
      </c>
      <c r="G1112" s="2">
        <f t="shared" si="52"/>
        <v>4572</v>
      </c>
    </row>
    <row r="1113" spans="1:7" x14ac:dyDescent="0.25">
      <c r="A1113" t="str">
        <f t="shared" si="53"/>
        <v>Curepto Mujer</v>
      </c>
      <c r="B1113" t="s">
        <v>1090</v>
      </c>
      <c r="C1113" t="s">
        <v>1234</v>
      </c>
      <c r="D1113" t="s">
        <v>56</v>
      </c>
      <c r="E1113" s="2" t="s">
        <v>1238</v>
      </c>
      <c r="F1113">
        <f t="shared" si="51"/>
        <v>6</v>
      </c>
      <c r="G1113" s="2">
        <f t="shared" si="52"/>
        <v>4564</v>
      </c>
    </row>
    <row r="1114" spans="1:7" x14ac:dyDescent="0.25">
      <c r="A1114" t="str">
        <f t="shared" si="53"/>
        <v>Curepto Población total</v>
      </c>
      <c r="B1114" t="s">
        <v>1090</v>
      </c>
      <c r="C1114" t="s">
        <v>1234</v>
      </c>
      <c r="D1114" t="s">
        <v>54</v>
      </c>
      <c r="E1114" s="2" t="s">
        <v>1237</v>
      </c>
      <c r="F1114">
        <f t="shared" si="51"/>
        <v>6</v>
      </c>
      <c r="G1114" s="2">
        <f t="shared" si="52"/>
        <v>9136</v>
      </c>
    </row>
    <row r="1115" spans="1:7" x14ac:dyDescent="0.25">
      <c r="A1115" t="str">
        <f t="shared" si="53"/>
        <v>Curepto Población  de 0 a 14 años</v>
      </c>
      <c r="B1115" t="s">
        <v>1090</v>
      </c>
      <c r="C1115" t="s">
        <v>1234</v>
      </c>
      <c r="D1115" t="s">
        <v>52</v>
      </c>
      <c r="E1115" s="2" t="s">
        <v>1236</v>
      </c>
      <c r="F1115">
        <f t="shared" si="51"/>
        <v>6</v>
      </c>
      <c r="G1115" s="2">
        <f t="shared" si="52"/>
        <v>1249</v>
      </c>
    </row>
    <row r="1116" spans="1:7" x14ac:dyDescent="0.25">
      <c r="A1116" t="str">
        <f t="shared" si="53"/>
        <v>Curepto Población  de 15 a 64 años</v>
      </c>
      <c r="B1116" t="s">
        <v>1090</v>
      </c>
      <c r="C1116" t="s">
        <v>1234</v>
      </c>
      <c r="D1116" t="s">
        <v>50</v>
      </c>
      <c r="E1116" s="2" t="s">
        <v>1235</v>
      </c>
      <c r="F1116">
        <f t="shared" si="51"/>
        <v>6</v>
      </c>
      <c r="G1116" s="2">
        <f t="shared" si="52"/>
        <v>5550</v>
      </c>
    </row>
    <row r="1117" spans="1:7" x14ac:dyDescent="0.25">
      <c r="A1117" t="str">
        <f t="shared" si="53"/>
        <v>Curepto Población de 65 años o mas</v>
      </c>
      <c r="B1117" t="s">
        <v>1090</v>
      </c>
      <c r="C1117" t="s">
        <v>1234</v>
      </c>
      <c r="D1117" t="s">
        <v>46</v>
      </c>
      <c r="E1117" s="2" t="s">
        <v>1233</v>
      </c>
      <c r="F1117">
        <f t="shared" si="51"/>
        <v>6</v>
      </c>
      <c r="G1117" s="2">
        <f t="shared" si="52"/>
        <v>2337</v>
      </c>
    </row>
    <row r="1118" spans="1:7" x14ac:dyDescent="0.25">
      <c r="A1118" t="str">
        <f t="shared" si="53"/>
        <v>Molina Hombre</v>
      </c>
      <c r="B1118" t="s">
        <v>1090</v>
      </c>
      <c r="C1118" t="s">
        <v>1227</v>
      </c>
      <c r="D1118" t="s">
        <v>58</v>
      </c>
      <c r="E1118" s="2" t="s">
        <v>1232</v>
      </c>
      <c r="F1118">
        <f t="shared" si="51"/>
        <v>7</v>
      </c>
      <c r="G1118" s="2">
        <f t="shared" si="52"/>
        <v>25550</v>
      </c>
    </row>
    <row r="1119" spans="1:7" x14ac:dyDescent="0.25">
      <c r="A1119" t="str">
        <f t="shared" si="53"/>
        <v>Molina Mujer</v>
      </c>
      <c r="B1119" t="s">
        <v>1090</v>
      </c>
      <c r="C1119" t="s">
        <v>1227</v>
      </c>
      <c r="D1119" t="s">
        <v>56</v>
      </c>
      <c r="E1119" s="2" t="s">
        <v>1231</v>
      </c>
      <c r="F1119">
        <f t="shared" si="51"/>
        <v>7</v>
      </c>
      <c r="G1119" s="2">
        <f t="shared" si="52"/>
        <v>26538</v>
      </c>
    </row>
    <row r="1120" spans="1:7" x14ac:dyDescent="0.25">
      <c r="A1120" t="str">
        <f t="shared" si="53"/>
        <v>Molina Población total</v>
      </c>
      <c r="B1120" t="s">
        <v>1090</v>
      </c>
      <c r="C1120" t="s">
        <v>1227</v>
      </c>
      <c r="D1120" t="s">
        <v>54</v>
      </c>
      <c r="E1120" s="2" t="s">
        <v>1230</v>
      </c>
      <c r="F1120">
        <f t="shared" si="51"/>
        <v>7</v>
      </c>
      <c r="G1120" s="2">
        <f t="shared" si="52"/>
        <v>52088</v>
      </c>
    </row>
    <row r="1121" spans="1:7" x14ac:dyDescent="0.25">
      <c r="A1121" t="str">
        <f t="shared" si="53"/>
        <v>Molina Población  de 0 a 14 años</v>
      </c>
      <c r="B1121" t="s">
        <v>1090</v>
      </c>
      <c r="C1121" t="s">
        <v>1227</v>
      </c>
      <c r="D1121" t="s">
        <v>52</v>
      </c>
      <c r="E1121" s="2" t="s">
        <v>1229</v>
      </c>
      <c r="F1121">
        <f t="shared" si="51"/>
        <v>6</v>
      </c>
      <c r="G1121" s="2">
        <f t="shared" si="52"/>
        <v>9737</v>
      </c>
    </row>
    <row r="1122" spans="1:7" x14ac:dyDescent="0.25">
      <c r="A1122" t="str">
        <f t="shared" si="53"/>
        <v>Molina Población  de 15 a 64 años</v>
      </c>
      <c r="B1122" t="s">
        <v>1090</v>
      </c>
      <c r="C1122" t="s">
        <v>1227</v>
      </c>
      <c r="D1122" t="s">
        <v>50</v>
      </c>
      <c r="E1122" s="2" t="s">
        <v>1228</v>
      </c>
      <c r="F1122">
        <f t="shared" si="51"/>
        <v>7</v>
      </c>
      <c r="G1122" s="2">
        <f t="shared" si="52"/>
        <v>34238</v>
      </c>
    </row>
    <row r="1123" spans="1:7" x14ac:dyDescent="0.25">
      <c r="A1123" t="str">
        <f t="shared" si="53"/>
        <v>Molina Población de 65 años o mas</v>
      </c>
      <c r="B1123" t="s">
        <v>1090</v>
      </c>
      <c r="C1123" t="s">
        <v>1227</v>
      </c>
      <c r="D1123" t="s">
        <v>46</v>
      </c>
      <c r="E1123" s="2" t="s">
        <v>1226</v>
      </c>
      <c r="F1123">
        <f t="shared" si="51"/>
        <v>6</v>
      </c>
      <c r="G1123" s="2">
        <f t="shared" si="52"/>
        <v>8113</v>
      </c>
    </row>
    <row r="1124" spans="1:7" x14ac:dyDescent="0.25">
      <c r="A1124" t="str">
        <f t="shared" si="53"/>
        <v>Río Claro Hombre</v>
      </c>
      <c r="B1124" t="s">
        <v>1090</v>
      </c>
      <c r="C1124" t="s">
        <v>1221</v>
      </c>
      <c r="D1124" t="s">
        <v>58</v>
      </c>
      <c r="E1124" s="2" t="s">
        <v>1225</v>
      </c>
      <c r="F1124">
        <f t="shared" si="51"/>
        <v>6</v>
      </c>
      <c r="G1124" s="2">
        <f t="shared" si="52"/>
        <v>7608</v>
      </c>
    </row>
    <row r="1125" spans="1:7" x14ac:dyDescent="0.25">
      <c r="A1125" t="str">
        <f t="shared" si="53"/>
        <v>Río Claro Mujer</v>
      </c>
      <c r="B1125" t="s">
        <v>1090</v>
      </c>
      <c r="C1125" t="s">
        <v>1221</v>
      </c>
      <c r="D1125" t="s">
        <v>56</v>
      </c>
      <c r="E1125" s="2" t="s">
        <v>1224</v>
      </c>
      <c r="F1125">
        <f t="shared" si="51"/>
        <v>6</v>
      </c>
      <c r="G1125" s="2">
        <f t="shared" si="52"/>
        <v>7521</v>
      </c>
    </row>
    <row r="1126" spans="1:7" x14ac:dyDescent="0.25">
      <c r="A1126" t="str">
        <f t="shared" si="53"/>
        <v>Río Claro Población total</v>
      </c>
      <c r="B1126" t="s">
        <v>1090</v>
      </c>
      <c r="C1126" t="s">
        <v>1221</v>
      </c>
      <c r="D1126" t="s">
        <v>54</v>
      </c>
      <c r="E1126" s="2" t="s">
        <v>1147</v>
      </c>
      <c r="F1126">
        <f t="shared" si="51"/>
        <v>7</v>
      </c>
      <c r="G1126" s="2">
        <f t="shared" si="52"/>
        <v>15129</v>
      </c>
    </row>
    <row r="1127" spans="1:7" x14ac:dyDescent="0.25">
      <c r="A1127" t="str">
        <f t="shared" si="53"/>
        <v>Río Claro Población  de 0 a 14 años</v>
      </c>
      <c r="B1127" t="s">
        <v>1090</v>
      </c>
      <c r="C1127" t="s">
        <v>1221</v>
      </c>
      <c r="D1127" t="s">
        <v>52</v>
      </c>
      <c r="E1127" s="2" t="s">
        <v>1223</v>
      </c>
      <c r="F1127">
        <f t="shared" si="51"/>
        <v>6</v>
      </c>
      <c r="G1127" s="2">
        <f t="shared" si="52"/>
        <v>2634</v>
      </c>
    </row>
    <row r="1128" spans="1:7" x14ac:dyDescent="0.25">
      <c r="A1128" t="str">
        <f t="shared" si="53"/>
        <v>Río Claro Población  de 15 a 64 años</v>
      </c>
      <c r="B1128" t="s">
        <v>1090</v>
      </c>
      <c r="C1128" t="s">
        <v>1221</v>
      </c>
      <c r="D1128" t="s">
        <v>50</v>
      </c>
      <c r="E1128" s="2" t="s">
        <v>1222</v>
      </c>
      <c r="F1128">
        <f t="shared" si="51"/>
        <v>6</v>
      </c>
      <c r="G1128" s="2">
        <f t="shared" si="52"/>
        <v>9941</v>
      </c>
    </row>
    <row r="1129" spans="1:7" x14ac:dyDescent="0.25">
      <c r="A1129" t="str">
        <f t="shared" si="53"/>
        <v>Río Claro Población de 65 años o mas</v>
      </c>
      <c r="B1129" t="s">
        <v>1090</v>
      </c>
      <c r="C1129" t="s">
        <v>1221</v>
      </c>
      <c r="D1129" t="s">
        <v>46</v>
      </c>
      <c r="E1129" s="2" t="s">
        <v>657</v>
      </c>
      <c r="F1129">
        <f t="shared" si="51"/>
        <v>6</v>
      </c>
      <c r="G1129" s="2">
        <f t="shared" si="52"/>
        <v>2554</v>
      </c>
    </row>
    <row r="1130" spans="1:7" x14ac:dyDescent="0.25">
      <c r="A1130" t="str">
        <f t="shared" si="53"/>
        <v>San Rafael Hombre</v>
      </c>
      <c r="B1130" t="s">
        <v>1090</v>
      </c>
      <c r="C1130" t="s">
        <v>1215</v>
      </c>
      <c r="D1130" t="s">
        <v>58</v>
      </c>
      <c r="E1130" s="2" t="s">
        <v>1220</v>
      </c>
      <c r="F1130">
        <f t="shared" si="51"/>
        <v>6</v>
      </c>
      <c r="G1130" s="2">
        <f t="shared" si="52"/>
        <v>5149</v>
      </c>
    </row>
    <row r="1131" spans="1:7" x14ac:dyDescent="0.25">
      <c r="A1131" t="str">
        <f t="shared" si="53"/>
        <v>San Rafael Mujer</v>
      </c>
      <c r="B1131" t="s">
        <v>1090</v>
      </c>
      <c r="C1131" t="s">
        <v>1215</v>
      </c>
      <c r="D1131" t="s">
        <v>56</v>
      </c>
      <c r="E1131" s="2" t="s">
        <v>1219</v>
      </c>
      <c r="F1131">
        <f t="shared" si="51"/>
        <v>6</v>
      </c>
      <c r="G1131" s="2">
        <f t="shared" si="52"/>
        <v>5250</v>
      </c>
    </row>
    <row r="1132" spans="1:7" x14ac:dyDescent="0.25">
      <c r="A1132" t="str">
        <f t="shared" si="53"/>
        <v>San Rafael Población total</v>
      </c>
      <c r="B1132" t="s">
        <v>1090</v>
      </c>
      <c r="C1132" t="s">
        <v>1215</v>
      </c>
      <c r="D1132" t="s">
        <v>54</v>
      </c>
      <c r="E1132" s="2" t="s">
        <v>1218</v>
      </c>
      <c r="F1132">
        <f t="shared" si="51"/>
        <v>7</v>
      </c>
      <c r="G1132" s="2">
        <f t="shared" si="52"/>
        <v>10399</v>
      </c>
    </row>
    <row r="1133" spans="1:7" x14ac:dyDescent="0.25">
      <c r="A1133" t="str">
        <f t="shared" si="53"/>
        <v>San Rafael Población  de 0 a 14 años</v>
      </c>
      <c r="B1133" t="s">
        <v>1090</v>
      </c>
      <c r="C1133" t="s">
        <v>1215</v>
      </c>
      <c r="D1133" t="s">
        <v>52</v>
      </c>
      <c r="E1133" s="2" t="s">
        <v>1217</v>
      </c>
      <c r="F1133">
        <f t="shared" si="51"/>
        <v>6</v>
      </c>
      <c r="G1133" s="2">
        <f t="shared" si="52"/>
        <v>2053</v>
      </c>
    </row>
    <row r="1134" spans="1:7" x14ac:dyDescent="0.25">
      <c r="A1134" t="str">
        <f t="shared" si="53"/>
        <v>San Rafael Población  de 15 a 64 años</v>
      </c>
      <c r="B1134" t="s">
        <v>1090</v>
      </c>
      <c r="C1134" t="s">
        <v>1215</v>
      </c>
      <c r="D1134" t="s">
        <v>50</v>
      </c>
      <c r="E1134" s="2" t="s">
        <v>1216</v>
      </c>
      <c r="F1134">
        <f t="shared" si="51"/>
        <v>6</v>
      </c>
      <c r="G1134" s="2">
        <f t="shared" si="52"/>
        <v>6667</v>
      </c>
    </row>
    <row r="1135" spans="1:7" x14ac:dyDescent="0.25">
      <c r="A1135" t="str">
        <f t="shared" si="53"/>
        <v>San Rafael Población de 65 años o mas</v>
      </c>
      <c r="B1135" t="s">
        <v>1090</v>
      </c>
      <c r="C1135" t="s">
        <v>1215</v>
      </c>
      <c r="D1135" t="s">
        <v>46</v>
      </c>
      <c r="E1135" s="2" t="s">
        <v>1214</v>
      </c>
      <c r="F1135">
        <f t="shared" si="51"/>
        <v>6</v>
      </c>
      <c r="G1135" s="2">
        <f t="shared" si="52"/>
        <v>1679</v>
      </c>
    </row>
    <row r="1136" spans="1:7" x14ac:dyDescent="0.25">
      <c r="A1136" t="str">
        <f t="shared" si="53"/>
        <v>Constitución Hombre</v>
      </c>
      <c r="B1136" t="s">
        <v>1090</v>
      </c>
      <c r="C1136" t="s">
        <v>1208</v>
      </c>
      <c r="D1136" t="s">
        <v>58</v>
      </c>
      <c r="E1136" s="2" t="s">
        <v>1213</v>
      </c>
      <c r="F1136">
        <f t="shared" si="51"/>
        <v>7</v>
      </c>
      <c r="G1136" s="2">
        <f t="shared" si="52"/>
        <v>25104</v>
      </c>
    </row>
    <row r="1137" spans="1:7" x14ac:dyDescent="0.25">
      <c r="A1137" t="str">
        <f t="shared" si="53"/>
        <v>Constitución Mujer</v>
      </c>
      <c r="B1137" t="s">
        <v>1090</v>
      </c>
      <c r="C1137" t="s">
        <v>1208</v>
      </c>
      <c r="D1137" t="s">
        <v>56</v>
      </c>
      <c r="E1137" s="2" t="s">
        <v>1212</v>
      </c>
      <c r="F1137">
        <f t="shared" si="51"/>
        <v>7</v>
      </c>
      <c r="G1137" s="2">
        <f t="shared" si="52"/>
        <v>25542</v>
      </c>
    </row>
    <row r="1138" spans="1:7" x14ac:dyDescent="0.25">
      <c r="A1138" t="str">
        <f t="shared" si="53"/>
        <v>Constitución Población total</v>
      </c>
      <c r="B1138" t="s">
        <v>1090</v>
      </c>
      <c r="C1138" t="s">
        <v>1208</v>
      </c>
      <c r="D1138" t="s">
        <v>54</v>
      </c>
      <c r="E1138" s="2" t="s">
        <v>1211</v>
      </c>
      <c r="F1138">
        <f t="shared" si="51"/>
        <v>7</v>
      </c>
      <c r="G1138" s="2">
        <f t="shared" si="52"/>
        <v>50646</v>
      </c>
    </row>
    <row r="1139" spans="1:7" x14ac:dyDescent="0.25">
      <c r="A1139" t="str">
        <f t="shared" si="53"/>
        <v>Constitución Población  de 0 a 14 años</v>
      </c>
      <c r="B1139" t="s">
        <v>1090</v>
      </c>
      <c r="C1139" t="s">
        <v>1208</v>
      </c>
      <c r="D1139" t="s">
        <v>52</v>
      </c>
      <c r="E1139" s="2" t="s">
        <v>1210</v>
      </c>
      <c r="F1139">
        <f t="shared" si="51"/>
        <v>7</v>
      </c>
      <c r="G1139" s="2">
        <f t="shared" si="52"/>
        <v>10252</v>
      </c>
    </row>
    <row r="1140" spans="1:7" x14ac:dyDescent="0.25">
      <c r="A1140" t="str">
        <f t="shared" si="53"/>
        <v>Constitución Población  de 15 a 64 años</v>
      </c>
      <c r="B1140" t="s">
        <v>1090</v>
      </c>
      <c r="C1140" t="s">
        <v>1208</v>
      </c>
      <c r="D1140" t="s">
        <v>50</v>
      </c>
      <c r="E1140" s="2" t="s">
        <v>1209</v>
      </c>
      <c r="F1140">
        <f t="shared" si="51"/>
        <v>7</v>
      </c>
      <c r="G1140" s="2">
        <f t="shared" si="52"/>
        <v>33786</v>
      </c>
    </row>
    <row r="1141" spans="1:7" x14ac:dyDescent="0.25">
      <c r="A1141" t="str">
        <f t="shared" si="53"/>
        <v>Constitución Población de 65 años o mas</v>
      </c>
      <c r="B1141" t="s">
        <v>1090</v>
      </c>
      <c r="C1141" t="s">
        <v>1208</v>
      </c>
      <c r="D1141" t="s">
        <v>46</v>
      </c>
      <c r="E1141" s="2" t="s">
        <v>1207</v>
      </c>
      <c r="F1141">
        <f t="shared" si="51"/>
        <v>6</v>
      </c>
      <c r="G1141" s="2">
        <f t="shared" si="52"/>
        <v>6608</v>
      </c>
    </row>
    <row r="1142" spans="1:7" x14ac:dyDescent="0.25">
      <c r="A1142" t="str">
        <f t="shared" si="53"/>
        <v>Pelarco Hombre</v>
      </c>
      <c r="B1142" t="s">
        <v>1090</v>
      </c>
      <c r="C1142" t="s">
        <v>1202</v>
      </c>
      <c r="D1142" t="s">
        <v>58</v>
      </c>
      <c r="E1142" s="2" t="s">
        <v>1206</v>
      </c>
      <c r="F1142">
        <f t="shared" si="51"/>
        <v>6</v>
      </c>
      <c r="G1142" s="2">
        <f t="shared" si="52"/>
        <v>4668</v>
      </c>
    </row>
    <row r="1143" spans="1:7" x14ac:dyDescent="0.25">
      <c r="A1143" t="str">
        <f t="shared" si="53"/>
        <v>Pelarco Mujer</v>
      </c>
      <c r="B1143" t="s">
        <v>1090</v>
      </c>
      <c r="C1143" t="s">
        <v>1202</v>
      </c>
      <c r="D1143" t="s">
        <v>56</v>
      </c>
      <c r="E1143" s="2" t="s">
        <v>696</v>
      </c>
      <c r="F1143">
        <f t="shared" si="51"/>
        <v>6</v>
      </c>
      <c r="G1143" s="2">
        <f t="shared" si="52"/>
        <v>4739</v>
      </c>
    </row>
    <row r="1144" spans="1:7" x14ac:dyDescent="0.25">
      <c r="A1144" t="str">
        <f t="shared" si="53"/>
        <v>Pelarco Población total</v>
      </c>
      <c r="B1144" t="s">
        <v>1090</v>
      </c>
      <c r="C1144" t="s">
        <v>1202</v>
      </c>
      <c r="D1144" t="s">
        <v>54</v>
      </c>
      <c r="E1144" s="2" t="s">
        <v>1205</v>
      </c>
      <c r="F1144">
        <f t="shared" si="51"/>
        <v>6</v>
      </c>
      <c r="G1144" s="2">
        <f t="shared" si="52"/>
        <v>9407</v>
      </c>
    </row>
    <row r="1145" spans="1:7" x14ac:dyDescent="0.25">
      <c r="A1145" t="str">
        <f t="shared" si="53"/>
        <v>Pelarco Población  de 0 a 14 años</v>
      </c>
      <c r="B1145" t="s">
        <v>1090</v>
      </c>
      <c r="C1145" t="s">
        <v>1202</v>
      </c>
      <c r="D1145" t="s">
        <v>52</v>
      </c>
      <c r="E1145" s="2" t="s">
        <v>1204</v>
      </c>
      <c r="F1145">
        <f t="shared" si="51"/>
        <v>6</v>
      </c>
      <c r="G1145" s="2">
        <f t="shared" si="52"/>
        <v>1655</v>
      </c>
    </row>
    <row r="1146" spans="1:7" x14ac:dyDescent="0.25">
      <c r="A1146" t="str">
        <f t="shared" si="53"/>
        <v>Pelarco Población  de 15 a 64 años</v>
      </c>
      <c r="B1146" t="s">
        <v>1090</v>
      </c>
      <c r="C1146" t="s">
        <v>1202</v>
      </c>
      <c r="D1146" t="s">
        <v>50</v>
      </c>
      <c r="E1146" s="2" t="s">
        <v>1203</v>
      </c>
      <c r="F1146">
        <f t="shared" si="51"/>
        <v>6</v>
      </c>
      <c r="G1146" s="2">
        <f t="shared" si="52"/>
        <v>5993</v>
      </c>
    </row>
    <row r="1147" spans="1:7" x14ac:dyDescent="0.25">
      <c r="A1147" t="str">
        <f t="shared" si="53"/>
        <v>Pelarco Población de 65 años o mas</v>
      </c>
      <c r="B1147" t="s">
        <v>1090</v>
      </c>
      <c r="C1147" t="s">
        <v>1202</v>
      </c>
      <c r="D1147" t="s">
        <v>46</v>
      </c>
      <c r="E1147" s="2" t="s">
        <v>1201</v>
      </c>
      <c r="F1147">
        <f t="shared" si="51"/>
        <v>6</v>
      </c>
      <c r="G1147" s="2">
        <f t="shared" si="52"/>
        <v>1759</v>
      </c>
    </row>
    <row r="1148" spans="1:7" x14ac:dyDescent="0.25">
      <c r="A1148" t="str">
        <f t="shared" si="53"/>
        <v>Pencahue Hombre</v>
      </c>
      <c r="B1148" t="s">
        <v>1090</v>
      </c>
      <c r="C1148" t="s">
        <v>1195</v>
      </c>
      <c r="D1148" t="s">
        <v>58</v>
      </c>
      <c r="E1148" s="2" t="s">
        <v>1200</v>
      </c>
      <c r="F1148">
        <f t="shared" si="51"/>
        <v>6</v>
      </c>
      <c r="G1148" s="2">
        <f t="shared" si="52"/>
        <v>4317</v>
      </c>
    </row>
    <row r="1149" spans="1:7" x14ac:dyDescent="0.25">
      <c r="A1149" t="str">
        <f t="shared" si="53"/>
        <v>Pencahue Mujer</v>
      </c>
      <c r="B1149" t="s">
        <v>1090</v>
      </c>
      <c r="C1149" t="s">
        <v>1195</v>
      </c>
      <c r="D1149" t="s">
        <v>56</v>
      </c>
      <c r="E1149" s="2" t="s">
        <v>1199</v>
      </c>
      <c r="F1149">
        <f t="shared" si="51"/>
        <v>6</v>
      </c>
      <c r="G1149" s="2">
        <f t="shared" si="52"/>
        <v>4309</v>
      </c>
    </row>
    <row r="1150" spans="1:7" x14ac:dyDescent="0.25">
      <c r="A1150" t="str">
        <f t="shared" si="53"/>
        <v>Pencahue Población total</v>
      </c>
      <c r="B1150" t="s">
        <v>1090</v>
      </c>
      <c r="C1150" t="s">
        <v>1195</v>
      </c>
      <c r="D1150" t="s">
        <v>54</v>
      </c>
      <c r="E1150" s="2" t="s">
        <v>1198</v>
      </c>
      <c r="F1150">
        <f t="shared" si="51"/>
        <v>6</v>
      </c>
      <c r="G1150" s="2">
        <f t="shared" si="52"/>
        <v>8626</v>
      </c>
    </row>
    <row r="1151" spans="1:7" x14ac:dyDescent="0.25">
      <c r="A1151" t="str">
        <f t="shared" si="53"/>
        <v>Pencahue Población  de 0 a 14 años</v>
      </c>
      <c r="B1151" t="s">
        <v>1090</v>
      </c>
      <c r="C1151" t="s">
        <v>1195</v>
      </c>
      <c r="D1151" t="s">
        <v>52</v>
      </c>
      <c r="E1151" s="2" t="s">
        <v>1197</v>
      </c>
      <c r="F1151">
        <f t="shared" si="51"/>
        <v>6</v>
      </c>
      <c r="G1151" s="2">
        <f t="shared" si="52"/>
        <v>1393</v>
      </c>
    </row>
    <row r="1152" spans="1:7" x14ac:dyDescent="0.25">
      <c r="A1152" t="str">
        <f t="shared" si="53"/>
        <v>Pencahue Población  de 15 a 64 años</v>
      </c>
      <c r="B1152" t="s">
        <v>1090</v>
      </c>
      <c r="C1152" t="s">
        <v>1195</v>
      </c>
      <c r="D1152" t="s">
        <v>50</v>
      </c>
      <c r="E1152" s="2" t="s">
        <v>1196</v>
      </c>
      <c r="F1152">
        <f t="shared" si="51"/>
        <v>6</v>
      </c>
      <c r="G1152" s="2">
        <f t="shared" si="52"/>
        <v>5539</v>
      </c>
    </row>
    <row r="1153" spans="1:7" x14ac:dyDescent="0.25">
      <c r="A1153" t="str">
        <f t="shared" si="53"/>
        <v>Pencahue Población de 65 años o mas</v>
      </c>
      <c r="B1153" t="s">
        <v>1090</v>
      </c>
      <c r="C1153" t="s">
        <v>1195</v>
      </c>
      <c r="D1153" t="s">
        <v>46</v>
      </c>
      <c r="E1153" s="2" t="s">
        <v>1194</v>
      </c>
      <c r="F1153">
        <f t="shared" si="51"/>
        <v>6</v>
      </c>
      <c r="G1153" s="2">
        <f t="shared" si="52"/>
        <v>1694</v>
      </c>
    </row>
    <row r="1154" spans="1:7" x14ac:dyDescent="0.25">
      <c r="A1154" t="str">
        <f t="shared" si="53"/>
        <v>Talca Hombre</v>
      </c>
      <c r="B1154" t="s">
        <v>1090</v>
      </c>
      <c r="C1154" t="s">
        <v>1188</v>
      </c>
      <c r="D1154" t="s">
        <v>58</v>
      </c>
      <c r="E1154" s="2" t="s">
        <v>1193</v>
      </c>
      <c r="F1154">
        <f t="shared" ref="F1154:F1217" si="54">+FIND(".",E1154)</f>
        <v>8</v>
      </c>
      <c r="G1154" s="2">
        <f t="shared" ref="G1154:G1217" si="55">+LEFT(E1154,(F1154-1))*1</f>
        <v>117441</v>
      </c>
    </row>
    <row r="1155" spans="1:7" x14ac:dyDescent="0.25">
      <c r="A1155" t="str">
        <f t="shared" ref="A1155:A1218" si="56">+C1155&amp;D1155</f>
        <v>Talca Mujer</v>
      </c>
      <c r="B1155" t="s">
        <v>1090</v>
      </c>
      <c r="C1155" t="s">
        <v>1188</v>
      </c>
      <c r="D1155" t="s">
        <v>56</v>
      </c>
      <c r="E1155" s="2" t="s">
        <v>1192</v>
      </c>
      <c r="F1155">
        <f t="shared" si="54"/>
        <v>8</v>
      </c>
      <c r="G1155" s="2">
        <f t="shared" si="55"/>
        <v>124903</v>
      </c>
    </row>
    <row r="1156" spans="1:7" x14ac:dyDescent="0.25">
      <c r="A1156" t="str">
        <f t="shared" si="56"/>
        <v>Talca Población total</v>
      </c>
      <c r="B1156" t="s">
        <v>1090</v>
      </c>
      <c r="C1156" t="s">
        <v>1188</v>
      </c>
      <c r="D1156" t="s">
        <v>54</v>
      </c>
      <c r="E1156" s="2" t="s">
        <v>1191</v>
      </c>
      <c r="F1156">
        <f t="shared" si="54"/>
        <v>8</v>
      </c>
      <c r="G1156" s="2">
        <f t="shared" si="55"/>
        <v>242344</v>
      </c>
    </row>
    <row r="1157" spans="1:7" x14ac:dyDescent="0.25">
      <c r="A1157" t="str">
        <f t="shared" si="56"/>
        <v>Talca Población  de 0 a 14 años</v>
      </c>
      <c r="B1157" t="s">
        <v>1090</v>
      </c>
      <c r="C1157" t="s">
        <v>1188</v>
      </c>
      <c r="D1157" t="s">
        <v>52</v>
      </c>
      <c r="E1157" s="2" t="s">
        <v>1190</v>
      </c>
      <c r="F1157">
        <f t="shared" si="54"/>
        <v>7</v>
      </c>
      <c r="G1157" s="2">
        <f t="shared" si="55"/>
        <v>42501</v>
      </c>
    </row>
    <row r="1158" spans="1:7" x14ac:dyDescent="0.25">
      <c r="A1158" t="str">
        <f t="shared" si="56"/>
        <v>Talca Población  de 15 a 64 años</v>
      </c>
      <c r="B1158" t="s">
        <v>1090</v>
      </c>
      <c r="C1158" t="s">
        <v>1188</v>
      </c>
      <c r="D1158" t="s">
        <v>50</v>
      </c>
      <c r="E1158" s="2" t="s">
        <v>1189</v>
      </c>
      <c r="F1158">
        <f t="shared" si="54"/>
        <v>8</v>
      </c>
      <c r="G1158" s="2">
        <f t="shared" si="55"/>
        <v>162580</v>
      </c>
    </row>
    <row r="1159" spans="1:7" x14ac:dyDescent="0.25">
      <c r="A1159" t="str">
        <f t="shared" si="56"/>
        <v>Talca Población de 65 años o mas</v>
      </c>
      <c r="B1159" t="s">
        <v>1090</v>
      </c>
      <c r="C1159" t="s">
        <v>1188</v>
      </c>
      <c r="D1159" t="s">
        <v>46</v>
      </c>
      <c r="E1159" s="2" t="s">
        <v>1187</v>
      </c>
      <c r="F1159">
        <f t="shared" si="54"/>
        <v>7</v>
      </c>
      <c r="G1159" s="2">
        <f t="shared" si="55"/>
        <v>37263</v>
      </c>
    </row>
    <row r="1160" spans="1:7" x14ac:dyDescent="0.25">
      <c r="A1160" t="str">
        <f t="shared" si="56"/>
        <v>Maule Hombre</v>
      </c>
      <c r="B1160" t="s">
        <v>1090</v>
      </c>
      <c r="C1160" t="s">
        <v>1181</v>
      </c>
      <c r="D1160" t="s">
        <v>58</v>
      </c>
      <c r="E1160" s="2" t="s">
        <v>1186</v>
      </c>
      <c r="F1160">
        <f t="shared" si="54"/>
        <v>7</v>
      </c>
      <c r="G1160" s="2">
        <f t="shared" si="55"/>
        <v>33647</v>
      </c>
    </row>
    <row r="1161" spans="1:7" x14ac:dyDescent="0.25">
      <c r="A1161" t="str">
        <f t="shared" si="56"/>
        <v>Maule Mujer</v>
      </c>
      <c r="B1161" t="s">
        <v>1090</v>
      </c>
      <c r="C1161" t="s">
        <v>1181</v>
      </c>
      <c r="D1161" t="s">
        <v>56</v>
      </c>
      <c r="E1161" s="2" t="s">
        <v>1185</v>
      </c>
      <c r="F1161">
        <f t="shared" si="54"/>
        <v>7</v>
      </c>
      <c r="G1161" s="2">
        <f t="shared" si="55"/>
        <v>35328</v>
      </c>
    </row>
    <row r="1162" spans="1:7" x14ac:dyDescent="0.25">
      <c r="A1162" t="str">
        <f t="shared" si="56"/>
        <v>Maule Población total</v>
      </c>
      <c r="B1162" t="s">
        <v>1090</v>
      </c>
      <c r="C1162" t="s">
        <v>1181</v>
      </c>
      <c r="D1162" t="s">
        <v>54</v>
      </c>
      <c r="E1162" s="2" t="s">
        <v>1184</v>
      </c>
      <c r="F1162">
        <f t="shared" si="54"/>
        <v>7</v>
      </c>
      <c r="G1162" s="2">
        <f t="shared" si="55"/>
        <v>68975</v>
      </c>
    </row>
    <row r="1163" spans="1:7" x14ac:dyDescent="0.25">
      <c r="A1163" t="str">
        <f t="shared" si="56"/>
        <v>Maule Población  de 0 a 14 años</v>
      </c>
      <c r="B1163" t="s">
        <v>1090</v>
      </c>
      <c r="C1163" t="s">
        <v>1181</v>
      </c>
      <c r="D1163" t="s">
        <v>52</v>
      </c>
      <c r="E1163" s="2" t="s">
        <v>1183</v>
      </c>
      <c r="F1163">
        <f t="shared" si="54"/>
        <v>7</v>
      </c>
      <c r="G1163" s="2">
        <f t="shared" si="55"/>
        <v>16681</v>
      </c>
    </row>
    <row r="1164" spans="1:7" x14ac:dyDescent="0.25">
      <c r="A1164" t="str">
        <f t="shared" si="56"/>
        <v>Maule Población  de 15 a 64 años</v>
      </c>
      <c r="B1164" t="s">
        <v>1090</v>
      </c>
      <c r="C1164" t="s">
        <v>1181</v>
      </c>
      <c r="D1164" t="s">
        <v>50</v>
      </c>
      <c r="E1164" s="2" t="s">
        <v>1182</v>
      </c>
      <c r="F1164">
        <f t="shared" si="54"/>
        <v>7</v>
      </c>
      <c r="G1164" s="2">
        <f t="shared" si="55"/>
        <v>46207</v>
      </c>
    </row>
    <row r="1165" spans="1:7" x14ac:dyDescent="0.25">
      <c r="A1165" t="str">
        <f t="shared" si="56"/>
        <v>Maule Población de 65 años o mas</v>
      </c>
      <c r="B1165" t="s">
        <v>1090</v>
      </c>
      <c r="C1165" t="s">
        <v>1181</v>
      </c>
      <c r="D1165" t="s">
        <v>46</v>
      </c>
      <c r="E1165" s="2" t="s">
        <v>1180</v>
      </c>
      <c r="F1165">
        <f t="shared" si="54"/>
        <v>6</v>
      </c>
      <c r="G1165" s="2">
        <f t="shared" si="55"/>
        <v>6087</v>
      </c>
    </row>
    <row r="1166" spans="1:7" x14ac:dyDescent="0.25">
      <c r="A1166" t="str">
        <f t="shared" si="56"/>
        <v>San Clemente Hombre</v>
      </c>
      <c r="B1166" t="s">
        <v>1090</v>
      </c>
      <c r="C1166" t="s">
        <v>1174</v>
      </c>
      <c r="D1166" t="s">
        <v>58</v>
      </c>
      <c r="E1166" s="2" t="s">
        <v>1179</v>
      </c>
      <c r="F1166">
        <f t="shared" si="54"/>
        <v>7</v>
      </c>
      <c r="G1166" s="2">
        <f t="shared" si="55"/>
        <v>23690</v>
      </c>
    </row>
    <row r="1167" spans="1:7" x14ac:dyDescent="0.25">
      <c r="A1167" t="str">
        <f t="shared" si="56"/>
        <v>San Clemente Mujer</v>
      </c>
      <c r="B1167" t="s">
        <v>1090</v>
      </c>
      <c r="C1167" t="s">
        <v>1174</v>
      </c>
      <c r="D1167" t="s">
        <v>56</v>
      </c>
      <c r="E1167" s="2" t="s">
        <v>1178</v>
      </c>
      <c r="F1167">
        <f t="shared" si="54"/>
        <v>7</v>
      </c>
      <c r="G1167" s="2">
        <f t="shared" si="55"/>
        <v>24309</v>
      </c>
    </row>
    <row r="1168" spans="1:7" x14ac:dyDescent="0.25">
      <c r="A1168" t="str">
        <f t="shared" si="56"/>
        <v>San Clemente Población total</v>
      </c>
      <c r="B1168" t="s">
        <v>1090</v>
      </c>
      <c r="C1168" t="s">
        <v>1174</v>
      </c>
      <c r="D1168" t="s">
        <v>54</v>
      </c>
      <c r="E1168" s="2" t="s">
        <v>1177</v>
      </c>
      <c r="F1168">
        <f t="shared" si="54"/>
        <v>7</v>
      </c>
      <c r="G1168" s="2">
        <f t="shared" si="55"/>
        <v>47999</v>
      </c>
    </row>
    <row r="1169" spans="1:7" x14ac:dyDescent="0.25">
      <c r="A1169" t="str">
        <f t="shared" si="56"/>
        <v>San Clemente Población  de 0 a 14 años</v>
      </c>
      <c r="B1169" t="s">
        <v>1090</v>
      </c>
      <c r="C1169" t="s">
        <v>1174</v>
      </c>
      <c r="D1169" t="s">
        <v>52</v>
      </c>
      <c r="E1169" s="2" t="s">
        <v>1176</v>
      </c>
      <c r="F1169">
        <f t="shared" si="54"/>
        <v>6</v>
      </c>
      <c r="G1169" s="2">
        <f t="shared" si="55"/>
        <v>9260</v>
      </c>
    </row>
    <row r="1170" spans="1:7" x14ac:dyDescent="0.25">
      <c r="A1170" t="str">
        <f t="shared" si="56"/>
        <v>San Clemente Población  de 15 a 64 años</v>
      </c>
      <c r="B1170" t="s">
        <v>1090</v>
      </c>
      <c r="C1170" t="s">
        <v>1174</v>
      </c>
      <c r="D1170" t="s">
        <v>50</v>
      </c>
      <c r="E1170" s="2" t="s">
        <v>1175</v>
      </c>
      <c r="F1170">
        <f t="shared" si="54"/>
        <v>7</v>
      </c>
      <c r="G1170" s="2">
        <f t="shared" si="55"/>
        <v>31101</v>
      </c>
    </row>
    <row r="1171" spans="1:7" x14ac:dyDescent="0.25">
      <c r="A1171" t="str">
        <f t="shared" si="56"/>
        <v>San Clemente Población de 65 años o mas</v>
      </c>
      <c r="B1171" t="s">
        <v>1090</v>
      </c>
      <c r="C1171" t="s">
        <v>1174</v>
      </c>
      <c r="D1171" t="s">
        <v>46</v>
      </c>
      <c r="E1171" s="2" t="s">
        <v>1173</v>
      </c>
      <c r="F1171">
        <f t="shared" si="54"/>
        <v>6</v>
      </c>
      <c r="G1171" s="2">
        <f t="shared" si="55"/>
        <v>7638</v>
      </c>
    </row>
    <row r="1172" spans="1:7" x14ac:dyDescent="0.25">
      <c r="A1172" t="str">
        <f t="shared" si="56"/>
        <v>Empedrado Hombre</v>
      </c>
      <c r="B1172" t="s">
        <v>1090</v>
      </c>
      <c r="C1172" t="s">
        <v>1167</v>
      </c>
      <c r="D1172" t="s">
        <v>58</v>
      </c>
      <c r="E1172" s="2" t="s">
        <v>1172</v>
      </c>
      <c r="F1172">
        <f t="shared" si="54"/>
        <v>6</v>
      </c>
      <c r="G1172" s="2">
        <f t="shared" si="55"/>
        <v>2117</v>
      </c>
    </row>
    <row r="1173" spans="1:7" x14ac:dyDescent="0.25">
      <c r="A1173" t="str">
        <f t="shared" si="56"/>
        <v>Empedrado Mujer</v>
      </c>
      <c r="B1173" t="s">
        <v>1090</v>
      </c>
      <c r="C1173" t="s">
        <v>1167</v>
      </c>
      <c r="D1173" t="s">
        <v>56</v>
      </c>
      <c r="E1173" s="2" t="s">
        <v>1171</v>
      </c>
      <c r="F1173">
        <f t="shared" si="54"/>
        <v>6</v>
      </c>
      <c r="G1173" s="2">
        <f t="shared" si="55"/>
        <v>2059</v>
      </c>
    </row>
    <row r="1174" spans="1:7" x14ac:dyDescent="0.25">
      <c r="A1174" t="str">
        <f t="shared" si="56"/>
        <v>Empedrado Población total</v>
      </c>
      <c r="B1174" t="s">
        <v>1090</v>
      </c>
      <c r="C1174" t="s">
        <v>1167</v>
      </c>
      <c r="D1174" t="s">
        <v>54</v>
      </c>
      <c r="E1174" s="2" t="s">
        <v>1170</v>
      </c>
      <c r="F1174">
        <f t="shared" si="54"/>
        <v>6</v>
      </c>
      <c r="G1174" s="2">
        <f t="shared" si="55"/>
        <v>4176</v>
      </c>
    </row>
    <row r="1175" spans="1:7" x14ac:dyDescent="0.25">
      <c r="A1175" t="str">
        <f t="shared" si="56"/>
        <v>Empedrado Población  de 0 a 14 años</v>
      </c>
      <c r="B1175" t="s">
        <v>1090</v>
      </c>
      <c r="C1175" t="s">
        <v>1167</v>
      </c>
      <c r="D1175" t="s">
        <v>52</v>
      </c>
      <c r="E1175" s="2" t="s">
        <v>1169</v>
      </c>
      <c r="F1175">
        <f t="shared" si="54"/>
        <v>5</v>
      </c>
      <c r="G1175" s="2">
        <f t="shared" si="55"/>
        <v>774</v>
      </c>
    </row>
    <row r="1176" spans="1:7" x14ac:dyDescent="0.25">
      <c r="A1176" t="str">
        <f t="shared" si="56"/>
        <v>Empedrado Población  de 15 a 64 años</v>
      </c>
      <c r="B1176" t="s">
        <v>1090</v>
      </c>
      <c r="C1176" t="s">
        <v>1167</v>
      </c>
      <c r="D1176" t="s">
        <v>50</v>
      </c>
      <c r="E1176" s="2" t="s">
        <v>1168</v>
      </c>
      <c r="F1176">
        <f t="shared" si="54"/>
        <v>6</v>
      </c>
      <c r="G1176" s="2">
        <f t="shared" si="55"/>
        <v>2711</v>
      </c>
    </row>
    <row r="1177" spans="1:7" x14ac:dyDescent="0.25">
      <c r="A1177" t="str">
        <f t="shared" si="56"/>
        <v>Empedrado Población de 65 años o mas</v>
      </c>
      <c r="B1177" t="s">
        <v>1090</v>
      </c>
      <c r="C1177" t="s">
        <v>1167</v>
      </c>
      <c r="D1177" t="s">
        <v>46</v>
      </c>
      <c r="E1177" s="2" t="s">
        <v>1166</v>
      </c>
      <c r="F1177">
        <f t="shared" si="54"/>
        <v>5</v>
      </c>
      <c r="G1177" s="2">
        <f t="shared" si="55"/>
        <v>691</v>
      </c>
    </row>
    <row r="1178" spans="1:7" x14ac:dyDescent="0.25">
      <c r="A1178" t="str">
        <f t="shared" si="56"/>
        <v>San Javier Hombre</v>
      </c>
      <c r="B1178" t="s">
        <v>1090</v>
      </c>
      <c r="C1178" t="s">
        <v>1160</v>
      </c>
      <c r="D1178" t="s">
        <v>58</v>
      </c>
      <c r="E1178" s="2" t="s">
        <v>1165</v>
      </c>
      <c r="F1178">
        <f t="shared" si="54"/>
        <v>7</v>
      </c>
      <c r="G1178" s="2">
        <f t="shared" si="55"/>
        <v>25068</v>
      </c>
    </row>
    <row r="1179" spans="1:7" x14ac:dyDescent="0.25">
      <c r="A1179" t="str">
        <f t="shared" si="56"/>
        <v>San Javier Mujer</v>
      </c>
      <c r="B1179" t="s">
        <v>1090</v>
      </c>
      <c r="C1179" t="s">
        <v>1160</v>
      </c>
      <c r="D1179" t="s">
        <v>56</v>
      </c>
      <c r="E1179" s="2" t="s">
        <v>1164</v>
      </c>
      <c r="F1179">
        <f t="shared" si="54"/>
        <v>7</v>
      </c>
      <c r="G1179" s="2">
        <f t="shared" si="55"/>
        <v>26401</v>
      </c>
    </row>
    <row r="1180" spans="1:7" x14ac:dyDescent="0.25">
      <c r="A1180" t="str">
        <f t="shared" si="56"/>
        <v>San Javier Población total</v>
      </c>
      <c r="B1180" t="s">
        <v>1090</v>
      </c>
      <c r="C1180" t="s">
        <v>1160</v>
      </c>
      <c r="D1180" t="s">
        <v>54</v>
      </c>
      <c r="E1180" s="2" t="s">
        <v>1163</v>
      </c>
      <c r="F1180">
        <f t="shared" si="54"/>
        <v>7</v>
      </c>
      <c r="G1180" s="2">
        <f t="shared" si="55"/>
        <v>51469</v>
      </c>
    </row>
    <row r="1181" spans="1:7" x14ac:dyDescent="0.25">
      <c r="A1181" t="str">
        <f t="shared" si="56"/>
        <v>San Javier Población  de 0 a 14 años</v>
      </c>
      <c r="B1181" t="s">
        <v>1090</v>
      </c>
      <c r="C1181" t="s">
        <v>1160</v>
      </c>
      <c r="D1181" t="s">
        <v>52</v>
      </c>
      <c r="E1181" s="2" t="s">
        <v>1162</v>
      </c>
      <c r="F1181">
        <f t="shared" si="54"/>
        <v>6</v>
      </c>
      <c r="G1181" s="2">
        <f t="shared" si="55"/>
        <v>9787</v>
      </c>
    </row>
    <row r="1182" spans="1:7" x14ac:dyDescent="0.25">
      <c r="A1182" t="str">
        <f t="shared" si="56"/>
        <v>San Javier Población  de 15 a 64 años</v>
      </c>
      <c r="B1182" t="s">
        <v>1090</v>
      </c>
      <c r="C1182" t="s">
        <v>1160</v>
      </c>
      <c r="D1182" t="s">
        <v>50</v>
      </c>
      <c r="E1182" s="2" t="s">
        <v>1161</v>
      </c>
      <c r="F1182">
        <f t="shared" si="54"/>
        <v>7</v>
      </c>
      <c r="G1182" s="2">
        <f t="shared" si="55"/>
        <v>33038</v>
      </c>
    </row>
    <row r="1183" spans="1:7" x14ac:dyDescent="0.25">
      <c r="A1183" t="str">
        <f t="shared" si="56"/>
        <v>San Javier Población de 65 años o mas</v>
      </c>
      <c r="B1183" t="s">
        <v>1090</v>
      </c>
      <c r="C1183" t="s">
        <v>1160</v>
      </c>
      <c r="D1183" t="s">
        <v>46</v>
      </c>
      <c r="E1183" s="2" t="s">
        <v>1159</v>
      </c>
      <c r="F1183">
        <f t="shared" si="54"/>
        <v>6</v>
      </c>
      <c r="G1183" s="2">
        <f t="shared" si="55"/>
        <v>8644</v>
      </c>
    </row>
    <row r="1184" spans="1:7" x14ac:dyDescent="0.25">
      <c r="A1184" t="str">
        <f t="shared" si="56"/>
        <v>Villa Alegre Hombre</v>
      </c>
      <c r="B1184" t="s">
        <v>1090</v>
      </c>
      <c r="C1184" t="s">
        <v>1153</v>
      </c>
      <c r="D1184" t="s">
        <v>58</v>
      </c>
      <c r="E1184" s="2" t="s">
        <v>1158</v>
      </c>
      <c r="F1184">
        <f t="shared" si="54"/>
        <v>6</v>
      </c>
      <c r="G1184" s="2">
        <f t="shared" si="55"/>
        <v>8771</v>
      </c>
    </row>
    <row r="1185" spans="1:7" x14ac:dyDescent="0.25">
      <c r="A1185" t="str">
        <f t="shared" si="56"/>
        <v>Villa Alegre Mujer</v>
      </c>
      <c r="B1185" t="s">
        <v>1090</v>
      </c>
      <c r="C1185" t="s">
        <v>1153</v>
      </c>
      <c r="D1185" t="s">
        <v>56</v>
      </c>
      <c r="E1185" s="2" t="s">
        <v>1157</v>
      </c>
      <c r="F1185">
        <f t="shared" si="54"/>
        <v>6</v>
      </c>
      <c r="G1185" s="2">
        <f t="shared" si="55"/>
        <v>9265</v>
      </c>
    </row>
    <row r="1186" spans="1:7" x14ac:dyDescent="0.25">
      <c r="A1186" t="str">
        <f t="shared" si="56"/>
        <v>Villa Alegre Población total</v>
      </c>
      <c r="B1186" t="s">
        <v>1090</v>
      </c>
      <c r="C1186" t="s">
        <v>1153</v>
      </c>
      <c r="D1186" t="s">
        <v>54</v>
      </c>
      <c r="E1186" s="2" t="s">
        <v>1156</v>
      </c>
      <c r="F1186">
        <f t="shared" si="54"/>
        <v>7</v>
      </c>
      <c r="G1186" s="2">
        <f t="shared" si="55"/>
        <v>18036</v>
      </c>
    </row>
    <row r="1187" spans="1:7" x14ac:dyDescent="0.25">
      <c r="A1187" t="str">
        <f t="shared" si="56"/>
        <v>Villa Alegre Población  de 0 a 14 años</v>
      </c>
      <c r="B1187" t="s">
        <v>1090</v>
      </c>
      <c r="C1187" t="s">
        <v>1153</v>
      </c>
      <c r="D1187" t="s">
        <v>52</v>
      </c>
      <c r="E1187" s="2" t="s">
        <v>1155</v>
      </c>
      <c r="F1187">
        <f t="shared" si="54"/>
        <v>6</v>
      </c>
      <c r="G1187" s="2">
        <f t="shared" si="55"/>
        <v>3236</v>
      </c>
    </row>
    <row r="1188" spans="1:7" x14ac:dyDescent="0.25">
      <c r="A1188" t="str">
        <f t="shared" si="56"/>
        <v>Villa Alegre Población  de 15 a 64 años</v>
      </c>
      <c r="B1188" t="s">
        <v>1090</v>
      </c>
      <c r="C1188" t="s">
        <v>1153</v>
      </c>
      <c r="D1188" t="s">
        <v>50</v>
      </c>
      <c r="E1188" s="2" t="s">
        <v>1154</v>
      </c>
      <c r="F1188">
        <f t="shared" si="54"/>
        <v>7</v>
      </c>
      <c r="G1188" s="2">
        <f t="shared" si="55"/>
        <v>11413</v>
      </c>
    </row>
    <row r="1189" spans="1:7" x14ac:dyDescent="0.25">
      <c r="A1189" t="str">
        <f t="shared" si="56"/>
        <v>Villa Alegre Población de 65 años o mas</v>
      </c>
      <c r="B1189" t="s">
        <v>1090</v>
      </c>
      <c r="C1189" t="s">
        <v>1153</v>
      </c>
      <c r="D1189" t="s">
        <v>46</v>
      </c>
      <c r="E1189" s="2" t="s">
        <v>1152</v>
      </c>
      <c r="F1189">
        <f t="shared" si="54"/>
        <v>6</v>
      </c>
      <c r="G1189" s="2">
        <f t="shared" si="55"/>
        <v>3387</v>
      </c>
    </row>
    <row r="1190" spans="1:7" x14ac:dyDescent="0.25">
      <c r="A1190" t="str">
        <f t="shared" si="56"/>
        <v>Colbún Hombre</v>
      </c>
      <c r="B1190" t="s">
        <v>1090</v>
      </c>
      <c r="C1190" t="s">
        <v>1146</v>
      </c>
      <c r="D1190" t="s">
        <v>58</v>
      </c>
      <c r="E1190" s="2" t="s">
        <v>1151</v>
      </c>
      <c r="F1190">
        <f t="shared" si="54"/>
        <v>7</v>
      </c>
      <c r="G1190" s="2">
        <f t="shared" si="55"/>
        <v>11541</v>
      </c>
    </row>
    <row r="1191" spans="1:7" x14ac:dyDescent="0.25">
      <c r="A1191" t="str">
        <f t="shared" si="56"/>
        <v>Colbún Mujer</v>
      </c>
      <c r="B1191" t="s">
        <v>1090</v>
      </c>
      <c r="C1191" t="s">
        <v>1146</v>
      </c>
      <c r="D1191" t="s">
        <v>56</v>
      </c>
      <c r="E1191" s="2" t="s">
        <v>1150</v>
      </c>
      <c r="F1191">
        <f t="shared" si="54"/>
        <v>7</v>
      </c>
      <c r="G1191" s="2">
        <f t="shared" si="55"/>
        <v>11938</v>
      </c>
    </row>
    <row r="1192" spans="1:7" x14ac:dyDescent="0.25">
      <c r="A1192" t="str">
        <f t="shared" si="56"/>
        <v>Colbún Población total</v>
      </c>
      <c r="B1192" t="s">
        <v>1090</v>
      </c>
      <c r="C1192" t="s">
        <v>1146</v>
      </c>
      <c r="D1192" t="s">
        <v>54</v>
      </c>
      <c r="E1192" s="2" t="s">
        <v>1149</v>
      </c>
      <c r="F1192">
        <f t="shared" si="54"/>
        <v>7</v>
      </c>
      <c r="G1192" s="2">
        <f t="shared" si="55"/>
        <v>23479</v>
      </c>
    </row>
    <row r="1193" spans="1:7" x14ac:dyDescent="0.25">
      <c r="A1193" t="str">
        <f t="shared" si="56"/>
        <v>Colbún Población  de 0 a 14 años</v>
      </c>
      <c r="B1193" t="s">
        <v>1090</v>
      </c>
      <c r="C1193" t="s">
        <v>1146</v>
      </c>
      <c r="D1193" t="s">
        <v>52</v>
      </c>
      <c r="E1193" s="2" t="s">
        <v>1148</v>
      </c>
      <c r="F1193">
        <f t="shared" si="54"/>
        <v>6</v>
      </c>
      <c r="G1193" s="2">
        <f t="shared" si="55"/>
        <v>4374</v>
      </c>
    </row>
    <row r="1194" spans="1:7" x14ac:dyDescent="0.25">
      <c r="A1194" t="str">
        <f t="shared" si="56"/>
        <v>Colbún Población  de 15 a 64 años</v>
      </c>
      <c r="B1194" t="s">
        <v>1090</v>
      </c>
      <c r="C1194" t="s">
        <v>1146</v>
      </c>
      <c r="D1194" t="s">
        <v>50</v>
      </c>
      <c r="E1194" s="2" t="s">
        <v>1147</v>
      </c>
      <c r="F1194">
        <f t="shared" si="54"/>
        <v>7</v>
      </c>
      <c r="G1194" s="2">
        <f t="shared" si="55"/>
        <v>15129</v>
      </c>
    </row>
    <row r="1195" spans="1:7" x14ac:dyDescent="0.25">
      <c r="A1195" t="str">
        <f t="shared" si="56"/>
        <v>Colbún Población de 65 años o mas</v>
      </c>
      <c r="B1195" t="s">
        <v>1090</v>
      </c>
      <c r="C1195" t="s">
        <v>1146</v>
      </c>
      <c r="D1195" t="s">
        <v>46</v>
      </c>
      <c r="E1195" s="2" t="s">
        <v>1145</v>
      </c>
      <c r="F1195">
        <f t="shared" si="54"/>
        <v>6</v>
      </c>
      <c r="G1195" s="2">
        <f t="shared" si="55"/>
        <v>3976</v>
      </c>
    </row>
    <row r="1196" spans="1:7" x14ac:dyDescent="0.25">
      <c r="A1196" t="str">
        <f t="shared" si="56"/>
        <v>Chanco Hombre</v>
      </c>
      <c r="B1196" t="s">
        <v>1090</v>
      </c>
      <c r="C1196" t="s">
        <v>1139</v>
      </c>
      <c r="D1196" t="s">
        <v>58</v>
      </c>
      <c r="E1196" s="2" t="s">
        <v>1144</v>
      </c>
      <c r="F1196">
        <f t="shared" si="54"/>
        <v>6</v>
      </c>
      <c r="G1196" s="2">
        <f t="shared" si="55"/>
        <v>4583</v>
      </c>
    </row>
    <row r="1197" spans="1:7" x14ac:dyDescent="0.25">
      <c r="A1197" t="str">
        <f t="shared" si="56"/>
        <v>Chanco Mujer</v>
      </c>
      <c r="B1197" t="s">
        <v>1090</v>
      </c>
      <c r="C1197" t="s">
        <v>1139</v>
      </c>
      <c r="D1197" t="s">
        <v>56</v>
      </c>
      <c r="E1197" s="2" t="s">
        <v>1143</v>
      </c>
      <c r="F1197">
        <f t="shared" si="54"/>
        <v>6</v>
      </c>
      <c r="G1197" s="2">
        <f t="shared" si="55"/>
        <v>4673</v>
      </c>
    </row>
    <row r="1198" spans="1:7" x14ac:dyDescent="0.25">
      <c r="A1198" t="str">
        <f t="shared" si="56"/>
        <v>Chanco Población total</v>
      </c>
      <c r="B1198" t="s">
        <v>1090</v>
      </c>
      <c r="C1198" t="s">
        <v>1139</v>
      </c>
      <c r="D1198" t="s">
        <v>54</v>
      </c>
      <c r="E1198" s="2" t="s">
        <v>1142</v>
      </c>
      <c r="F1198">
        <f t="shared" si="54"/>
        <v>6</v>
      </c>
      <c r="G1198" s="2">
        <f t="shared" si="55"/>
        <v>9256</v>
      </c>
    </row>
    <row r="1199" spans="1:7" x14ac:dyDescent="0.25">
      <c r="A1199" t="str">
        <f t="shared" si="56"/>
        <v>Chanco Población  de 0 a 14 años</v>
      </c>
      <c r="B1199" t="s">
        <v>1090</v>
      </c>
      <c r="C1199" t="s">
        <v>1139</v>
      </c>
      <c r="D1199" t="s">
        <v>52</v>
      </c>
      <c r="E1199" s="2" t="s">
        <v>1141</v>
      </c>
      <c r="F1199">
        <f t="shared" si="54"/>
        <v>6</v>
      </c>
      <c r="G1199" s="2">
        <f t="shared" si="55"/>
        <v>1582</v>
      </c>
    </row>
    <row r="1200" spans="1:7" x14ac:dyDescent="0.25">
      <c r="A1200" t="str">
        <f t="shared" si="56"/>
        <v>Chanco Población  de 15 a 64 años</v>
      </c>
      <c r="B1200" t="s">
        <v>1090</v>
      </c>
      <c r="C1200" t="s">
        <v>1139</v>
      </c>
      <c r="D1200" t="s">
        <v>50</v>
      </c>
      <c r="E1200" s="2" t="s">
        <v>1140</v>
      </c>
      <c r="F1200">
        <f t="shared" si="54"/>
        <v>6</v>
      </c>
      <c r="G1200" s="2">
        <f t="shared" si="55"/>
        <v>5840</v>
      </c>
    </row>
    <row r="1201" spans="1:7" x14ac:dyDescent="0.25">
      <c r="A1201" t="str">
        <f t="shared" si="56"/>
        <v>Chanco Población de 65 años o mas</v>
      </c>
      <c r="B1201" t="s">
        <v>1090</v>
      </c>
      <c r="C1201" t="s">
        <v>1139</v>
      </c>
      <c r="D1201" t="s">
        <v>46</v>
      </c>
      <c r="E1201" s="2" t="s">
        <v>1138</v>
      </c>
      <c r="F1201">
        <f t="shared" si="54"/>
        <v>6</v>
      </c>
      <c r="G1201" s="2">
        <f t="shared" si="55"/>
        <v>1834</v>
      </c>
    </row>
    <row r="1202" spans="1:7" x14ac:dyDescent="0.25">
      <c r="A1202" t="str">
        <f t="shared" si="56"/>
        <v>Yerbas Buenas Hombre</v>
      </c>
      <c r="B1202" t="s">
        <v>1090</v>
      </c>
      <c r="C1202" t="s">
        <v>1132</v>
      </c>
      <c r="D1202" t="s">
        <v>58</v>
      </c>
      <c r="E1202" s="2" t="s">
        <v>1137</v>
      </c>
      <c r="F1202">
        <f t="shared" si="54"/>
        <v>6</v>
      </c>
      <c r="G1202" s="2">
        <f t="shared" si="55"/>
        <v>9829</v>
      </c>
    </row>
    <row r="1203" spans="1:7" x14ac:dyDescent="0.25">
      <c r="A1203" t="str">
        <f t="shared" si="56"/>
        <v>Yerbas Buenas Mujer</v>
      </c>
      <c r="B1203" t="s">
        <v>1090</v>
      </c>
      <c r="C1203" t="s">
        <v>1132</v>
      </c>
      <c r="D1203" t="s">
        <v>56</v>
      </c>
      <c r="E1203" s="2" t="s">
        <v>1136</v>
      </c>
      <c r="F1203">
        <f t="shared" si="54"/>
        <v>6</v>
      </c>
      <c r="G1203" s="2">
        <f t="shared" si="55"/>
        <v>9971</v>
      </c>
    </row>
    <row r="1204" spans="1:7" x14ac:dyDescent="0.25">
      <c r="A1204" t="str">
        <f t="shared" si="56"/>
        <v>Yerbas Buenas Población total</v>
      </c>
      <c r="B1204" t="s">
        <v>1090</v>
      </c>
      <c r="C1204" t="s">
        <v>1132</v>
      </c>
      <c r="D1204" t="s">
        <v>54</v>
      </c>
      <c r="E1204" s="2" t="s">
        <v>1135</v>
      </c>
      <c r="F1204">
        <f t="shared" si="54"/>
        <v>7</v>
      </c>
      <c r="G1204" s="2">
        <f t="shared" si="55"/>
        <v>19800</v>
      </c>
    </row>
    <row r="1205" spans="1:7" x14ac:dyDescent="0.25">
      <c r="A1205" t="str">
        <f t="shared" si="56"/>
        <v>Yerbas Buenas Población  de 0 a 14 años</v>
      </c>
      <c r="B1205" t="s">
        <v>1090</v>
      </c>
      <c r="C1205" t="s">
        <v>1132</v>
      </c>
      <c r="D1205" t="s">
        <v>52</v>
      </c>
      <c r="E1205" s="2" t="s">
        <v>1134</v>
      </c>
      <c r="F1205">
        <f t="shared" si="54"/>
        <v>6</v>
      </c>
      <c r="G1205" s="2">
        <f t="shared" si="55"/>
        <v>3765</v>
      </c>
    </row>
    <row r="1206" spans="1:7" x14ac:dyDescent="0.25">
      <c r="A1206" t="str">
        <f t="shared" si="56"/>
        <v>Yerbas Buenas Población  de 15 a 64 años</v>
      </c>
      <c r="B1206" t="s">
        <v>1090</v>
      </c>
      <c r="C1206" t="s">
        <v>1132</v>
      </c>
      <c r="D1206" t="s">
        <v>50</v>
      </c>
      <c r="E1206" s="2" t="s">
        <v>1133</v>
      </c>
      <c r="F1206">
        <f t="shared" si="54"/>
        <v>7</v>
      </c>
      <c r="G1206" s="2">
        <f t="shared" si="55"/>
        <v>12937</v>
      </c>
    </row>
    <row r="1207" spans="1:7" x14ac:dyDescent="0.25">
      <c r="A1207" t="str">
        <f t="shared" si="56"/>
        <v>Yerbas Buenas Población de 65 años o mas</v>
      </c>
      <c r="B1207" t="s">
        <v>1090</v>
      </c>
      <c r="C1207" t="s">
        <v>1132</v>
      </c>
      <c r="D1207" t="s">
        <v>46</v>
      </c>
      <c r="E1207" s="2" t="s">
        <v>1131</v>
      </c>
      <c r="F1207">
        <f t="shared" si="54"/>
        <v>6</v>
      </c>
      <c r="G1207" s="2">
        <f t="shared" si="55"/>
        <v>3098</v>
      </c>
    </row>
    <row r="1208" spans="1:7" x14ac:dyDescent="0.25">
      <c r="A1208" t="str">
        <f t="shared" si="56"/>
        <v>Pelluhue Hombre</v>
      </c>
      <c r="B1208" t="s">
        <v>1090</v>
      </c>
      <c r="C1208" t="s">
        <v>1125</v>
      </c>
      <c r="D1208" t="s">
        <v>58</v>
      </c>
      <c r="E1208" s="2" t="s">
        <v>1130</v>
      </c>
      <c r="F1208">
        <f t="shared" si="54"/>
        <v>6</v>
      </c>
      <c r="G1208" s="2">
        <f t="shared" si="55"/>
        <v>4161</v>
      </c>
    </row>
    <row r="1209" spans="1:7" x14ac:dyDescent="0.25">
      <c r="A1209" t="str">
        <f t="shared" si="56"/>
        <v>Pelluhue Mujer</v>
      </c>
      <c r="B1209" t="s">
        <v>1090</v>
      </c>
      <c r="C1209" t="s">
        <v>1125</v>
      </c>
      <c r="D1209" t="s">
        <v>56</v>
      </c>
      <c r="E1209" s="2" t="s">
        <v>1129</v>
      </c>
      <c r="F1209">
        <f t="shared" si="54"/>
        <v>6</v>
      </c>
      <c r="G1209" s="2">
        <f t="shared" si="55"/>
        <v>4283</v>
      </c>
    </row>
    <row r="1210" spans="1:7" x14ac:dyDescent="0.25">
      <c r="A1210" t="str">
        <f t="shared" si="56"/>
        <v>Pelluhue Población total</v>
      </c>
      <c r="B1210" t="s">
        <v>1090</v>
      </c>
      <c r="C1210" t="s">
        <v>1125</v>
      </c>
      <c r="D1210" t="s">
        <v>54</v>
      </c>
      <c r="E1210" s="2" t="s">
        <v>1128</v>
      </c>
      <c r="F1210">
        <f t="shared" si="54"/>
        <v>6</v>
      </c>
      <c r="G1210" s="2">
        <f t="shared" si="55"/>
        <v>8444</v>
      </c>
    </row>
    <row r="1211" spans="1:7" x14ac:dyDescent="0.25">
      <c r="A1211" t="str">
        <f t="shared" si="56"/>
        <v>Pelluhue Población  de 0 a 14 años</v>
      </c>
      <c r="B1211" t="s">
        <v>1090</v>
      </c>
      <c r="C1211" t="s">
        <v>1125</v>
      </c>
      <c r="D1211" t="s">
        <v>52</v>
      </c>
      <c r="E1211" s="2" t="s">
        <v>1127</v>
      </c>
      <c r="F1211">
        <f t="shared" si="54"/>
        <v>6</v>
      </c>
      <c r="G1211" s="2">
        <f t="shared" si="55"/>
        <v>1518</v>
      </c>
    </row>
    <row r="1212" spans="1:7" x14ac:dyDescent="0.25">
      <c r="A1212" t="str">
        <f t="shared" si="56"/>
        <v>Pelluhue Población  de 15 a 64 años</v>
      </c>
      <c r="B1212" t="s">
        <v>1090</v>
      </c>
      <c r="C1212" t="s">
        <v>1125</v>
      </c>
      <c r="D1212" t="s">
        <v>50</v>
      </c>
      <c r="E1212" s="2" t="s">
        <v>1126</v>
      </c>
      <c r="F1212">
        <f t="shared" si="54"/>
        <v>6</v>
      </c>
      <c r="G1212" s="2">
        <f t="shared" si="55"/>
        <v>5145</v>
      </c>
    </row>
    <row r="1213" spans="1:7" x14ac:dyDescent="0.25">
      <c r="A1213" t="str">
        <f t="shared" si="56"/>
        <v>Pelluhue Población de 65 años o mas</v>
      </c>
      <c r="B1213" t="s">
        <v>1090</v>
      </c>
      <c r="C1213" t="s">
        <v>1125</v>
      </c>
      <c r="D1213" t="s">
        <v>46</v>
      </c>
      <c r="E1213" s="2" t="s">
        <v>1124</v>
      </c>
      <c r="F1213">
        <f t="shared" si="54"/>
        <v>6</v>
      </c>
      <c r="G1213" s="2">
        <f t="shared" si="55"/>
        <v>1781</v>
      </c>
    </row>
    <row r="1214" spans="1:7" x14ac:dyDescent="0.25">
      <c r="A1214" t="str">
        <f t="shared" si="56"/>
        <v>Linares Hombre</v>
      </c>
      <c r="B1214" t="s">
        <v>1090</v>
      </c>
      <c r="C1214" t="s">
        <v>1118</v>
      </c>
      <c r="D1214" t="s">
        <v>58</v>
      </c>
      <c r="E1214" s="2" t="s">
        <v>1123</v>
      </c>
      <c r="F1214">
        <f t="shared" si="54"/>
        <v>7</v>
      </c>
      <c r="G1214" s="2">
        <f t="shared" si="55"/>
        <v>50256</v>
      </c>
    </row>
    <row r="1215" spans="1:7" x14ac:dyDescent="0.25">
      <c r="A1215" t="str">
        <f t="shared" si="56"/>
        <v>Linares Mujer</v>
      </c>
      <c r="B1215" t="s">
        <v>1090</v>
      </c>
      <c r="C1215" t="s">
        <v>1118</v>
      </c>
      <c r="D1215" t="s">
        <v>56</v>
      </c>
      <c r="E1215" s="2" t="s">
        <v>1122</v>
      </c>
      <c r="F1215">
        <f t="shared" si="54"/>
        <v>7</v>
      </c>
      <c r="G1215" s="2">
        <f t="shared" si="55"/>
        <v>53702</v>
      </c>
    </row>
    <row r="1216" spans="1:7" x14ac:dyDescent="0.25">
      <c r="A1216" t="str">
        <f t="shared" si="56"/>
        <v>Linares Población total</v>
      </c>
      <c r="B1216" t="s">
        <v>1090</v>
      </c>
      <c r="C1216" t="s">
        <v>1118</v>
      </c>
      <c r="D1216" t="s">
        <v>54</v>
      </c>
      <c r="E1216" s="2" t="s">
        <v>1121</v>
      </c>
      <c r="F1216">
        <f t="shared" si="54"/>
        <v>8</v>
      </c>
      <c r="G1216" s="2">
        <f t="shared" si="55"/>
        <v>103958</v>
      </c>
    </row>
    <row r="1217" spans="1:7" x14ac:dyDescent="0.25">
      <c r="A1217" t="str">
        <f t="shared" si="56"/>
        <v>Linares Población  de 0 a 14 años</v>
      </c>
      <c r="B1217" t="s">
        <v>1090</v>
      </c>
      <c r="C1217" t="s">
        <v>1118</v>
      </c>
      <c r="D1217" t="s">
        <v>52</v>
      </c>
      <c r="E1217" s="2" t="s">
        <v>1120</v>
      </c>
      <c r="F1217">
        <f t="shared" si="54"/>
        <v>7</v>
      </c>
      <c r="G1217" s="2">
        <f t="shared" si="55"/>
        <v>19733</v>
      </c>
    </row>
    <row r="1218" spans="1:7" x14ac:dyDescent="0.25">
      <c r="A1218" t="str">
        <f t="shared" si="56"/>
        <v>Linares Población  de 15 a 64 años</v>
      </c>
      <c r="B1218" t="s">
        <v>1090</v>
      </c>
      <c r="C1218" t="s">
        <v>1118</v>
      </c>
      <c r="D1218" t="s">
        <v>50</v>
      </c>
      <c r="E1218" s="2" t="s">
        <v>1119</v>
      </c>
      <c r="F1218">
        <f t="shared" ref="F1218:F1281" si="57">+FIND(".",E1218)</f>
        <v>7</v>
      </c>
      <c r="G1218" s="2">
        <f t="shared" ref="G1218:G1281" si="58">+LEFT(E1218,(F1218-1))*1</f>
        <v>67579</v>
      </c>
    </row>
    <row r="1219" spans="1:7" x14ac:dyDescent="0.25">
      <c r="A1219" t="str">
        <f t="shared" ref="A1219:A1282" si="59">+C1219&amp;D1219</f>
        <v>Linares Población de 65 años o mas</v>
      </c>
      <c r="B1219" t="s">
        <v>1090</v>
      </c>
      <c r="C1219" t="s">
        <v>1118</v>
      </c>
      <c r="D1219" t="s">
        <v>46</v>
      </c>
      <c r="E1219" s="2" t="s">
        <v>1117</v>
      </c>
      <c r="F1219">
        <f t="shared" si="57"/>
        <v>7</v>
      </c>
      <c r="G1219" s="2">
        <f t="shared" si="58"/>
        <v>16646</v>
      </c>
    </row>
    <row r="1220" spans="1:7" x14ac:dyDescent="0.25">
      <c r="A1220" t="str">
        <f t="shared" si="59"/>
        <v>Longaví Hombre</v>
      </c>
      <c r="B1220" t="s">
        <v>1090</v>
      </c>
      <c r="C1220" t="s">
        <v>1111</v>
      </c>
      <c r="D1220" t="s">
        <v>58</v>
      </c>
      <c r="E1220" s="2" t="s">
        <v>1116</v>
      </c>
      <c r="F1220">
        <f t="shared" si="57"/>
        <v>7</v>
      </c>
      <c r="G1220" s="2">
        <f t="shared" si="58"/>
        <v>16784</v>
      </c>
    </row>
    <row r="1221" spans="1:7" x14ac:dyDescent="0.25">
      <c r="A1221" t="str">
        <f t="shared" si="59"/>
        <v>Longaví Mujer</v>
      </c>
      <c r="B1221" t="s">
        <v>1090</v>
      </c>
      <c r="C1221" t="s">
        <v>1111</v>
      </c>
      <c r="D1221" t="s">
        <v>56</v>
      </c>
      <c r="E1221" s="2" t="s">
        <v>1115</v>
      </c>
      <c r="F1221">
        <f t="shared" si="57"/>
        <v>7</v>
      </c>
      <c r="G1221" s="2">
        <f t="shared" si="58"/>
        <v>16882</v>
      </c>
    </row>
    <row r="1222" spans="1:7" x14ac:dyDescent="0.25">
      <c r="A1222" t="str">
        <f t="shared" si="59"/>
        <v>Longaví Población total</v>
      </c>
      <c r="B1222" t="s">
        <v>1090</v>
      </c>
      <c r="C1222" t="s">
        <v>1111</v>
      </c>
      <c r="D1222" t="s">
        <v>54</v>
      </c>
      <c r="E1222" s="2" t="s">
        <v>1114</v>
      </c>
      <c r="F1222">
        <f t="shared" si="57"/>
        <v>7</v>
      </c>
      <c r="G1222" s="2">
        <f t="shared" si="58"/>
        <v>33666</v>
      </c>
    </row>
    <row r="1223" spans="1:7" x14ac:dyDescent="0.25">
      <c r="A1223" t="str">
        <f t="shared" si="59"/>
        <v>Longaví Población  de 0 a 14 años</v>
      </c>
      <c r="B1223" t="s">
        <v>1090</v>
      </c>
      <c r="C1223" t="s">
        <v>1111</v>
      </c>
      <c r="D1223" t="s">
        <v>52</v>
      </c>
      <c r="E1223" s="2" t="s">
        <v>1113</v>
      </c>
      <c r="F1223">
        <f t="shared" si="57"/>
        <v>6</v>
      </c>
      <c r="G1223" s="2">
        <f t="shared" si="58"/>
        <v>5987</v>
      </c>
    </row>
    <row r="1224" spans="1:7" x14ac:dyDescent="0.25">
      <c r="A1224" t="str">
        <f t="shared" si="59"/>
        <v>Longaví Población  de 15 a 64 años</v>
      </c>
      <c r="B1224" t="s">
        <v>1090</v>
      </c>
      <c r="C1224" t="s">
        <v>1111</v>
      </c>
      <c r="D1224" t="s">
        <v>50</v>
      </c>
      <c r="E1224" s="2" t="s">
        <v>1112</v>
      </c>
      <c r="F1224">
        <f t="shared" si="57"/>
        <v>7</v>
      </c>
      <c r="G1224" s="2">
        <f t="shared" si="58"/>
        <v>22080</v>
      </c>
    </row>
    <row r="1225" spans="1:7" x14ac:dyDescent="0.25">
      <c r="A1225" t="str">
        <f t="shared" si="59"/>
        <v>Longaví Población de 65 años o mas</v>
      </c>
      <c r="B1225" t="s">
        <v>1090</v>
      </c>
      <c r="C1225" t="s">
        <v>1111</v>
      </c>
      <c r="D1225" t="s">
        <v>46</v>
      </c>
      <c r="E1225" s="2" t="s">
        <v>1110</v>
      </c>
      <c r="F1225">
        <f t="shared" si="57"/>
        <v>6</v>
      </c>
      <c r="G1225" s="2">
        <f t="shared" si="58"/>
        <v>5599</v>
      </c>
    </row>
    <row r="1226" spans="1:7" x14ac:dyDescent="0.25">
      <c r="A1226" t="str">
        <f t="shared" si="59"/>
        <v>Cauquenes Hombre</v>
      </c>
      <c r="B1226" t="s">
        <v>1090</v>
      </c>
      <c r="C1226" t="s">
        <v>1105</v>
      </c>
      <c r="D1226" t="s">
        <v>58</v>
      </c>
      <c r="E1226" s="2" t="s">
        <v>1109</v>
      </c>
      <c r="F1226">
        <f t="shared" si="57"/>
        <v>7</v>
      </c>
      <c r="G1226" s="2">
        <f t="shared" si="58"/>
        <v>21618</v>
      </c>
    </row>
    <row r="1227" spans="1:7" x14ac:dyDescent="0.25">
      <c r="A1227" t="str">
        <f t="shared" si="59"/>
        <v>Cauquenes Mujer</v>
      </c>
      <c r="B1227" t="s">
        <v>1090</v>
      </c>
      <c r="C1227" t="s">
        <v>1105</v>
      </c>
      <c r="D1227" t="s">
        <v>56</v>
      </c>
      <c r="E1227" s="2" t="s">
        <v>1108</v>
      </c>
      <c r="F1227">
        <f t="shared" si="57"/>
        <v>7</v>
      </c>
      <c r="G1227" s="2">
        <f t="shared" si="58"/>
        <v>22828</v>
      </c>
    </row>
    <row r="1228" spans="1:7" x14ac:dyDescent="0.25">
      <c r="A1228" t="str">
        <f t="shared" si="59"/>
        <v>Cauquenes Población total</v>
      </c>
      <c r="B1228" t="s">
        <v>1090</v>
      </c>
      <c r="C1228" t="s">
        <v>1105</v>
      </c>
      <c r="D1228" t="s">
        <v>54</v>
      </c>
      <c r="E1228" s="2" t="s">
        <v>1107</v>
      </c>
      <c r="F1228">
        <f t="shared" si="57"/>
        <v>7</v>
      </c>
      <c r="G1228" s="2">
        <f t="shared" si="58"/>
        <v>44446</v>
      </c>
    </row>
    <row r="1229" spans="1:7" x14ac:dyDescent="0.25">
      <c r="A1229" t="str">
        <f t="shared" si="59"/>
        <v>Cauquenes Población  de 0 a 14 años</v>
      </c>
      <c r="B1229" t="s">
        <v>1090</v>
      </c>
      <c r="C1229" t="s">
        <v>1105</v>
      </c>
      <c r="D1229" t="s">
        <v>52</v>
      </c>
      <c r="E1229" s="2" t="s">
        <v>1106</v>
      </c>
      <c r="F1229">
        <f t="shared" si="57"/>
        <v>6</v>
      </c>
      <c r="G1229" s="2">
        <f t="shared" si="58"/>
        <v>7859</v>
      </c>
    </row>
    <row r="1230" spans="1:7" x14ac:dyDescent="0.25">
      <c r="A1230" t="str">
        <f t="shared" si="59"/>
        <v>Cauquenes Población  de 15 a 64 años</v>
      </c>
      <c r="B1230" t="s">
        <v>1090</v>
      </c>
      <c r="C1230" t="s">
        <v>1105</v>
      </c>
      <c r="D1230" t="s">
        <v>50</v>
      </c>
      <c r="E1230" s="2" t="s">
        <v>629</v>
      </c>
      <c r="F1230">
        <f t="shared" si="57"/>
        <v>7</v>
      </c>
      <c r="G1230" s="2">
        <f t="shared" si="58"/>
        <v>27270</v>
      </c>
    </row>
    <row r="1231" spans="1:7" x14ac:dyDescent="0.25">
      <c r="A1231" t="str">
        <f t="shared" si="59"/>
        <v>Cauquenes Población de 65 años o mas</v>
      </c>
      <c r="B1231" t="s">
        <v>1090</v>
      </c>
      <c r="C1231" t="s">
        <v>1105</v>
      </c>
      <c r="D1231" t="s">
        <v>46</v>
      </c>
      <c r="E1231" s="2" t="s">
        <v>1104</v>
      </c>
      <c r="F1231">
        <f t="shared" si="57"/>
        <v>6</v>
      </c>
      <c r="G1231" s="2">
        <f t="shared" si="58"/>
        <v>9317</v>
      </c>
    </row>
    <row r="1232" spans="1:7" x14ac:dyDescent="0.25">
      <c r="A1232" t="str">
        <f t="shared" si="59"/>
        <v>Retiro Hombre</v>
      </c>
      <c r="B1232" t="s">
        <v>1090</v>
      </c>
      <c r="C1232" t="s">
        <v>1098</v>
      </c>
      <c r="D1232" t="s">
        <v>58</v>
      </c>
      <c r="E1232" s="2" t="s">
        <v>1103</v>
      </c>
      <c r="F1232">
        <f t="shared" si="57"/>
        <v>7</v>
      </c>
      <c r="G1232" s="2">
        <f t="shared" si="58"/>
        <v>10657</v>
      </c>
    </row>
    <row r="1233" spans="1:7" x14ac:dyDescent="0.25">
      <c r="A1233" t="str">
        <f t="shared" si="59"/>
        <v>Retiro Mujer</v>
      </c>
      <c r="B1233" t="s">
        <v>1090</v>
      </c>
      <c r="C1233" t="s">
        <v>1098</v>
      </c>
      <c r="D1233" t="s">
        <v>56</v>
      </c>
      <c r="E1233" s="2" t="s">
        <v>1102</v>
      </c>
      <c r="F1233">
        <f t="shared" si="57"/>
        <v>7</v>
      </c>
      <c r="G1233" s="2">
        <f t="shared" si="58"/>
        <v>10835</v>
      </c>
    </row>
    <row r="1234" spans="1:7" x14ac:dyDescent="0.25">
      <c r="A1234" t="str">
        <f t="shared" si="59"/>
        <v>Retiro Población total</v>
      </c>
      <c r="B1234" t="s">
        <v>1090</v>
      </c>
      <c r="C1234" t="s">
        <v>1098</v>
      </c>
      <c r="D1234" t="s">
        <v>54</v>
      </c>
      <c r="E1234" s="2" t="s">
        <v>1101</v>
      </c>
      <c r="F1234">
        <f t="shared" si="57"/>
        <v>7</v>
      </c>
      <c r="G1234" s="2">
        <f t="shared" si="58"/>
        <v>21492</v>
      </c>
    </row>
    <row r="1235" spans="1:7" x14ac:dyDescent="0.25">
      <c r="A1235" t="str">
        <f t="shared" si="59"/>
        <v>Retiro Población  de 0 a 14 años</v>
      </c>
      <c r="B1235" t="s">
        <v>1090</v>
      </c>
      <c r="C1235" t="s">
        <v>1098</v>
      </c>
      <c r="D1235" t="s">
        <v>52</v>
      </c>
      <c r="E1235" s="2" t="s">
        <v>1100</v>
      </c>
      <c r="F1235">
        <f t="shared" si="57"/>
        <v>6</v>
      </c>
      <c r="G1235" s="2">
        <f t="shared" si="58"/>
        <v>3836</v>
      </c>
    </row>
    <row r="1236" spans="1:7" x14ac:dyDescent="0.25">
      <c r="A1236" t="str">
        <f t="shared" si="59"/>
        <v>Retiro Población  de 15 a 64 años</v>
      </c>
      <c r="B1236" t="s">
        <v>1090</v>
      </c>
      <c r="C1236" t="s">
        <v>1098</v>
      </c>
      <c r="D1236" t="s">
        <v>50</v>
      </c>
      <c r="E1236" s="2" t="s">
        <v>1099</v>
      </c>
      <c r="F1236">
        <f t="shared" si="57"/>
        <v>7</v>
      </c>
      <c r="G1236" s="2">
        <f t="shared" si="58"/>
        <v>13840</v>
      </c>
    </row>
    <row r="1237" spans="1:7" x14ac:dyDescent="0.25">
      <c r="A1237" t="str">
        <f t="shared" si="59"/>
        <v>Retiro Población de 65 años o mas</v>
      </c>
      <c r="B1237" t="s">
        <v>1090</v>
      </c>
      <c r="C1237" t="s">
        <v>1098</v>
      </c>
      <c r="D1237" t="s">
        <v>46</v>
      </c>
      <c r="E1237" s="2" t="s">
        <v>1097</v>
      </c>
      <c r="F1237">
        <f t="shared" si="57"/>
        <v>6</v>
      </c>
      <c r="G1237" s="2">
        <f t="shared" si="58"/>
        <v>3816</v>
      </c>
    </row>
    <row r="1238" spans="1:7" x14ac:dyDescent="0.25">
      <c r="A1238" t="str">
        <f t="shared" si="59"/>
        <v>Parral Hombre</v>
      </c>
      <c r="B1238" t="s">
        <v>1090</v>
      </c>
      <c r="C1238" t="s">
        <v>1091</v>
      </c>
      <c r="D1238" t="s">
        <v>58</v>
      </c>
      <c r="E1238" s="2" t="s">
        <v>1096</v>
      </c>
      <c r="F1238">
        <f t="shared" si="57"/>
        <v>7</v>
      </c>
      <c r="G1238" s="2">
        <f t="shared" si="58"/>
        <v>22240</v>
      </c>
    </row>
    <row r="1239" spans="1:7" x14ac:dyDescent="0.25">
      <c r="A1239" t="str">
        <f t="shared" si="59"/>
        <v>Parral Mujer</v>
      </c>
      <c r="B1239" t="s">
        <v>1090</v>
      </c>
      <c r="C1239" t="s">
        <v>1091</v>
      </c>
      <c r="D1239" t="s">
        <v>56</v>
      </c>
      <c r="E1239" s="2" t="s">
        <v>1095</v>
      </c>
      <c r="F1239">
        <f t="shared" si="57"/>
        <v>7</v>
      </c>
      <c r="G1239" s="2">
        <f t="shared" si="58"/>
        <v>23343</v>
      </c>
    </row>
    <row r="1240" spans="1:7" x14ac:dyDescent="0.25">
      <c r="A1240" t="str">
        <f t="shared" si="59"/>
        <v>Parral Población total</v>
      </c>
      <c r="B1240" t="s">
        <v>1090</v>
      </c>
      <c r="C1240" t="s">
        <v>1091</v>
      </c>
      <c r="D1240" t="s">
        <v>54</v>
      </c>
      <c r="E1240" s="2" t="s">
        <v>1094</v>
      </c>
      <c r="F1240">
        <f t="shared" si="57"/>
        <v>7</v>
      </c>
      <c r="G1240" s="2">
        <f t="shared" si="58"/>
        <v>45583</v>
      </c>
    </row>
    <row r="1241" spans="1:7" x14ac:dyDescent="0.25">
      <c r="A1241" t="str">
        <f t="shared" si="59"/>
        <v>Parral Población  de 0 a 14 años</v>
      </c>
      <c r="B1241" t="s">
        <v>1090</v>
      </c>
      <c r="C1241" t="s">
        <v>1091</v>
      </c>
      <c r="D1241" t="s">
        <v>52</v>
      </c>
      <c r="E1241" s="2" t="s">
        <v>1093</v>
      </c>
      <c r="F1241">
        <f t="shared" si="57"/>
        <v>6</v>
      </c>
      <c r="G1241" s="2">
        <f t="shared" si="58"/>
        <v>8657</v>
      </c>
    </row>
    <row r="1242" spans="1:7" x14ac:dyDescent="0.25">
      <c r="A1242" t="str">
        <f t="shared" si="59"/>
        <v>Parral Población  de 15 a 64 años</v>
      </c>
      <c r="B1242" t="s">
        <v>1090</v>
      </c>
      <c r="C1242" t="s">
        <v>1091</v>
      </c>
      <c r="D1242" t="s">
        <v>50</v>
      </c>
      <c r="E1242" s="2" t="s">
        <v>1092</v>
      </c>
      <c r="F1242">
        <f t="shared" si="57"/>
        <v>7</v>
      </c>
      <c r="G1242" s="2">
        <f t="shared" si="58"/>
        <v>28795</v>
      </c>
    </row>
    <row r="1243" spans="1:7" x14ac:dyDescent="0.25">
      <c r="A1243" t="str">
        <f t="shared" si="59"/>
        <v>Parral Población de 65 años o mas</v>
      </c>
      <c r="B1243" t="s">
        <v>1090</v>
      </c>
      <c r="C1243" t="s">
        <v>1091</v>
      </c>
      <c r="D1243" t="s">
        <v>46</v>
      </c>
      <c r="E1243" s="2" t="s">
        <v>1089</v>
      </c>
      <c r="F1243">
        <f t="shared" si="57"/>
        <v>6</v>
      </c>
      <c r="G1243" s="2">
        <f t="shared" si="58"/>
        <v>8131</v>
      </c>
    </row>
    <row r="1244" spans="1:7" x14ac:dyDescent="0.25">
      <c r="A1244" t="str">
        <f t="shared" si="59"/>
        <v>Región del Ñuble Hombre</v>
      </c>
      <c r="B1244" t="s">
        <v>961</v>
      </c>
      <c r="C1244" t="s">
        <v>961</v>
      </c>
      <c r="D1244" t="s">
        <v>58</v>
      </c>
      <c r="E1244" s="2" t="s">
        <v>1088</v>
      </c>
      <c r="F1244">
        <f t="shared" si="57"/>
        <v>8</v>
      </c>
      <c r="G1244" s="2">
        <f t="shared" si="58"/>
        <v>251232</v>
      </c>
    </row>
    <row r="1245" spans="1:7" x14ac:dyDescent="0.25">
      <c r="A1245" t="str">
        <f t="shared" si="59"/>
        <v>Región del Ñuble Mujer</v>
      </c>
      <c r="B1245" t="s">
        <v>961</v>
      </c>
      <c r="C1245" t="s">
        <v>961</v>
      </c>
      <c r="D1245" t="s">
        <v>56</v>
      </c>
      <c r="E1245" s="2" t="s">
        <v>1087</v>
      </c>
      <c r="F1245">
        <f t="shared" si="57"/>
        <v>8</v>
      </c>
      <c r="G1245" s="2">
        <f t="shared" si="58"/>
        <v>270479</v>
      </c>
    </row>
    <row r="1246" spans="1:7" x14ac:dyDescent="0.25">
      <c r="A1246" t="str">
        <f t="shared" si="59"/>
        <v>Región del Ñuble Población total</v>
      </c>
      <c r="B1246" t="s">
        <v>961</v>
      </c>
      <c r="C1246" t="s">
        <v>961</v>
      </c>
      <c r="D1246" t="s">
        <v>54</v>
      </c>
      <c r="E1246" s="2" t="s">
        <v>1086</v>
      </c>
      <c r="F1246">
        <f t="shared" si="57"/>
        <v>8</v>
      </c>
      <c r="G1246" s="2">
        <f t="shared" si="58"/>
        <v>521711</v>
      </c>
    </row>
    <row r="1247" spans="1:7" x14ac:dyDescent="0.25">
      <c r="A1247" t="str">
        <f t="shared" si="59"/>
        <v>Región del Ñuble Población  de 0 a 14 años</v>
      </c>
      <c r="B1247" t="s">
        <v>961</v>
      </c>
      <c r="C1247" t="s">
        <v>961</v>
      </c>
      <c r="D1247" t="s">
        <v>52</v>
      </c>
      <c r="E1247" s="2" t="s">
        <v>1085</v>
      </c>
      <c r="F1247">
        <f t="shared" si="57"/>
        <v>7</v>
      </c>
      <c r="G1247" s="2">
        <f t="shared" si="58"/>
        <v>91717</v>
      </c>
    </row>
    <row r="1248" spans="1:7" x14ac:dyDescent="0.25">
      <c r="A1248" t="str">
        <f t="shared" si="59"/>
        <v>Región del Ñuble Población  de 15 a 64 años</v>
      </c>
      <c r="B1248" t="s">
        <v>961</v>
      </c>
      <c r="C1248" t="s">
        <v>961</v>
      </c>
      <c r="D1248" t="s">
        <v>50</v>
      </c>
      <c r="E1248" s="2" t="s">
        <v>1084</v>
      </c>
      <c r="F1248">
        <f t="shared" si="57"/>
        <v>8</v>
      </c>
      <c r="G1248" s="2">
        <f t="shared" si="58"/>
        <v>339587</v>
      </c>
    </row>
    <row r="1249" spans="1:7" x14ac:dyDescent="0.25">
      <c r="A1249" t="str">
        <f t="shared" si="59"/>
        <v>Región del Ñuble Población de 65 años o mas</v>
      </c>
      <c r="B1249" t="s">
        <v>961</v>
      </c>
      <c r="C1249" t="s">
        <v>961</v>
      </c>
      <c r="D1249" t="s">
        <v>46</v>
      </c>
      <c r="E1249" s="2" t="s">
        <v>1083</v>
      </c>
      <c r="F1249">
        <f t="shared" si="57"/>
        <v>7</v>
      </c>
      <c r="G1249" s="2">
        <f t="shared" si="58"/>
        <v>90407</v>
      </c>
    </row>
    <row r="1250" spans="1:7" x14ac:dyDescent="0.25">
      <c r="A1250" t="str">
        <f t="shared" si="59"/>
        <v>Cobquecura Hombre</v>
      </c>
      <c r="B1250" t="s">
        <v>961</v>
      </c>
      <c r="C1250" t="s">
        <v>2512</v>
      </c>
      <c r="D1250" t="s">
        <v>58</v>
      </c>
      <c r="E1250" s="2" t="s">
        <v>1082</v>
      </c>
      <c r="F1250">
        <f t="shared" si="57"/>
        <v>6</v>
      </c>
      <c r="G1250" s="2">
        <f t="shared" si="58"/>
        <v>2544</v>
      </c>
    </row>
    <row r="1251" spans="1:7" x14ac:dyDescent="0.25">
      <c r="A1251" t="str">
        <f t="shared" si="59"/>
        <v>Cobquecura Mujer</v>
      </c>
      <c r="B1251" t="s">
        <v>961</v>
      </c>
      <c r="C1251" t="s">
        <v>2512</v>
      </c>
      <c r="D1251" t="s">
        <v>56</v>
      </c>
      <c r="E1251" s="2" t="s">
        <v>1081</v>
      </c>
      <c r="F1251">
        <f t="shared" si="57"/>
        <v>6</v>
      </c>
      <c r="G1251" s="2">
        <f t="shared" si="58"/>
        <v>2680</v>
      </c>
    </row>
    <row r="1252" spans="1:7" x14ac:dyDescent="0.25">
      <c r="A1252" t="str">
        <f t="shared" si="59"/>
        <v>Cobquecura Población total</v>
      </c>
      <c r="B1252" t="s">
        <v>961</v>
      </c>
      <c r="C1252" t="s">
        <v>2512</v>
      </c>
      <c r="D1252" t="s">
        <v>54</v>
      </c>
      <c r="E1252" s="2" t="s">
        <v>1080</v>
      </c>
      <c r="F1252">
        <f t="shared" si="57"/>
        <v>6</v>
      </c>
      <c r="G1252" s="2">
        <f t="shared" si="58"/>
        <v>5224</v>
      </c>
    </row>
    <row r="1253" spans="1:7" x14ac:dyDescent="0.25">
      <c r="A1253" t="str">
        <f t="shared" si="59"/>
        <v>Cobquecura Población  de 0 a 14 años</v>
      </c>
      <c r="B1253" t="s">
        <v>961</v>
      </c>
      <c r="C1253" t="s">
        <v>2512</v>
      </c>
      <c r="D1253" t="s">
        <v>52</v>
      </c>
      <c r="E1253" s="2" t="s">
        <v>1079</v>
      </c>
      <c r="F1253">
        <f t="shared" si="57"/>
        <v>5</v>
      </c>
      <c r="G1253" s="2">
        <f t="shared" si="58"/>
        <v>681</v>
      </c>
    </row>
    <row r="1254" spans="1:7" x14ac:dyDescent="0.25">
      <c r="A1254" t="str">
        <f t="shared" si="59"/>
        <v>Cobquecura Población  de 15 a 64 años</v>
      </c>
      <c r="B1254" t="s">
        <v>961</v>
      </c>
      <c r="C1254" t="s">
        <v>2512</v>
      </c>
      <c r="D1254" t="s">
        <v>50</v>
      </c>
      <c r="E1254" s="2" t="s">
        <v>1006</v>
      </c>
      <c r="F1254">
        <f t="shared" si="57"/>
        <v>6</v>
      </c>
      <c r="G1254" s="2">
        <f t="shared" si="58"/>
        <v>3224</v>
      </c>
    </row>
    <row r="1255" spans="1:7" x14ac:dyDescent="0.25">
      <c r="A1255" t="str">
        <f t="shared" si="59"/>
        <v>Cobquecura Población de 65 años o mas</v>
      </c>
      <c r="B1255" t="s">
        <v>961</v>
      </c>
      <c r="C1255" t="s">
        <v>2512</v>
      </c>
      <c r="D1255" t="s">
        <v>46</v>
      </c>
      <c r="E1255" s="2" t="s">
        <v>1078</v>
      </c>
      <c r="F1255">
        <f t="shared" si="57"/>
        <v>6</v>
      </c>
      <c r="G1255" s="2">
        <f t="shared" si="58"/>
        <v>1319</v>
      </c>
    </row>
    <row r="1256" spans="1:7" x14ac:dyDescent="0.25">
      <c r="A1256" t="str">
        <f t="shared" si="59"/>
        <v>Quirihue Hombre</v>
      </c>
      <c r="B1256" t="s">
        <v>961</v>
      </c>
      <c r="C1256" t="s">
        <v>2513</v>
      </c>
      <c r="D1256" t="s">
        <v>58</v>
      </c>
      <c r="E1256" s="2" t="s">
        <v>1077</v>
      </c>
      <c r="F1256">
        <f t="shared" si="57"/>
        <v>6</v>
      </c>
      <c r="G1256" s="2">
        <f t="shared" si="58"/>
        <v>5968</v>
      </c>
    </row>
    <row r="1257" spans="1:7" x14ac:dyDescent="0.25">
      <c r="A1257" t="str">
        <f t="shared" si="59"/>
        <v>Quirihue Mujer</v>
      </c>
      <c r="B1257" t="s">
        <v>961</v>
      </c>
      <c r="C1257" t="s">
        <v>2513</v>
      </c>
      <c r="D1257" t="s">
        <v>56</v>
      </c>
      <c r="E1257" s="2" t="s">
        <v>1076</v>
      </c>
      <c r="F1257">
        <f t="shared" si="57"/>
        <v>6</v>
      </c>
      <c r="G1257" s="2">
        <f t="shared" si="58"/>
        <v>6273</v>
      </c>
    </row>
    <row r="1258" spans="1:7" x14ac:dyDescent="0.25">
      <c r="A1258" t="str">
        <f t="shared" si="59"/>
        <v>Quirihue Población total</v>
      </c>
      <c r="B1258" t="s">
        <v>961</v>
      </c>
      <c r="C1258" t="s">
        <v>2513</v>
      </c>
      <c r="D1258" t="s">
        <v>54</v>
      </c>
      <c r="E1258" s="2" t="s">
        <v>1075</v>
      </c>
      <c r="F1258">
        <f t="shared" si="57"/>
        <v>7</v>
      </c>
      <c r="G1258" s="2">
        <f t="shared" si="58"/>
        <v>12241</v>
      </c>
    </row>
    <row r="1259" spans="1:7" x14ac:dyDescent="0.25">
      <c r="A1259" t="str">
        <f t="shared" si="59"/>
        <v>Quirihue Población  de 0 a 14 años</v>
      </c>
      <c r="B1259" t="s">
        <v>961</v>
      </c>
      <c r="C1259" t="s">
        <v>2513</v>
      </c>
      <c r="D1259" t="s">
        <v>52</v>
      </c>
      <c r="E1259" s="2" t="s">
        <v>1074</v>
      </c>
      <c r="F1259">
        <f t="shared" si="57"/>
        <v>6</v>
      </c>
      <c r="G1259" s="2">
        <f t="shared" si="58"/>
        <v>2052</v>
      </c>
    </row>
    <row r="1260" spans="1:7" x14ac:dyDescent="0.25">
      <c r="A1260" t="str">
        <f t="shared" si="59"/>
        <v>Quirihue Población  de 15 a 64 años</v>
      </c>
      <c r="B1260" t="s">
        <v>961</v>
      </c>
      <c r="C1260" t="s">
        <v>2513</v>
      </c>
      <c r="D1260" t="s">
        <v>50</v>
      </c>
      <c r="E1260" s="2" t="s">
        <v>1073</v>
      </c>
      <c r="F1260">
        <f t="shared" si="57"/>
        <v>6</v>
      </c>
      <c r="G1260" s="2">
        <f t="shared" si="58"/>
        <v>7698</v>
      </c>
    </row>
    <row r="1261" spans="1:7" x14ac:dyDescent="0.25">
      <c r="A1261" t="str">
        <f t="shared" si="59"/>
        <v>Quirihue Población de 65 años o mas</v>
      </c>
      <c r="B1261" t="s">
        <v>961</v>
      </c>
      <c r="C1261" t="s">
        <v>2513</v>
      </c>
      <c r="D1261" t="s">
        <v>46</v>
      </c>
      <c r="E1261" s="2" t="s">
        <v>1072</v>
      </c>
      <c r="F1261">
        <f t="shared" si="57"/>
        <v>6</v>
      </c>
      <c r="G1261" s="2">
        <f t="shared" si="58"/>
        <v>2491</v>
      </c>
    </row>
    <row r="1262" spans="1:7" x14ac:dyDescent="0.25">
      <c r="A1262" t="str">
        <f t="shared" si="59"/>
        <v>Ñiquén Hombre</v>
      </c>
      <c r="B1262" t="s">
        <v>961</v>
      </c>
      <c r="C1262" t="s">
        <v>2514</v>
      </c>
      <c r="D1262" t="s">
        <v>58</v>
      </c>
      <c r="E1262" s="2" t="s">
        <v>1071</v>
      </c>
      <c r="F1262">
        <f t="shared" si="57"/>
        <v>6</v>
      </c>
      <c r="G1262" s="2">
        <f t="shared" si="58"/>
        <v>5712</v>
      </c>
    </row>
    <row r="1263" spans="1:7" x14ac:dyDescent="0.25">
      <c r="A1263" t="str">
        <f t="shared" si="59"/>
        <v>Ñiquén Mujer</v>
      </c>
      <c r="B1263" t="s">
        <v>961</v>
      </c>
      <c r="C1263" t="s">
        <v>2514</v>
      </c>
      <c r="D1263" t="s">
        <v>56</v>
      </c>
      <c r="E1263" s="2" t="s">
        <v>1070</v>
      </c>
      <c r="F1263">
        <f t="shared" si="57"/>
        <v>6</v>
      </c>
      <c r="G1263" s="2">
        <f t="shared" si="58"/>
        <v>5814</v>
      </c>
    </row>
    <row r="1264" spans="1:7" x14ac:dyDescent="0.25">
      <c r="A1264" t="str">
        <f t="shared" si="59"/>
        <v>Ñiquén Población total</v>
      </c>
      <c r="B1264" t="s">
        <v>961</v>
      </c>
      <c r="C1264" t="s">
        <v>2514</v>
      </c>
      <c r="D1264" t="s">
        <v>54</v>
      </c>
      <c r="E1264" s="2" t="s">
        <v>1069</v>
      </c>
      <c r="F1264">
        <f t="shared" si="57"/>
        <v>7</v>
      </c>
      <c r="G1264" s="2">
        <f t="shared" si="58"/>
        <v>11526</v>
      </c>
    </row>
    <row r="1265" spans="1:7" x14ac:dyDescent="0.25">
      <c r="A1265" t="str">
        <f t="shared" si="59"/>
        <v>Ñiquén Población  de 0 a 14 años</v>
      </c>
      <c r="B1265" t="s">
        <v>961</v>
      </c>
      <c r="C1265" t="s">
        <v>2514</v>
      </c>
      <c r="D1265" t="s">
        <v>52</v>
      </c>
      <c r="E1265" s="2" t="s">
        <v>1068</v>
      </c>
      <c r="F1265">
        <f t="shared" si="57"/>
        <v>6</v>
      </c>
      <c r="G1265" s="2">
        <f t="shared" si="58"/>
        <v>1806</v>
      </c>
    </row>
    <row r="1266" spans="1:7" x14ac:dyDescent="0.25">
      <c r="A1266" t="str">
        <f t="shared" si="59"/>
        <v>Ñiquén Población  de 15 a 64 años</v>
      </c>
      <c r="B1266" t="s">
        <v>961</v>
      </c>
      <c r="C1266" t="s">
        <v>2514</v>
      </c>
      <c r="D1266" t="s">
        <v>50</v>
      </c>
      <c r="E1266" s="2" t="s">
        <v>1067</v>
      </c>
      <c r="F1266">
        <f t="shared" si="57"/>
        <v>6</v>
      </c>
      <c r="G1266" s="2">
        <f t="shared" si="58"/>
        <v>7116</v>
      </c>
    </row>
    <row r="1267" spans="1:7" x14ac:dyDescent="0.25">
      <c r="A1267" t="str">
        <f t="shared" si="59"/>
        <v>Ñiquén Población de 65 años o mas</v>
      </c>
      <c r="B1267" t="s">
        <v>961</v>
      </c>
      <c r="C1267" t="s">
        <v>2514</v>
      </c>
      <c r="D1267" t="s">
        <v>46</v>
      </c>
      <c r="E1267" s="2" t="s">
        <v>1066</v>
      </c>
      <c r="F1267">
        <f t="shared" si="57"/>
        <v>6</v>
      </c>
      <c r="G1267" s="2">
        <f t="shared" si="58"/>
        <v>2604</v>
      </c>
    </row>
    <row r="1268" spans="1:7" x14ac:dyDescent="0.25">
      <c r="A1268" t="str">
        <f t="shared" si="59"/>
        <v>Ninhue Hombre</v>
      </c>
      <c r="B1268" t="s">
        <v>961</v>
      </c>
      <c r="C1268" t="s">
        <v>2515</v>
      </c>
      <c r="D1268" t="s">
        <v>58</v>
      </c>
      <c r="E1268" s="2" t="s">
        <v>1065</v>
      </c>
      <c r="F1268">
        <f t="shared" si="57"/>
        <v>6</v>
      </c>
      <c r="G1268" s="2">
        <f t="shared" si="58"/>
        <v>2614</v>
      </c>
    </row>
    <row r="1269" spans="1:7" x14ac:dyDescent="0.25">
      <c r="A1269" t="str">
        <f t="shared" si="59"/>
        <v>Ninhue Mujer</v>
      </c>
      <c r="B1269" t="s">
        <v>961</v>
      </c>
      <c r="C1269" t="s">
        <v>2515</v>
      </c>
      <c r="D1269" t="s">
        <v>56</v>
      </c>
      <c r="E1269" s="2" t="s">
        <v>1064</v>
      </c>
      <c r="F1269">
        <f t="shared" si="57"/>
        <v>6</v>
      </c>
      <c r="G1269" s="2">
        <f t="shared" si="58"/>
        <v>2739</v>
      </c>
    </row>
    <row r="1270" spans="1:7" x14ac:dyDescent="0.25">
      <c r="A1270" t="str">
        <f t="shared" si="59"/>
        <v>Ninhue Población total</v>
      </c>
      <c r="B1270" t="s">
        <v>961</v>
      </c>
      <c r="C1270" t="s">
        <v>2515</v>
      </c>
      <c r="D1270" t="s">
        <v>54</v>
      </c>
      <c r="E1270" s="2" t="s">
        <v>1063</v>
      </c>
      <c r="F1270">
        <f t="shared" si="57"/>
        <v>6</v>
      </c>
      <c r="G1270" s="2">
        <f t="shared" si="58"/>
        <v>5353</v>
      </c>
    </row>
    <row r="1271" spans="1:7" x14ac:dyDescent="0.25">
      <c r="A1271" t="str">
        <f t="shared" si="59"/>
        <v>Ninhue Población  de 0 a 14 años</v>
      </c>
      <c r="B1271" t="s">
        <v>961</v>
      </c>
      <c r="C1271" t="s">
        <v>2515</v>
      </c>
      <c r="D1271" t="s">
        <v>52</v>
      </c>
      <c r="E1271" s="2" t="s">
        <v>1062</v>
      </c>
      <c r="F1271">
        <f t="shared" si="57"/>
        <v>5</v>
      </c>
      <c r="G1271" s="2">
        <f t="shared" si="58"/>
        <v>783</v>
      </c>
    </row>
    <row r="1272" spans="1:7" x14ac:dyDescent="0.25">
      <c r="A1272" t="str">
        <f t="shared" si="59"/>
        <v>Ninhue Población  de 15 a 64 años</v>
      </c>
      <c r="B1272" t="s">
        <v>961</v>
      </c>
      <c r="C1272" t="s">
        <v>2515</v>
      </c>
      <c r="D1272" t="s">
        <v>50</v>
      </c>
      <c r="E1272" s="2" t="s">
        <v>1061</v>
      </c>
      <c r="F1272">
        <f t="shared" si="57"/>
        <v>6</v>
      </c>
      <c r="G1272" s="2">
        <f t="shared" si="58"/>
        <v>3298</v>
      </c>
    </row>
    <row r="1273" spans="1:7" x14ac:dyDescent="0.25">
      <c r="A1273" t="str">
        <f t="shared" si="59"/>
        <v>Ninhue Población de 65 años o mas</v>
      </c>
      <c r="B1273" t="s">
        <v>961</v>
      </c>
      <c r="C1273" t="s">
        <v>2515</v>
      </c>
      <c r="D1273" t="s">
        <v>46</v>
      </c>
      <c r="E1273" s="2" t="s">
        <v>1060</v>
      </c>
      <c r="F1273">
        <f t="shared" si="57"/>
        <v>6</v>
      </c>
      <c r="G1273" s="2">
        <f t="shared" si="58"/>
        <v>1272</v>
      </c>
    </row>
    <row r="1274" spans="1:7" x14ac:dyDescent="0.25">
      <c r="A1274" t="str">
        <f t="shared" si="59"/>
        <v>San Carlos Hombre</v>
      </c>
      <c r="B1274" t="s">
        <v>961</v>
      </c>
      <c r="C1274" t="s">
        <v>2516</v>
      </c>
      <c r="D1274" t="s">
        <v>58</v>
      </c>
      <c r="E1274" s="2" t="s">
        <v>1059</v>
      </c>
      <c r="F1274">
        <f t="shared" si="57"/>
        <v>7</v>
      </c>
      <c r="G1274" s="2">
        <f t="shared" si="58"/>
        <v>27514</v>
      </c>
    </row>
    <row r="1275" spans="1:7" x14ac:dyDescent="0.25">
      <c r="A1275" t="str">
        <f t="shared" si="59"/>
        <v>San Carlos Mujer</v>
      </c>
      <c r="B1275" t="s">
        <v>961</v>
      </c>
      <c r="C1275" t="s">
        <v>2516</v>
      </c>
      <c r="D1275" t="s">
        <v>56</v>
      </c>
      <c r="E1275" s="2" t="s">
        <v>1058</v>
      </c>
      <c r="F1275">
        <f t="shared" si="57"/>
        <v>7</v>
      </c>
      <c r="G1275" s="2">
        <f t="shared" si="58"/>
        <v>29547</v>
      </c>
    </row>
    <row r="1276" spans="1:7" x14ac:dyDescent="0.25">
      <c r="A1276" t="str">
        <f t="shared" si="59"/>
        <v>San Carlos Población total</v>
      </c>
      <c r="B1276" t="s">
        <v>961</v>
      </c>
      <c r="C1276" t="s">
        <v>2516</v>
      </c>
      <c r="D1276" t="s">
        <v>54</v>
      </c>
      <c r="E1276" s="2" t="s">
        <v>1057</v>
      </c>
      <c r="F1276">
        <f t="shared" si="57"/>
        <v>7</v>
      </c>
      <c r="G1276" s="2">
        <f t="shared" si="58"/>
        <v>57061</v>
      </c>
    </row>
    <row r="1277" spans="1:7" x14ac:dyDescent="0.25">
      <c r="A1277" t="str">
        <f t="shared" si="59"/>
        <v>San Carlos Población  de 0 a 14 años</v>
      </c>
      <c r="B1277" t="s">
        <v>961</v>
      </c>
      <c r="C1277" t="s">
        <v>2516</v>
      </c>
      <c r="D1277" t="s">
        <v>52</v>
      </c>
      <c r="E1277" s="2" t="s">
        <v>1056</v>
      </c>
      <c r="F1277">
        <f t="shared" si="57"/>
        <v>6</v>
      </c>
      <c r="G1277" s="2">
        <f t="shared" si="58"/>
        <v>9939</v>
      </c>
    </row>
    <row r="1278" spans="1:7" x14ac:dyDescent="0.25">
      <c r="A1278" t="str">
        <f t="shared" si="59"/>
        <v>San Carlos Población  de 15 a 64 años</v>
      </c>
      <c r="B1278" t="s">
        <v>961</v>
      </c>
      <c r="C1278" t="s">
        <v>2516</v>
      </c>
      <c r="D1278" t="s">
        <v>50</v>
      </c>
      <c r="E1278" s="2" t="s">
        <v>1055</v>
      </c>
      <c r="F1278">
        <f t="shared" si="57"/>
        <v>7</v>
      </c>
      <c r="G1278" s="2">
        <f t="shared" si="58"/>
        <v>36732</v>
      </c>
    </row>
    <row r="1279" spans="1:7" x14ac:dyDescent="0.25">
      <c r="A1279" t="str">
        <f t="shared" si="59"/>
        <v>San Carlos Población de 65 años o mas</v>
      </c>
      <c r="B1279" t="s">
        <v>961</v>
      </c>
      <c r="C1279" t="s">
        <v>2516</v>
      </c>
      <c r="D1279" t="s">
        <v>46</v>
      </c>
      <c r="E1279" s="2" t="s">
        <v>1054</v>
      </c>
      <c r="F1279">
        <f t="shared" si="57"/>
        <v>7</v>
      </c>
      <c r="G1279" s="2">
        <f t="shared" si="58"/>
        <v>10390</v>
      </c>
    </row>
    <row r="1280" spans="1:7" x14ac:dyDescent="0.25">
      <c r="A1280" t="str">
        <f t="shared" si="59"/>
        <v>Treguaco Hombre</v>
      </c>
      <c r="B1280" t="s">
        <v>961</v>
      </c>
      <c r="C1280" t="s">
        <v>2517</v>
      </c>
      <c r="D1280" t="s">
        <v>58</v>
      </c>
      <c r="E1280" s="2" t="s">
        <v>1053</v>
      </c>
      <c r="F1280">
        <f t="shared" si="57"/>
        <v>6</v>
      </c>
      <c r="G1280" s="2">
        <f t="shared" si="58"/>
        <v>2842</v>
      </c>
    </row>
    <row r="1281" spans="1:7" x14ac:dyDescent="0.25">
      <c r="A1281" t="str">
        <f t="shared" si="59"/>
        <v>Treguaco Mujer</v>
      </c>
      <c r="B1281" t="s">
        <v>961</v>
      </c>
      <c r="C1281" t="s">
        <v>2517</v>
      </c>
      <c r="D1281" t="s">
        <v>56</v>
      </c>
      <c r="E1281" s="2" t="s">
        <v>1052</v>
      </c>
      <c r="F1281">
        <f t="shared" si="57"/>
        <v>6</v>
      </c>
      <c r="G1281" s="2">
        <f t="shared" si="58"/>
        <v>2924</v>
      </c>
    </row>
    <row r="1282" spans="1:7" x14ac:dyDescent="0.25">
      <c r="A1282" t="str">
        <f t="shared" si="59"/>
        <v>Treguaco Población total</v>
      </c>
      <c r="B1282" t="s">
        <v>961</v>
      </c>
      <c r="C1282" t="s">
        <v>2517</v>
      </c>
      <c r="D1282" t="s">
        <v>54</v>
      </c>
      <c r="E1282" s="2" t="s">
        <v>1051</v>
      </c>
      <c r="F1282">
        <f t="shared" ref="F1282:F1345" si="60">+FIND(".",E1282)</f>
        <v>6</v>
      </c>
      <c r="G1282" s="2">
        <f t="shared" ref="G1282:G1345" si="61">+LEFT(E1282,(F1282-1))*1</f>
        <v>5766</v>
      </c>
    </row>
    <row r="1283" spans="1:7" x14ac:dyDescent="0.25">
      <c r="A1283" t="str">
        <f t="shared" ref="A1283:A1346" si="62">+C1283&amp;D1283</f>
        <v>Treguaco Población  de 0 a 14 años</v>
      </c>
      <c r="B1283" t="s">
        <v>961</v>
      </c>
      <c r="C1283" t="s">
        <v>2517</v>
      </c>
      <c r="D1283" t="s">
        <v>52</v>
      </c>
      <c r="E1283" s="2" t="s">
        <v>1050</v>
      </c>
      <c r="F1283">
        <f t="shared" si="60"/>
        <v>5</v>
      </c>
      <c r="G1283" s="2">
        <f t="shared" si="61"/>
        <v>930</v>
      </c>
    </row>
    <row r="1284" spans="1:7" x14ac:dyDescent="0.25">
      <c r="A1284" t="str">
        <f t="shared" si="62"/>
        <v>Treguaco Población  de 15 a 64 años</v>
      </c>
      <c r="B1284" t="s">
        <v>961</v>
      </c>
      <c r="C1284" t="s">
        <v>2517</v>
      </c>
      <c r="D1284" t="s">
        <v>50</v>
      </c>
      <c r="E1284" s="2" t="s">
        <v>1049</v>
      </c>
      <c r="F1284">
        <f t="shared" si="60"/>
        <v>6</v>
      </c>
      <c r="G1284" s="2">
        <f t="shared" si="61"/>
        <v>3641</v>
      </c>
    </row>
    <row r="1285" spans="1:7" x14ac:dyDescent="0.25">
      <c r="A1285" t="str">
        <f t="shared" si="62"/>
        <v>Treguaco Población de 65 años o mas</v>
      </c>
      <c r="B1285" t="s">
        <v>961</v>
      </c>
      <c r="C1285" t="s">
        <v>2517</v>
      </c>
      <c r="D1285" t="s">
        <v>46</v>
      </c>
      <c r="E1285" s="2" t="s">
        <v>1048</v>
      </c>
      <c r="F1285">
        <f t="shared" si="60"/>
        <v>6</v>
      </c>
      <c r="G1285" s="2">
        <f t="shared" si="61"/>
        <v>1195</v>
      </c>
    </row>
    <row r="1286" spans="1:7" x14ac:dyDescent="0.25">
      <c r="A1286" t="str">
        <f t="shared" si="62"/>
        <v>Coelemu Hombre</v>
      </c>
      <c r="B1286" t="s">
        <v>961</v>
      </c>
      <c r="C1286" t="s">
        <v>2518</v>
      </c>
      <c r="D1286" t="s">
        <v>58</v>
      </c>
      <c r="E1286" s="2" t="s">
        <v>1047</v>
      </c>
      <c r="F1286">
        <f t="shared" si="60"/>
        <v>6</v>
      </c>
      <c r="G1286" s="2">
        <f t="shared" si="61"/>
        <v>8265</v>
      </c>
    </row>
    <row r="1287" spans="1:7" x14ac:dyDescent="0.25">
      <c r="A1287" t="str">
        <f t="shared" si="62"/>
        <v>Coelemu Mujer</v>
      </c>
      <c r="B1287" t="s">
        <v>961</v>
      </c>
      <c r="C1287" t="s">
        <v>2518</v>
      </c>
      <c r="D1287" t="s">
        <v>56</v>
      </c>
      <c r="E1287" s="2" t="s">
        <v>1046</v>
      </c>
      <c r="F1287">
        <f t="shared" si="60"/>
        <v>6</v>
      </c>
      <c r="G1287" s="2">
        <f t="shared" si="61"/>
        <v>8636</v>
      </c>
    </row>
    <row r="1288" spans="1:7" x14ac:dyDescent="0.25">
      <c r="A1288" t="str">
        <f t="shared" si="62"/>
        <v>Coelemu Población total</v>
      </c>
      <c r="B1288" t="s">
        <v>961</v>
      </c>
      <c r="C1288" t="s">
        <v>2518</v>
      </c>
      <c r="D1288" t="s">
        <v>54</v>
      </c>
      <c r="E1288" s="2" t="s">
        <v>1045</v>
      </c>
      <c r="F1288">
        <f t="shared" si="60"/>
        <v>7</v>
      </c>
      <c r="G1288" s="2">
        <f t="shared" si="61"/>
        <v>16901</v>
      </c>
    </row>
    <row r="1289" spans="1:7" x14ac:dyDescent="0.25">
      <c r="A1289" t="str">
        <f t="shared" si="62"/>
        <v>Coelemu Población  de 0 a 14 años</v>
      </c>
      <c r="B1289" t="s">
        <v>961</v>
      </c>
      <c r="C1289" t="s">
        <v>2518</v>
      </c>
      <c r="D1289" t="s">
        <v>52</v>
      </c>
      <c r="E1289" s="2" t="s">
        <v>1044</v>
      </c>
      <c r="F1289">
        <f t="shared" si="60"/>
        <v>6</v>
      </c>
      <c r="G1289" s="2">
        <f t="shared" si="61"/>
        <v>2996</v>
      </c>
    </row>
    <row r="1290" spans="1:7" x14ac:dyDescent="0.25">
      <c r="A1290" t="str">
        <f t="shared" si="62"/>
        <v>Coelemu Población  de 15 a 64 años</v>
      </c>
      <c r="B1290" t="s">
        <v>961</v>
      </c>
      <c r="C1290" t="s">
        <v>2518</v>
      </c>
      <c r="D1290" t="s">
        <v>50</v>
      </c>
      <c r="E1290" s="2" t="s">
        <v>1043</v>
      </c>
      <c r="F1290">
        <f t="shared" si="60"/>
        <v>7</v>
      </c>
      <c r="G1290" s="2">
        <f t="shared" si="61"/>
        <v>10736</v>
      </c>
    </row>
    <row r="1291" spans="1:7" x14ac:dyDescent="0.25">
      <c r="A1291" t="str">
        <f t="shared" si="62"/>
        <v>Coelemu Población de 65 años o mas</v>
      </c>
      <c r="B1291" t="s">
        <v>961</v>
      </c>
      <c r="C1291" t="s">
        <v>2518</v>
      </c>
      <c r="D1291" t="s">
        <v>46</v>
      </c>
      <c r="E1291" s="2" t="s">
        <v>1042</v>
      </c>
      <c r="F1291">
        <f t="shared" si="60"/>
        <v>6</v>
      </c>
      <c r="G1291" s="2">
        <f t="shared" si="61"/>
        <v>3169</v>
      </c>
    </row>
    <row r="1292" spans="1:7" x14ac:dyDescent="0.25">
      <c r="A1292" t="str">
        <f t="shared" si="62"/>
        <v>San Nicolás Hombre</v>
      </c>
      <c r="B1292" t="s">
        <v>961</v>
      </c>
      <c r="C1292" t="s">
        <v>2519</v>
      </c>
      <c r="D1292" t="s">
        <v>58</v>
      </c>
      <c r="E1292" s="2" t="s">
        <v>1041</v>
      </c>
      <c r="F1292">
        <f t="shared" si="60"/>
        <v>6</v>
      </c>
      <c r="G1292" s="2">
        <f t="shared" si="61"/>
        <v>6082</v>
      </c>
    </row>
    <row r="1293" spans="1:7" x14ac:dyDescent="0.25">
      <c r="A1293" t="str">
        <f t="shared" si="62"/>
        <v>San Nicolás Mujer</v>
      </c>
      <c r="B1293" t="s">
        <v>961</v>
      </c>
      <c r="C1293" t="s">
        <v>2519</v>
      </c>
      <c r="D1293" t="s">
        <v>56</v>
      </c>
      <c r="E1293" s="2" t="s">
        <v>625</v>
      </c>
      <c r="F1293">
        <f t="shared" si="60"/>
        <v>6</v>
      </c>
      <c r="G1293" s="2">
        <f t="shared" si="61"/>
        <v>6405</v>
      </c>
    </row>
    <row r="1294" spans="1:7" x14ac:dyDescent="0.25">
      <c r="A1294" t="str">
        <f t="shared" si="62"/>
        <v>San Nicolás Población total</v>
      </c>
      <c r="B1294" t="s">
        <v>961</v>
      </c>
      <c r="C1294" t="s">
        <v>2519</v>
      </c>
      <c r="D1294" t="s">
        <v>54</v>
      </c>
      <c r="E1294" s="2" t="s">
        <v>1040</v>
      </c>
      <c r="F1294">
        <f t="shared" si="60"/>
        <v>7</v>
      </c>
      <c r="G1294" s="2">
        <f t="shared" si="61"/>
        <v>12487</v>
      </c>
    </row>
    <row r="1295" spans="1:7" x14ac:dyDescent="0.25">
      <c r="A1295" t="str">
        <f t="shared" si="62"/>
        <v>San Nicolás Población  de 0 a 14 años</v>
      </c>
      <c r="B1295" t="s">
        <v>961</v>
      </c>
      <c r="C1295" t="s">
        <v>2519</v>
      </c>
      <c r="D1295" t="s">
        <v>52</v>
      </c>
      <c r="E1295" s="2" t="s">
        <v>768</v>
      </c>
      <c r="F1295">
        <f t="shared" si="60"/>
        <v>6</v>
      </c>
      <c r="G1295" s="2">
        <f t="shared" si="61"/>
        <v>2068</v>
      </c>
    </row>
    <row r="1296" spans="1:7" x14ac:dyDescent="0.25">
      <c r="A1296" t="str">
        <f t="shared" si="62"/>
        <v>San Nicolás Población  de 15 a 64 años</v>
      </c>
      <c r="B1296" t="s">
        <v>961</v>
      </c>
      <c r="C1296" t="s">
        <v>2519</v>
      </c>
      <c r="D1296" t="s">
        <v>50</v>
      </c>
      <c r="E1296" s="2" t="s">
        <v>1039</v>
      </c>
      <c r="F1296">
        <f t="shared" si="60"/>
        <v>6</v>
      </c>
      <c r="G1296" s="2">
        <f t="shared" si="61"/>
        <v>8087</v>
      </c>
    </row>
    <row r="1297" spans="1:7" x14ac:dyDescent="0.25">
      <c r="A1297" t="str">
        <f t="shared" si="62"/>
        <v>San Nicolás Población de 65 años o mas</v>
      </c>
      <c r="B1297" t="s">
        <v>961</v>
      </c>
      <c r="C1297" t="s">
        <v>2519</v>
      </c>
      <c r="D1297" t="s">
        <v>46</v>
      </c>
      <c r="E1297" s="2" t="s">
        <v>1038</v>
      </c>
      <c r="F1297">
        <f t="shared" si="60"/>
        <v>6</v>
      </c>
      <c r="G1297" s="2">
        <f t="shared" si="61"/>
        <v>2332</v>
      </c>
    </row>
    <row r="1298" spans="1:7" x14ac:dyDescent="0.25">
      <c r="A1298" t="str">
        <f t="shared" si="62"/>
        <v>Portezuelo Hombre</v>
      </c>
      <c r="B1298" t="s">
        <v>961</v>
      </c>
      <c r="C1298" t="s">
        <v>2520</v>
      </c>
      <c r="D1298" t="s">
        <v>58</v>
      </c>
      <c r="E1298" s="2" t="s">
        <v>1037</v>
      </c>
      <c r="F1298">
        <f t="shared" si="60"/>
        <v>6</v>
      </c>
      <c r="G1298" s="2">
        <f t="shared" si="61"/>
        <v>2379</v>
      </c>
    </row>
    <row r="1299" spans="1:7" x14ac:dyDescent="0.25">
      <c r="A1299" t="str">
        <f t="shared" si="62"/>
        <v>Portezuelo Mujer</v>
      </c>
      <c r="B1299" t="s">
        <v>961</v>
      </c>
      <c r="C1299" t="s">
        <v>2520</v>
      </c>
      <c r="D1299" t="s">
        <v>56</v>
      </c>
      <c r="E1299" s="2" t="s">
        <v>1036</v>
      </c>
      <c r="F1299">
        <f t="shared" si="60"/>
        <v>6</v>
      </c>
      <c r="G1299" s="2">
        <f t="shared" si="61"/>
        <v>2497</v>
      </c>
    </row>
    <row r="1300" spans="1:7" x14ac:dyDescent="0.25">
      <c r="A1300" t="str">
        <f t="shared" si="62"/>
        <v>Portezuelo Población total</v>
      </c>
      <c r="B1300" t="s">
        <v>961</v>
      </c>
      <c r="C1300" t="s">
        <v>2520</v>
      </c>
      <c r="D1300" t="s">
        <v>54</v>
      </c>
      <c r="E1300" s="2" t="s">
        <v>1035</v>
      </c>
      <c r="F1300">
        <f t="shared" si="60"/>
        <v>6</v>
      </c>
      <c r="G1300" s="2">
        <f t="shared" si="61"/>
        <v>4876</v>
      </c>
    </row>
    <row r="1301" spans="1:7" x14ac:dyDescent="0.25">
      <c r="A1301" t="str">
        <f t="shared" si="62"/>
        <v>Portezuelo Población  de 0 a 14 años</v>
      </c>
      <c r="B1301" t="s">
        <v>961</v>
      </c>
      <c r="C1301" t="s">
        <v>2520</v>
      </c>
      <c r="D1301" t="s">
        <v>52</v>
      </c>
      <c r="E1301" s="2" t="s">
        <v>1034</v>
      </c>
      <c r="F1301">
        <f t="shared" si="60"/>
        <v>5</v>
      </c>
      <c r="G1301" s="2">
        <f t="shared" si="61"/>
        <v>754</v>
      </c>
    </row>
    <row r="1302" spans="1:7" x14ac:dyDescent="0.25">
      <c r="A1302" t="str">
        <f t="shared" si="62"/>
        <v>Portezuelo Población  de 15 a 64 años</v>
      </c>
      <c r="B1302" t="s">
        <v>961</v>
      </c>
      <c r="C1302" t="s">
        <v>2520</v>
      </c>
      <c r="D1302" t="s">
        <v>50</v>
      </c>
      <c r="E1302" s="2" t="s">
        <v>1033</v>
      </c>
      <c r="F1302">
        <f t="shared" si="60"/>
        <v>6</v>
      </c>
      <c r="G1302" s="2">
        <f t="shared" si="61"/>
        <v>3039</v>
      </c>
    </row>
    <row r="1303" spans="1:7" x14ac:dyDescent="0.25">
      <c r="A1303" t="str">
        <f t="shared" si="62"/>
        <v>Portezuelo Población de 65 años o mas</v>
      </c>
      <c r="B1303" t="s">
        <v>961</v>
      </c>
      <c r="C1303" t="s">
        <v>2520</v>
      </c>
      <c r="D1303" t="s">
        <v>46</v>
      </c>
      <c r="E1303" s="2" t="s">
        <v>1032</v>
      </c>
      <c r="F1303">
        <f t="shared" si="60"/>
        <v>6</v>
      </c>
      <c r="G1303" s="2">
        <f t="shared" si="61"/>
        <v>1083</v>
      </c>
    </row>
    <row r="1304" spans="1:7" x14ac:dyDescent="0.25">
      <c r="A1304" t="str">
        <f t="shared" si="62"/>
        <v>San Fabián Hombre</v>
      </c>
      <c r="B1304" t="s">
        <v>961</v>
      </c>
      <c r="C1304" t="s">
        <v>2521</v>
      </c>
      <c r="D1304" t="s">
        <v>58</v>
      </c>
      <c r="E1304" s="2" t="s">
        <v>1031</v>
      </c>
      <c r="F1304">
        <f t="shared" si="60"/>
        <v>6</v>
      </c>
      <c r="G1304" s="2">
        <f t="shared" si="61"/>
        <v>2341</v>
      </c>
    </row>
    <row r="1305" spans="1:7" x14ac:dyDescent="0.25">
      <c r="A1305" t="str">
        <f t="shared" si="62"/>
        <v>San Fabián Mujer</v>
      </c>
      <c r="B1305" t="s">
        <v>961</v>
      </c>
      <c r="C1305" t="s">
        <v>2521</v>
      </c>
      <c r="D1305" t="s">
        <v>56</v>
      </c>
      <c r="E1305" s="2" t="s">
        <v>1030</v>
      </c>
      <c r="F1305">
        <f t="shared" si="60"/>
        <v>6</v>
      </c>
      <c r="G1305" s="2">
        <f t="shared" si="61"/>
        <v>2452</v>
      </c>
    </row>
    <row r="1306" spans="1:7" x14ac:dyDescent="0.25">
      <c r="A1306" t="str">
        <f t="shared" si="62"/>
        <v>San Fabián Población total</v>
      </c>
      <c r="B1306" t="s">
        <v>961</v>
      </c>
      <c r="C1306" t="s">
        <v>2521</v>
      </c>
      <c r="D1306" t="s">
        <v>54</v>
      </c>
      <c r="E1306" s="2" t="s">
        <v>1029</v>
      </c>
      <c r="F1306">
        <f t="shared" si="60"/>
        <v>6</v>
      </c>
      <c r="G1306" s="2">
        <f t="shared" si="61"/>
        <v>4793</v>
      </c>
    </row>
    <row r="1307" spans="1:7" x14ac:dyDescent="0.25">
      <c r="A1307" t="str">
        <f t="shared" si="62"/>
        <v>San Fabián Población  de 0 a 14 años</v>
      </c>
      <c r="B1307" t="s">
        <v>961</v>
      </c>
      <c r="C1307" t="s">
        <v>2521</v>
      </c>
      <c r="D1307" t="s">
        <v>52</v>
      </c>
      <c r="E1307" s="2" t="s">
        <v>1028</v>
      </c>
      <c r="F1307">
        <f t="shared" si="60"/>
        <v>5</v>
      </c>
      <c r="G1307" s="2">
        <f t="shared" si="61"/>
        <v>804</v>
      </c>
    </row>
    <row r="1308" spans="1:7" x14ac:dyDescent="0.25">
      <c r="A1308" t="str">
        <f t="shared" si="62"/>
        <v>San Fabián Población  de 15 a 64 años</v>
      </c>
      <c r="B1308" t="s">
        <v>961</v>
      </c>
      <c r="C1308" t="s">
        <v>2521</v>
      </c>
      <c r="D1308" t="s">
        <v>50</v>
      </c>
      <c r="E1308" s="2" t="s">
        <v>1027</v>
      </c>
      <c r="F1308">
        <f t="shared" si="60"/>
        <v>6</v>
      </c>
      <c r="G1308" s="2">
        <f t="shared" si="61"/>
        <v>2965</v>
      </c>
    </row>
    <row r="1309" spans="1:7" x14ac:dyDescent="0.25">
      <c r="A1309" t="str">
        <f t="shared" si="62"/>
        <v>San Fabián Población de 65 años o mas</v>
      </c>
      <c r="B1309" t="s">
        <v>961</v>
      </c>
      <c r="C1309" t="s">
        <v>2521</v>
      </c>
      <c r="D1309" t="s">
        <v>46</v>
      </c>
      <c r="E1309" s="2" t="s">
        <v>1026</v>
      </c>
      <c r="F1309">
        <f t="shared" si="60"/>
        <v>6</v>
      </c>
      <c r="G1309" s="2">
        <f t="shared" si="61"/>
        <v>1024</v>
      </c>
    </row>
    <row r="1310" spans="1:7" x14ac:dyDescent="0.25">
      <c r="A1310" t="str">
        <f t="shared" si="62"/>
        <v>Chillán Hombre</v>
      </c>
      <c r="B1310" t="s">
        <v>961</v>
      </c>
      <c r="C1310" t="s">
        <v>2522</v>
      </c>
      <c r="D1310" t="s">
        <v>58</v>
      </c>
      <c r="E1310" s="2" t="s">
        <v>1025</v>
      </c>
      <c r="F1310">
        <f t="shared" si="60"/>
        <v>7</v>
      </c>
      <c r="G1310" s="2">
        <f t="shared" si="61"/>
        <v>96830</v>
      </c>
    </row>
    <row r="1311" spans="1:7" x14ac:dyDescent="0.25">
      <c r="A1311" t="str">
        <f t="shared" si="62"/>
        <v>Chillán Mujer</v>
      </c>
      <c r="B1311" t="s">
        <v>961</v>
      </c>
      <c r="C1311" t="s">
        <v>2522</v>
      </c>
      <c r="D1311" t="s">
        <v>56</v>
      </c>
      <c r="E1311" s="2" t="s">
        <v>1024</v>
      </c>
      <c r="F1311">
        <f t="shared" si="60"/>
        <v>8</v>
      </c>
      <c r="G1311" s="2">
        <f t="shared" si="61"/>
        <v>107261</v>
      </c>
    </row>
    <row r="1312" spans="1:7" x14ac:dyDescent="0.25">
      <c r="A1312" t="str">
        <f t="shared" si="62"/>
        <v>Chillán Población total</v>
      </c>
      <c r="B1312" t="s">
        <v>961</v>
      </c>
      <c r="C1312" t="s">
        <v>2522</v>
      </c>
      <c r="D1312" t="s">
        <v>54</v>
      </c>
      <c r="E1312" s="2" t="s">
        <v>1023</v>
      </c>
      <c r="F1312">
        <f t="shared" si="60"/>
        <v>8</v>
      </c>
      <c r="G1312" s="2">
        <f t="shared" si="61"/>
        <v>204091</v>
      </c>
    </row>
    <row r="1313" spans="1:7" x14ac:dyDescent="0.25">
      <c r="A1313" t="str">
        <f t="shared" si="62"/>
        <v>Chillán Población  de 0 a 14 años</v>
      </c>
      <c r="B1313" t="s">
        <v>961</v>
      </c>
      <c r="C1313" t="s">
        <v>2522</v>
      </c>
      <c r="D1313" t="s">
        <v>52</v>
      </c>
      <c r="E1313" s="2" t="s">
        <v>1022</v>
      </c>
      <c r="F1313">
        <f t="shared" si="60"/>
        <v>7</v>
      </c>
      <c r="G1313" s="2">
        <f t="shared" si="61"/>
        <v>36380</v>
      </c>
    </row>
    <row r="1314" spans="1:7" x14ac:dyDescent="0.25">
      <c r="A1314" t="str">
        <f t="shared" si="62"/>
        <v>Chillán Población  de 15 a 64 años</v>
      </c>
      <c r="B1314" t="s">
        <v>961</v>
      </c>
      <c r="C1314" t="s">
        <v>2522</v>
      </c>
      <c r="D1314" t="s">
        <v>50</v>
      </c>
      <c r="E1314" s="2" t="s">
        <v>1021</v>
      </c>
      <c r="F1314">
        <f t="shared" si="60"/>
        <v>8</v>
      </c>
      <c r="G1314" s="2">
        <f t="shared" si="61"/>
        <v>135762</v>
      </c>
    </row>
    <row r="1315" spans="1:7" x14ac:dyDescent="0.25">
      <c r="A1315" t="str">
        <f t="shared" si="62"/>
        <v>Chillán Población de 65 años o mas</v>
      </c>
      <c r="B1315" t="s">
        <v>961</v>
      </c>
      <c r="C1315" t="s">
        <v>2522</v>
      </c>
      <c r="D1315" t="s">
        <v>46</v>
      </c>
      <c r="E1315" s="2" t="s">
        <v>1020</v>
      </c>
      <c r="F1315">
        <f t="shared" si="60"/>
        <v>7</v>
      </c>
      <c r="G1315" s="2">
        <f t="shared" si="61"/>
        <v>31949</v>
      </c>
    </row>
    <row r="1316" spans="1:7" x14ac:dyDescent="0.25">
      <c r="A1316" t="str">
        <f t="shared" si="62"/>
        <v>Coihueco Hombre</v>
      </c>
      <c r="B1316" t="s">
        <v>961</v>
      </c>
      <c r="C1316" t="s">
        <v>2523</v>
      </c>
      <c r="D1316" t="s">
        <v>58</v>
      </c>
      <c r="E1316" s="2" t="s">
        <v>1019</v>
      </c>
      <c r="F1316">
        <f t="shared" si="60"/>
        <v>7</v>
      </c>
      <c r="G1316" s="2">
        <f t="shared" si="61"/>
        <v>14171</v>
      </c>
    </row>
    <row r="1317" spans="1:7" x14ac:dyDescent="0.25">
      <c r="A1317" t="str">
        <f t="shared" si="62"/>
        <v>Coihueco Mujer</v>
      </c>
      <c r="B1317" t="s">
        <v>961</v>
      </c>
      <c r="C1317" t="s">
        <v>2523</v>
      </c>
      <c r="D1317" t="s">
        <v>56</v>
      </c>
      <c r="E1317" s="2" t="s">
        <v>1018</v>
      </c>
      <c r="F1317">
        <f t="shared" si="60"/>
        <v>7</v>
      </c>
      <c r="G1317" s="2">
        <f t="shared" si="61"/>
        <v>14896</v>
      </c>
    </row>
    <row r="1318" spans="1:7" x14ac:dyDescent="0.25">
      <c r="A1318" t="str">
        <f t="shared" si="62"/>
        <v>Coihueco Población total</v>
      </c>
      <c r="B1318" t="s">
        <v>961</v>
      </c>
      <c r="C1318" t="s">
        <v>2523</v>
      </c>
      <c r="D1318" t="s">
        <v>54</v>
      </c>
      <c r="E1318" s="2" t="s">
        <v>1017</v>
      </c>
      <c r="F1318">
        <f t="shared" si="60"/>
        <v>7</v>
      </c>
      <c r="G1318" s="2">
        <f t="shared" si="61"/>
        <v>29067</v>
      </c>
    </row>
    <row r="1319" spans="1:7" x14ac:dyDescent="0.25">
      <c r="A1319" t="str">
        <f t="shared" si="62"/>
        <v>Coihueco Población  de 0 a 14 años</v>
      </c>
      <c r="B1319" t="s">
        <v>961</v>
      </c>
      <c r="C1319" t="s">
        <v>2523</v>
      </c>
      <c r="D1319" t="s">
        <v>52</v>
      </c>
      <c r="E1319" s="2" t="s">
        <v>1016</v>
      </c>
      <c r="F1319">
        <f t="shared" si="60"/>
        <v>6</v>
      </c>
      <c r="G1319" s="2">
        <f t="shared" si="61"/>
        <v>5532</v>
      </c>
    </row>
    <row r="1320" spans="1:7" x14ac:dyDescent="0.25">
      <c r="A1320" t="str">
        <f t="shared" si="62"/>
        <v>Coihueco Población  de 15 a 64 años</v>
      </c>
      <c r="B1320" t="s">
        <v>961</v>
      </c>
      <c r="C1320" t="s">
        <v>2523</v>
      </c>
      <c r="D1320" t="s">
        <v>50</v>
      </c>
      <c r="E1320" s="2" t="s">
        <v>1015</v>
      </c>
      <c r="F1320">
        <f t="shared" si="60"/>
        <v>7</v>
      </c>
      <c r="G1320" s="2">
        <f t="shared" si="61"/>
        <v>19222</v>
      </c>
    </row>
    <row r="1321" spans="1:7" x14ac:dyDescent="0.25">
      <c r="A1321" t="str">
        <f t="shared" si="62"/>
        <v>Coihueco Población de 65 años o mas</v>
      </c>
      <c r="B1321" t="s">
        <v>961</v>
      </c>
      <c r="C1321" t="s">
        <v>2523</v>
      </c>
      <c r="D1321" t="s">
        <v>46</v>
      </c>
      <c r="E1321" s="2" t="s">
        <v>1014</v>
      </c>
      <c r="F1321">
        <f t="shared" si="60"/>
        <v>6</v>
      </c>
      <c r="G1321" s="2">
        <f t="shared" si="61"/>
        <v>4313</v>
      </c>
    </row>
    <row r="1322" spans="1:7" x14ac:dyDescent="0.25">
      <c r="A1322" t="str">
        <f t="shared" si="62"/>
        <v>Chillán Viejo Hombre</v>
      </c>
      <c r="B1322" t="s">
        <v>961</v>
      </c>
      <c r="C1322" t="s">
        <v>2524</v>
      </c>
      <c r="D1322" t="s">
        <v>58</v>
      </c>
      <c r="E1322" s="2" t="s">
        <v>1013</v>
      </c>
      <c r="F1322">
        <f t="shared" si="60"/>
        <v>7</v>
      </c>
      <c r="G1322" s="2">
        <f t="shared" si="61"/>
        <v>16977</v>
      </c>
    </row>
    <row r="1323" spans="1:7" x14ac:dyDescent="0.25">
      <c r="A1323" t="str">
        <f t="shared" si="62"/>
        <v>Chillán Viejo Mujer</v>
      </c>
      <c r="B1323" t="s">
        <v>961</v>
      </c>
      <c r="C1323" t="s">
        <v>2524</v>
      </c>
      <c r="D1323" t="s">
        <v>56</v>
      </c>
      <c r="E1323" s="2" t="s">
        <v>1012</v>
      </c>
      <c r="F1323">
        <f t="shared" si="60"/>
        <v>7</v>
      </c>
      <c r="G1323" s="2">
        <f t="shared" si="61"/>
        <v>18603</v>
      </c>
    </row>
    <row r="1324" spans="1:7" x14ac:dyDescent="0.25">
      <c r="A1324" t="str">
        <f t="shared" si="62"/>
        <v>Chillán Viejo Población total</v>
      </c>
      <c r="B1324" t="s">
        <v>961</v>
      </c>
      <c r="C1324" t="s">
        <v>2524</v>
      </c>
      <c r="D1324" t="s">
        <v>54</v>
      </c>
      <c r="E1324" s="2" t="s">
        <v>1011</v>
      </c>
      <c r="F1324">
        <f t="shared" si="60"/>
        <v>7</v>
      </c>
      <c r="G1324" s="2">
        <f t="shared" si="61"/>
        <v>35580</v>
      </c>
    </row>
    <row r="1325" spans="1:7" x14ac:dyDescent="0.25">
      <c r="A1325" t="str">
        <f t="shared" si="62"/>
        <v>Chillán Viejo Población  de 0 a 14 años</v>
      </c>
      <c r="B1325" t="s">
        <v>961</v>
      </c>
      <c r="C1325" t="s">
        <v>2524</v>
      </c>
      <c r="D1325" t="s">
        <v>52</v>
      </c>
      <c r="E1325" s="2" t="s">
        <v>1010</v>
      </c>
      <c r="F1325">
        <f t="shared" si="60"/>
        <v>6</v>
      </c>
      <c r="G1325" s="2">
        <f t="shared" si="61"/>
        <v>7364</v>
      </c>
    </row>
    <row r="1326" spans="1:7" x14ac:dyDescent="0.25">
      <c r="A1326" t="str">
        <f t="shared" si="62"/>
        <v>Chillán Viejo Población  de 15 a 64 años</v>
      </c>
      <c r="B1326" t="s">
        <v>961</v>
      </c>
      <c r="C1326" t="s">
        <v>2524</v>
      </c>
      <c r="D1326" t="s">
        <v>50</v>
      </c>
      <c r="E1326" s="2" t="s">
        <v>1009</v>
      </c>
      <c r="F1326">
        <f t="shared" si="60"/>
        <v>7</v>
      </c>
      <c r="G1326" s="2">
        <f t="shared" si="61"/>
        <v>23827</v>
      </c>
    </row>
    <row r="1327" spans="1:7" x14ac:dyDescent="0.25">
      <c r="A1327" t="str">
        <f t="shared" si="62"/>
        <v>Chillán Viejo Población de 65 años o mas</v>
      </c>
      <c r="B1327" t="s">
        <v>961</v>
      </c>
      <c r="C1327" t="s">
        <v>2524</v>
      </c>
      <c r="D1327" t="s">
        <v>46</v>
      </c>
      <c r="E1327" s="2" t="s">
        <v>1008</v>
      </c>
      <c r="F1327">
        <f t="shared" si="60"/>
        <v>6</v>
      </c>
      <c r="G1327" s="2">
        <f t="shared" si="61"/>
        <v>4389</v>
      </c>
    </row>
    <row r="1328" spans="1:7" x14ac:dyDescent="0.25">
      <c r="A1328" t="str">
        <f t="shared" si="62"/>
        <v>Ránquil Hombre</v>
      </c>
      <c r="B1328" t="s">
        <v>961</v>
      </c>
      <c r="C1328" t="s">
        <v>2525</v>
      </c>
      <c r="D1328" t="s">
        <v>58</v>
      </c>
      <c r="E1328" s="2" t="s">
        <v>1007</v>
      </c>
      <c r="F1328">
        <f t="shared" si="60"/>
        <v>6</v>
      </c>
      <c r="G1328" s="2">
        <f t="shared" si="61"/>
        <v>3069</v>
      </c>
    </row>
    <row r="1329" spans="1:7" x14ac:dyDescent="0.25">
      <c r="A1329" t="str">
        <f t="shared" si="62"/>
        <v>Ránquil Mujer</v>
      </c>
      <c r="B1329" t="s">
        <v>961</v>
      </c>
      <c r="C1329" t="s">
        <v>2525</v>
      </c>
      <c r="D1329" t="s">
        <v>56</v>
      </c>
      <c r="E1329" s="2" t="s">
        <v>1006</v>
      </c>
      <c r="F1329">
        <f t="shared" si="60"/>
        <v>6</v>
      </c>
      <c r="G1329" s="2">
        <f t="shared" si="61"/>
        <v>3224</v>
      </c>
    </row>
    <row r="1330" spans="1:7" x14ac:dyDescent="0.25">
      <c r="A1330" t="str">
        <f t="shared" si="62"/>
        <v>Ránquil Población total</v>
      </c>
      <c r="B1330" t="s">
        <v>961</v>
      </c>
      <c r="C1330" t="s">
        <v>2525</v>
      </c>
      <c r="D1330" t="s">
        <v>54</v>
      </c>
      <c r="E1330" s="2" t="s">
        <v>1005</v>
      </c>
      <c r="F1330">
        <f t="shared" si="60"/>
        <v>6</v>
      </c>
      <c r="G1330" s="2">
        <f t="shared" si="61"/>
        <v>6293</v>
      </c>
    </row>
    <row r="1331" spans="1:7" x14ac:dyDescent="0.25">
      <c r="A1331" t="str">
        <f t="shared" si="62"/>
        <v>Ránquil Población  de 0 a 14 años</v>
      </c>
      <c r="B1331" t="s">
        <v>961</v>
      </c>
      <c r="C1331" t="s">
        <v>2525</v>
      </c>
      <c r="D1331" t="s">
        <v>52</v>
      </c>
      <c r="E1331" s="2" t="s">
        <v>1004</v>
      </c>
      <c r="F1331">
        <f t="shared" si="60"/>
        <v>5</v>
      </c>
      <c r="G1331" s="2">
        <f t="shared" si="61"/>
        <v>978</v>
      </c>
    </row>
    <row r="1332" spans="1:7" x14ac:dyDescent="0.25">
      <c r="A1332" t="str">
        <f t="shared" si="62"/>
        <v>Ránquil Población  de 15 a 64 años</v>
      </c>
      <c r="B1332" t="s">
        <v>961</v>
      </c>
      <c r="C1332" t="s">
        <v>2525</v>
      </c>
      <c r="D1332" t="s">
        <v>50</v>
      </c>
      <c r="E1332" s="2" t="s">
        <v>1003</v>
      </c>
      <c r="F1332">
        <f t="shared" si="60"/>
        <v>6</v>
      </c>
      <c r="G1332" s="2">
        <f t="shared" si="61"/>
        <v>3813</v>
      </c>
    </row>
    <row r="1333" spans="1:7" x14ac:dyDescent="0.25">
      <c r="A1333" t="str">
        <f t="shared" si="62"/>
        <v>Ránquil Población de 65 años o mas</v>
      </c>
      <c r="B1333" t="s">
        <v>961</v>
      </c>
      <c r="C1333" t="s">
        <v>2525</v>
      </c>
      <c r="D1333" t="s">
        <v>46</v>
      </c>
      <c r="E1333" s="2" t="s">
        <v>1002</v>
      </c>
      <c r="F1333">
        <f t="shared" si="60"/>
        <v>6</v>
      </c>
      <c r="G1333" s="2">
        <f t="shared" si="61"/>
        <v>1502</v>
      </c>
    </row>
    <row r="1334" spans="1:7" x14ac:dyDescent="0.25">
      <c r="A1334" t="str">
        <f t="shared" si="62"/>
        <v>Pinto Hombre</v>
      </c>
      <c r="B1334" t="s">
        <v>961</v>
      </c>
      <c r="C1334" t="s">
        <v>2526</v>
      </c>
      <c r="D1334" t="s">
        <v>58</v>
      </c>
      <c r="E1334" s="2" t="s">
        <v>1001</v>
      </c>
      <c r="F1334">
        <f t="shared" si="60"/>
        <v>6</v>
      </c>
      <c r="G1334" s="2">
        <f t="shared" si="61"/>
        <v>5918</v>
      </c>
    </row>
    <row r="1335" spans="1:7" x14ac:dyDescent="0.25">
      <c r="A1335" t="str">
        <f t="shared" si="62"/>
        <v>Pinto Mujer</v>
      </c>
      <c r="B1335" t="s">
        <v>961</v>
      </c>
      <c r="C1335" t="s">
        <v>2526</v>
      </c>
      <c r="D1335" t="s">
        <v>56</v>
      </c>
      <c r="E1335" s="2" t="s">
        <v>1000</v>
      </c>
      <c r="F1335">
        <f t="shared" si="60"/>
        <v>6</v>
      </c>
      <c r="G1335" s="2">
        <f t="shared" si="61"/>
        <v>6261</v>
      </c>
    </row>
    <row r="1336" spans="1:7" x14ac:dyDescent="0.25">
      <c r="A1336" t="str">
        <f t="shared" si="62"/>
        <v>Pinto Población total</v>
      </c>
      <c r="B1336" t="s">
        <v>961</v>
      </c>
      <c r="C1336" t="s">
        <v>2526</v>
      </c>
      <c r="D1336" t="s">
        <v>54</v>
      </c>
      <c r="E1336" s="2" t="s">
        <v>999</v>
      </c>
      <c r="F1336">
        <f t="shared" si="60"/>
        <v>7</v>
      </c>
      <c r="G1336" s="2">
        <f t="shared" si="61"/>
        <v>12179</v>
      </c>
    </row>
    <row r="1337" spans="1:7" x14ac:dyDescent="0.25">
      <c r="A1337" t="str">
        <f t="shared" si="62"/>
        <v>Pinto Población  de 0 a 14 años</v>
      </c>
      <c r="B1337" t="s">
        <v>961</v>
      </c>
      <c r="C1337" t="s">
        <v>2526</v>
      </c>
      <c r="D1337" t="s">
        <v>52</v>
      </c>
      <c r="E1337" s="2" t="s">
        <v>998</v>
      </c>
      <c r="F1337">
        <f t="shared" si="60"/>
        <v>6</v>
      </c>
      <c r="G1337" s="2">
        <f t="shared" si="61"/>
        <v>1972</v>
      </c>
    </row>
    <row r="1338" spans="1:7" x14ac:dyDescent="0.25">
      <c r="A1338" t="str">
        <f t="shared" si="62"/>
        <v>Pinto Población  de 15 a 64 años</v>
      </c>
      <c r="B1338" t="s">
        <v>961</v>
      </c>
      <c r="C1338" t="s">
        <v>2526</v>
      </c>
      <c r="D1338" t="s">
        <v>50</v>
      </c>
      <c r="E1338" s="2" t="s">
        <v>997</v>
      </c>
      <c r="F1338">
        <f t="shared" si="60"/>
        <v>6</v>
      </c>
      <c r="G1338" s="2">
        <f t="shared" si="61"/>
        <v>7871</v>
      </c>
    </row>
    <row r="1339" spans="1:7" x14ac:dyDescent="0.25">
      <c r="A1339" t="str">
        <f t="shared" si="62"/>
        <v>Pinto Población de 65 años o mas</v>
      </c>
      <c r="B1339" t="s">
        <v>961</v>
      </c>
      <c r="C1339" t="s">
        <v>2526</v>
      </c>
      <c r="D1339" t="s">
        <v>46</v>
      </c>
      <c r="E1339" s="2" t="s">
        <v>996</v>
      </c>
      <c r="F1339">
        <f t="shared" si="60"/>
        <v>6</v>
      </c>
      <c r="G1339" s="2">
        <f t="shared" si="61"/>
        <v>2336</v>
      </c>
    </row>
    <row r="1340" spans="1:7" x14ac:dyDescent="0.25">
      <c r="A1340" t="str">
        <f t="shared" si="62"/>
        <v>Bulnes Hombre</v>
      </c>
      <c r="B1340" t="s">
        <v>961</v>
      </c>
      <c r="C1340" t="s">
        <v>2527</v>
      </c>
      <c r="D1340" t="s">
        <v>58</v>
      </c>
      <c r="E1340" s="2" t="s">
        <v>995</v>
      </c>
      <c r="F1340">
        <f t="shared" si="60"/>
        <v>7</v>
      </c>
      <c r="G1340" s="2">
        <f t="shared" si="61"/>
        <v>11026</v>
      </c>
    </row>
    <row r="1341" spans="1:7" x14ac:dyDescent="0.25">
      <c r="A1341" t="str">
        <f t="shared" si="62"/>
        <v>Bulnes Mujer</v>
      </c>
      <c r="B1341" t="s">
        <v>961</v>
      </c>
      <c r="C1341" t="s">
        <v>2527</v>
      </c>
      <c r="D1341" t="s">
        <v>56</v>
      </c>
      <c r="E1341" s="2" t="s">
        <v>994</v>
      </c>
      <c r="F1341">
        <f t="shared" si="60"/>
        <v>7</v>
      </c>
      <c r="G1341" s="2">
        <f t="shared" si="61"/>
        <v>11728</v>
      </c>
    </row>
    <row r="1342" spans="1:7" x14ac:dyDescent="0.25">
      <c r="A1342" t="str">
        <f t="shared" si="62"/>
        <v>Bulnes Población total</v>
      </c>
      <c r="B1342" t="s">
        <v>961</v>
      </c>
      <c r="C1342" t="s">
        <v>2527</v>
      </c>
      <c r="D1342" t="s">
        <v>54</v>
      </c>
      <c r="E1342" s="2" t="s">
        <v>993</v>
      </c>
      <c r="F1342">
        <f t="shared" si="60"/>
        <v>7</v>
      </c>
      <c r="G1342" s="2">
        <f t="shared" si="61"/>
        <v>22754</v>
      </c>
    </row>
    <row r="1343" spans="1:7" x14ac:dyDescent="0.25">
      <c r="A1343" t="str">
        <f t="shared" si="62"/>
        <v>Bulnes Población  de 0 a 14 años</v>
      </c>
      <c r="B1343" t="s">
        <v>961</v>
      </c>
      <c r="C1343" t="s">
        <v>2527</v>
      </c>
      <c r="D1343" t="s">
        <v>52</v>
      </c>
      <c r="E1343" s="2" t="s">
        <v>992</v>
      </c>
      <c r="F1343">
        <f t="shared" si="60"/>
        <v>6</v>
      </c>
      <c r="G1343" s="2">
        <f t="shared" si="61"/>
        <v>4012</v>
      </c>
    </row>
    <row r="1344" spans="1:7" x14ac:dyDescent="0.25">
      <c r="A1344" t="str">
        <f t="shared" si="62"/>
        <v>Bulnes Población  de 15 a 64 años</v>
      </c>
      <c r="B1344" t="s">
        <v>961</v>
      </c>
      <c r="C1344" t="s">
        <v>2527</v>
      </c>
      <c r="D1344" t="s">
        <v>50</v>
      </c>
      <c r="E1344" s="2" t="s">
        <v>991</v>
      </c>
      <c r="F1344">
        <f t="shared" si="60"/>
        <v>7</v>
      </c>
      <c r="G1344" s="2">
        <f t="shared" si="61"/>
        <v>14650</v>
      </c>
    </row>
    <row r="1345" spans="1:7" x14ac:dyDescent="0.25">
      <c r="A1345" t="str">
        <f t="shared" si="62"/>
        <v>Bulnes Población de 65 años o mas</v>
      </c>
      <c r="B1345" t="s">
        <v>961</v>
      </c>
      <c r="C1345" t="s">
        <v>2527</v>
      </c>
      <c r="D1345" t="s">
        <v>46</v>
      </c>
      <c r="E1345" s="2" t="s">
        <v>990</v>
      </c>
      <c r="F1345">
        <f t="shared" si="60"/>
        <v>6</v>
      </c>
      <c r="G1345" s="2">
        <f t="shared" si="61"/>
        <v>4092</v>
      </c>
    </row>
    <row r="1346" spans="1:7" x14ac:dyDescent="0.25">
      <c r="A1346" t="str">
        <f t="shared" si="62"/>
        <v>Quillón Hombre</v>
      </c>
      <c r="B1346" t="s">
        <v>961</v>
      </c>
      <c r="C1346" t="s">
        <v>2528</v>
      </c>
      <c r="D1346" t="s">
        <v>58</v>
      </c>
      <c r="E1346" s="2" t="s">
        <v>989</v>
      </c>
      <c r="F1346">
        <f t="shared" ref="F1346:F1409" si="63">+FIND(".",E1346)</f>
        <v>6</v>
      </c>
      <c r="G1346" s="2">
        <f t="shared" ref="G1346:G1409" si="64">+LEFT(E1346,(F1346-1))*1</f>
        <v>9402</v>
      </c>
    </row>
    <row r="1347" spans="1:7" x14ac:dyDescent="0.25">
      <c r="A1347" t="str">
        <f t="shared" ref="A1347:A1410" si="65">+C1347&amp;D1347</f>
        <v>Quillón Mujer</v>
      </c>
      <c r="B1347" t="s">
        <v>961</v>
      </c>
      <c r="C1347" t="s">
        <v>2528</v>
      </c>
      <c r="D1347" t="s">
        <v>56</v>
      </c>
      <c r="E1347" s="2" t="s">
        <v>988</v>
      </c>
      <c r="F1347">
        <f t="shared" si="63"/>
        <v>6</v>
      </c>
      <c r="G1347" s="2">
        <f t="shared" si="64"/>
        <v>9902</v>
      </c>
    </row>
    <row r="1348" spans="1:7" x14ac:dyDescent="0.25">
      <c r="A1348" t="str">
        <f t="shared" si="65"/>
        <v>Quillón Población total</v>
      </c>
      <c r="B1348" t="s">
        <v>961</v>
      </c>
      <c r="C1348" t="s">
        <v>2528</v>
      </c>
      <c r="D1348" t="s">
        <v>54</v>
      </c>
      <c r="E1348" s="2" t="s">
        <v>987</v>
      </c>
      <c r="F1348">
        <f t="shared" si="63"/>
        <v>7</v>
      </c>
      <c r="G1348" s="2">
        <f t="shared" si="64"/>
        <v>19304</v>
      </c>
    </row>
    <row r="1349" spans="1:7" x14ac:dyDescent="0.25">
      <c r="A1349" t="str">
        <f t="shared" si="65"/>
        <v>Quillón Población  de 0 a 14 años</v>
      </c>
      <c r="B1349" t="s">
        <v>961</v>
      </c>
      <c r="C1349" t="s">
        <v>2528</v>
      </c>
      <c r="D1349" t="s">
        <v>52</v>
      </c>
      <c r="E1349" s="2" t="s">
        <v>362</v>
      </c>
      <c r="F1349">
        <f t="shared" si="63"/>
        <v>6</v>
      </c>
      <c r="G1349" s="2">
        <f t="shared" si="64"/>
        <v>3082</v>
      </c>
    </row>
    <row r="1350" spans="1:7" x14ac:dyDescent="0.25">
      <c r="A1350" t="str">
        <f t="shared" si="65"/>
        <v>Quillón Población  de 15 a 64 años</v>
      </c>
      <c r="B1350" t="s">
        <v>961</v>
      </c>
      <c r="C1350" t="s">
        <v>2528</v>
      </c>
      <c r="D1350" t="s">
        <v>50</v>
      </c>
      <c r="E1350" s="2" t="s">
        <v>986</v>
      </c>
      <c r="F1350">
        <f t="shared" si="63"/>
        <v>7</v>
      </c>
      <c r="G1350" s="2">
        <f t="shared" si="64"/>
        <v>12015</v>
      </c>
    </row>
    <row r="1351" spans="1:7" x14ac:dyDescent="0.25">
      <c r="A1351" t="str">
        <f t="shared" si="65"/>
        <v>Quillón Población de 65 años o mas</v>
      </c>
      <c r="B1351" t="s">
        <v>961</v>
      </c>
      <c r="C1351" t="s">
        <v>2528</v>
      </c>
      <c r="D1351" t="s">
        <v>46</v>
      </c>
      <c r="E1351" s="2" t="s">
        <v>985</v>
      </c>
      <c r="F1351">
        <f t="shared" si="63"/>
        <v>6</v>
      </c>
      <c r="G1351" s="2">
        <f t="shared" si="64"/>
        <v>4207</v>
      </c>
    </row>
    <row r="1352" spans="1:7" x14ac:dyDescent="0.25">
      <c r="A1352" t="str">
        <f t="shared" si="65"/>
        <v>San Ignacio Hombre</v>
      </c>
      <c r="B1352" t="s">
        <v>961</v>
      </c>
      <c r="C1352" t="s">
        <v>2529</v>
      </c>
      <c r="D1352" t="s">
        <v>58</v>
      </c>
      <c r="E1352" s="2" t="s">
        <v>984</v>
      </c>
      <c r="F1352">
        <f t="shared" si="63"/>
        <v>6</v>
      </c>
      <c r="G1352" s="2">
        <f t="shared" si="64"/>
        <v>8114</v>
      </c>
    </row>
    <row r="1353" spans="1:7" x14ac:dyDescent="0.25">
      <c r="A1353" t="str">
        <f t="shared" si="65"/>
        <v>San Ignacio Mujer</v>
      </c>
      <c r="B1353" t="s">
        <v>961</v>
      </c>
      <c r="C1353" t="s">
        <v>2529</v>
      </c>
      <c r="D1353" t="s">
        <v>56</v>
      </c>
      <c r="E1353" s="2" t="s">
        <v>983</v>
      </c>
      <c r="F1353">
        <f t="shared" si="63"/>
        <v>6</v>
      </c>
      <c r="G1353" s="2">
        <f t="shared" si="64"/>
        <v>8486</v>
      </c>
    </row>
    <row r="1354" spans="1:7" x14ac:dyDescent="0.25">
      <c r="A1354" t="str">
        <f t="shared" si="65"/>
        <v>San Ignacio Población total</v>
      </c>
      <c r="B1354" t="s">
        <v>961</v>
      </c>
      <c r="C1354" t="s">
        <v>2529</v>
      </c>
      <c r="D1354" t="s">
        <v>54</v>
      </c>
      <c r="E1354" s="2" t="s">
        <v>982</v>
      </c>
      <c r="F1354">
        <f t="shared" si="63"/>
        <v>7</v>
      </c>
      <c r="G1354" s="2">
        <f t="shared" si="64"/>
        <v>16600</v>
      </c>
    </row>
    <row r="1355" spans="1:7" x14ac:dyDescent="0.25">
      <c r="A1355" t="str">
        <f t="shared" si="65"/>
        <v>San Ignacio Población  de 0 a 14 años</v>
      </c>
      <c r="B1355" t="s">
        <v>961</v>
      </c>
      <c r="C1355" t="s">
        <v>2529</v>
      </c>
      <c r="D1355" t="s">
        <v>52</v>
      </c>
      <c r="E1355" s="2" t="s">
        <v>981</v>
      </c>
      <c r="F1355">
        <f t="shared" si="63"/>
        <v>6</v>
      </c>
      <c r="G1355" s="2">
        <f t="shared" si="64"/>
        <v>2761</v>
      </c>
    </row>
    <row r="1356" spans="1:7" x14ac:dyDescent="0.25">
      <c r="A1356" t="str">
        <f t="shared" si="65"/>
        <v>San Ignacio Población  de 15 a 64 años</v>
      </c>
      <c r="B1356" t="s">
        <v>961</v>
      </c>
      <c r="C1356" t="s">
        <v>2529</v>
      </c>
      <c r="D1356" t="s">
        <v>50</v>
      </c>
      <c r="E1356" s="2" t="s">
        <v>980</v>
      </c>
      <c r="F1356">
        <f t="shared" si="63"/>
        <v>7</v>
      </c>
      <c r="G1356" s="2">
        <f t="shared" si="64"/>
        <v>10680</v>
      </c>
    </row>
    <row r="1357" spans="1:7" x14ac:dyDescent="0.25">
      <c r="A1357" t="str">
        <f t="shared" si="65"/>
        <v>San Ignacio Población de 65 años o mas</v>
      </c>
      <c r="B1357" t="s">
        <v>961</v>
      </c>
      <c r="C1357" t="s">
        <v>2529</v>
      </c>
      <c r="D1357" t="s">
        <v>46</v>
      </c>
      <c r="E1357" s="2" t="s">
        <v>979</v>
      </c>
      <c r="F1357">
        <f t="shared" si="63"/>
        <v>6</v>
      </c>
      <c r="G1357" s="2">
        <f t="shared" si="64"/>
        <v>3159</v>
      </c>
    </row>
    <row r="1358" spans="1:7" x14ac:dyDescent="0.25">
      <c r="A1358" t="str">
        <f t="shared" si="65"/>
        <v>El Carmen Hombre</v>
      </c>
      <c r="B1358" t="s">
        <v>961</v>
      </c>
      <c r="C1358" t="s">
        <v>2530</v>
      </c>
      <c r="D1358" t="s">
        <v>58</v>
      </c>
      <c r="E1358" s="2" t="s">
        <v>978</v>
      </c>
      <c r="F1358">
        <f t="shared" si="63"/>
        <v>6</v>
      </c>
      <c r="G1358" s="2">
        <f t="shared" si="64"/>
        <v>5981</v>
      </c>
    </row>
    <row r="1359" spans="1:7" x14ac:dyDescent="0.25">
      <c r="A1359" t="str">
        <f t="shared" si="65"/>
        <v>El Carmen Mujer</v>
      </c>
      <c r="B1359" t="s">
        <v>961</v>
      </c>
      <c r="C1359" t="s">
        <v>2530</v>
      </c>
      <c r="D1359" t="s">
        <v>56</v>
      </c>
      <c r="E1359" s="2" t="s">
        <v>977</v>
      </c>
      <c r="F1359">
        <f t="shared" si="63"/>
        <v>6</v>
      </c>
      <c r="G1359" s="2">
        <f t="shared" si="64"/>
        <v>6216</v>
      </c>
    </row>
    <row r="1360" spans="1:7" x14ac:dyDescent="0.25">
      <c r="A1360" t="str">
        <f t="shared" si="65"/>
        <v>El Carmen Población total</v>
      </c>
      <c r="B1360" t="s">
        <v>961</v>
      </c>
      <c r="C1360" t="s">
        <v>2530</v>
      </c>
      <c r="D1360" t="s">
        <v>54</v>
      </c>
      <c r="E1360" s="2" t="s">
        <v>976</v>
      </c>
      <c r="F1360">
        <f t="shared" si="63"/>
        <v>7</v>
      </c>
      <c r="G1360" s="2">
        <f t="shared" si="64"/>
        <v>12197</v>
      </c>
    </row>
    <row r="1361" spans="1:7" x14ac:dyDescent="0.25">
      <c r="A1361" t="str">
        <f t="shared" si="65"/>
        <v>El Carmen Población  de 0 a 14 años</v>
      </c>
      <c r="B1361" t="s">
        <v>961</v>
      </c>
      <c r="C1361" t="s">
        <v>2530</v>
      </c>
      <c r="D1361" t="s">
        <v>52</v>
      </c>
      <c r="E1361" s="2" t="s">
        <v>975</v>
      </c>
      <c r="F1361">
        <f t="shared" si="63"/>
        <v>6</v>
      </c>
      <c r="G1361" s="2">
        <f t="shared" si="64"/>
        <v>2044</v>
      </c>
    </row>
    <row r="1362" spans="1:7" x14ac:dyDescent="0.25">
      <c r="A1362" t="str">
        <f t="shared" si="65"/>
        <v>El Carmen Población  de 15 a 64 años</v>
      </c>
      <c r="B1362" t="s">
        <v>961</v>
      </c>
      <c r="C1362" t="s">
        <v>2530</v>
      </c>
      <c r="D1362" t="s">
        <v>50</v>
      </c>
      <c r="E1362" s="2" t="s">
        <v>974</v>
      </c>
      <c r="F1362">
        <f t="shared" si="63"/>
        <v>6</v>
      </c>
      <c r="G1362" s="2">
        <f t="shared" si="64"/>
        <v>7697</v>
      </c>
    </row>
    <row r="1363" spans="1:7" x14ac:dyDescent="0.25">
      <c r="A1363" t="str">
        <f t="shared" si="65"/>
        <v>El Carmen Población de 65 años o mas</v>
      </c>
      <c r="B1363" t="s">
        <v>961</v>
      </c>
      <c r="C1363" t="s">
        <v>2530</v>
      </c>
      <c r="D1363" t="s">
        <v>46</v>
      </c>
      <c r="E1363" s="2" t="s">
        <v>973</v>
      </c>
      <c r="F1363">
        <f t="shared" si="63"/>
        <v>6</v>
      </c>
      <c r="G1363" s="2">
        <f t="shared" si="64"/>
        <v>2456</v>
      </c>
    </row>
    <row r="1364" spans="1:7" x14ac:dyDescent="0.25">
      <c r="A1364" t="str">
        <f t="shared" si="65"/>
        <v>Pemuco Hombre</v>
      </c>
      <c r="B1364" t="s">
        <v>961</v>
      </c>
      <c r="C1364" t="s">
        <v>2531</v>
      </c>
      <c r="D1364" t="s">
        <v>58</v>
      </c>
      <c r="E1364" s="2" t="s">
        <v>972</v>
      </c>
      <c r="F1364">
        <f t="shared" si="63"/>
        <v>6</v>
      </c>
      <c r="G1364" s="2">
        <f t="shared" si="64"/>
        <v>4232</v>
      </c>
    </row>
    <row r="1365" spans="1:7" x14ac:dyDescent="0.25">
      <c r="A1365" t="str">
        <f t="shared" si="65"/>
        <v>Pemuco Mujer</v>
      </c>
      <c r="B1365" t="s">
        <v>961</v>
      </c>
      <c r="C1365" t="s">
        <v>2531</v>
      </c>
      <c r="D1365" t="s">
        <v>56</v>
      </c>
      <c r="E1365" s="2" t="s">
        <v>971</v>
      </c>
      <c r="F1365">
        <f t="shared" si="63"/>
        <v>6</v>
      </c>
      <c r="G1365" s="2">
        <f t="shared" si="64"/>
        <v>4351</v>
      </c>
    </row>
    <row r="1366" spans="1:7" x14ac:dyDescent="0.25">
      <c r="A1366" t="str">
        <f t="shared" si="65"/>
        <v>Pemuco Población total</v>
      </c>
      <c r="B1366" t="s">
        <v>961</v>
      </c>
      <c r="C1366" t="s">
        <v>2531</v>
      </c>
      <c r="D1366" t="s">
        <v>54</v>
      </c>
      <c r="E1366" s="2" t="s">
        <v>970</v>
      </c>
      <c r="F1366">
        <f t="shared" si="63"/>
        <v>6</v>
      </c>
      <c r="G1366" s="2">
        <f t="shared" si="64"/>
        <v>8583</v>
      </c>
    </row>
    <row r="1367" spans="1:7" x14ac:dyDescent="0.25">
      <c r="A1367" t="str">
        <f t="shared" si="65"/>
        <v>Pemuco Población  de 0 a 14 años</v>
      </c>
      <c r="B1367" t="s">
        <v>961</v>
      </c>
      <c r="C1367" t="s">
        <v>2531</v>
      </c>
      <c r="D1367" t="s">
        <v>52</v>
      </c>
      <c r="E1367" s="2" t="s">
        <v>969</v>
      </c>
      <c r="F1367">
        <f t="shared" si="63"/>
        <v>6</v>
      </c>
      <c r="G1367" s="2">
        <f t="shared" si="64"/>
        <v>1509</v>
      </c>
    </row>
    <row r="1368" spans="1:7" x14ac:dyDescent="0.25">
      <c r="A1368" t="str">
        <f t="shared" si="65"/>
        <v>Pemuco Población  de 15 a 64 años</v>
      </c>
      <c r="B1368" t="s">
        <v>961</v>
      </c>
      <c r="C1368" t="s">
        <v>2531</v>
      </c>
      <c r="D1368" t="s">
        <v>50</v>
      </c>
      <c r="E1368" s="2" t="s">
        <v>968</v>
      </c>
      <c r="F1368">
        <f t="shared" si="63"/>
        <v>6</v>
      </c>
      <c r="G1368" s="2">
        <f t="shared" si="64"/>
        <v>5521</v>
      </c>
    </row>
    <row r="1369" spans="1:7" x14ac:dyDescent="0.25">
      <c r="A1369" t="str">
        <f t="shared" si="65"/>
        <v>Pemuco Población de 65 años o mas</v>
      </c>
      <c r="B1369" t="s">
        <v>961</v>
      </c>
      <c r="C1369" t="s">
        <v>2531</v>
      </c>
      <c r="D1369" t="s">
        <v>46</v>
      </c>
      <c r="E1369" s="2" t="s">
        <v>967</v>
      </c>
      <c r="F1369">
        <f t="shared" si="63"/>
        <v>6</v>
      </c>
      <c r="G1369" s="2">
        <f t="shared" si="64"/>
        <v>1553</v>
      </c>
    </row>
    <row r="1370" spans="1:7" x14ac:dyDescent="0.25">
      <c r="A1370" t="str">
        <f t="shared" si="65"/>
        <v>Yungay Hombre</v>
      </c>
      <c r="B1370" t="s">
        <v>961</v>
      </c>
      <c r="C1370" t="s">
        <v>2532</v>
      </c>
      <c r="D1370" t="s">
        <v>58</v>
      </c>
      <c r="E1370" s="2" t="s">
        <v>966</v>
      </c>
      <c r="F1370">
        <f t="shared" si="63"/>
        <v>6</v>
      </c>
      <c r="G1370" s="2">
        <f t="shared" si="64"/>
        <v>9251</v>
      </c>
    </row>
    <row r="1371" spans="1:7" x14ac:dyDescent="0.25">
      <c r="A1371" t="str">
        <f t="shared" si="65"/>
        <v>Yungay Mujer</v>
      </c>
      <c r="B1371" t="s">
        <v>961</v>
      </c>
      <c r="C1371" t="s">
        <v>2532</v>
      </c>
      <c r="D1371" t="s">
        <v>56</v>
      </c>
      <c r="E1371" s="2" t="s">
        <v>965</v>
      </c>
      <c r="F1371">
        <f t="shared" si="63"/>
        <v>6</v>
      </c>
      <c r="G1371" s="2">
        <f t="shared" si="64"/>
        <v>9584</v>
      </c>
    </row>
    <row r="1372" spans="1:7" x14ac:dyDescent="0.25">
      <c r="A1372" t="str">
        <f t="shared" si="65"/>
        <v>Yungay Población total</v>
      </c>
      <c r="B1372" t="s">
        <v>961</v>
      </c>
      <c r="C1372" t="s">
        <v>2532</v>
      </c>
      <c r="D1372" t="s">
        <v>54</v>
      </c>
      <c r="E1372" s="2" t="s">
        <v>964</v>
      </c>
      <c r="F1372">
        <f t="shared" si="63"/>
        <v>7</v>
      </c>
      <c r="G1372" s="2">
        <f t="shared" si="64"/>
        <v>18835</v>
      </c>
    </row>
    <row r="1373" spans="1:7" x14ac:dyDescent="0.25">
      <c r="A1373" t="str">
        <f t="shared" si="65"/>
        <v>Yungay Población  de 0 a 14 años</v>
      </c>
      <c r="B1373" t="s">
        <v>961</v>
      </c>
      <c r="C1373" t="s">
        <v>2532</v>
      </c>
      <c r="D1373" t="s">
        <v>52</v>
      </c>
      <c r="E1373" s="2" t="s">
        <v>963</v>
      </c>
      <c r="F1373">
        <f t="shared" si="63"/>
        <v>6</v>
      </c>
      <c r="G1373" s="2">
        <f t="shared" si="64"/>
        <v>3270</v>
      </c>
    </row>
    <row r="1374" spans="1:7" x14ac:dyDescent="0.25">
      <c r="A1374" t="str">
        <f t="shared" si="65"/>
        <v>Yungay Población  de 15 a 64 años</v>
      </c>
      <c r="B1374" t="s">
        <v>961</v>
      </c>
      <c r="C1374" t="s">
        <v>2532</v>
      </c>
      <c r="D1374" t="s">
        <v>50</v>
      </c>
      <c r="E1374" s="2" t="s">
        <v>962</v>
      </c>
      <c r="F1374">
        <f t="shared" si="63"/>
        <v>7</v>
      </c>
      <c r="G1374" s="2">
        <f t="shared" si="64"/>
        <v>11993</v>
      </c>
    </row>
    <row r="1375" spans="1:7" x14ac:dyDescent="0.25">
      <c r="A1375" t="str">
        <f t="shared" si="65"/>
        <v>Yungay Población de 65 años o mas</v>
      </c>
      <c r="B1375" t="s">
        <v>961</v>
      </c>
      <c r="C1375" t="s">
        <v>2532</v>
      </c>
      <c r="D1375" t="s">
        <v>46</v>
      </c>
      <c r="E1375" s="2" t="s">
        <v>960</v>
      </c>
      <c r="F1375">
        <f t="shared" si="63"/>
        <v>6</v>
      </c>
      <c r="G1375" s="2">
        <f t="shared" si="64"/>
        <v>3572</v>
      </c>
    </row>
    <row r="1376" spans="1:7" x14ac:dyDescent="0.25">
      <c r="A1376" t="str">
        <f t="shared" si="65"/>
        <v>Región Del Biobío Hombre</v>
      </c>
      <c r="B1376" t="s">
        <v>728</v>
      </c>
      <c r="C1376" t="s">
        <v>728</v>
      </c>
      <c r="D1376" t="s">
        <v>58</v>
      </c>
      <c r="E1376" s="2" t="s">
        <v>959</v>
      </c>
      <c r="F1376">
        <f t="shared" si="63"/>
        <v>8</v>
      </c>
      <c r="G1376" s="2">
        <f t="shared" si="64"/>
        <v>819922</v>
      </c>
    </row>
    <row r="1377" spans="1:7" x14ac:dyDescent="0.25">
      <c r="A1377" t="str">
        <f t="shared" si="65"/>
        <v>Región Del Biobío Mujer</v>
      </c>
      <c r="B1377" t="s">
        <v>728</v>
      </c>
      <c r="C1377" t="s">
        <v>728</v>
      </c>
      <c r="D1377" t="s">
        <v>56</v>
      </c>
      <c r="E1377" s="2" t="s">
        <v>958</v>
      </c>
      <c r="F1377">
        <f t="shared" si="63"/>
        <v>8</v>
      </c>
      <c r="G1377" s="2">
        <f t="shared" si="64"/>
        <v>866303</v>
      </c>
    </row>
    <row r="1378" spans="1:7" x14ac:dyDescent="0.25">
      <c r="A1378" t="str">
        <f t="shared" si="65"/>
        <v>Región Del Biobío Población total</v>
      </c>
      <c r="B1378" t="s">
        <v>728</v>
      </c>
      <c r="C1378" t="s">
        <v>728</v>
      </c>
      <c r="D1378" t="s">
        <v>54</v>
      </c>
      <c r="E1378" s="2" t="s">
        <v>957</v>
      </c>
      <c r="F1378">
        <f t="shared" si="63"/>
        <v>9</v>
      </c>
      <c r="G1378" s="2">
        <f t="shared" si="64"/>
        <v>1686225</v>
      </c>
    </row>
    <row r="1379" spans="1:7" x14ac:dyDescent="0.25">
      <c r="A1379" t="str">
        <f t="shared" si="65"/>
        <v>Región Del Biobío Población  de 0 a 14 años</v>
      </c>
      <c r="B1379" t="s">
        <v>728</v>
      </c>
      <c r="C1379" t="s">
        <v>728</v>
      </c>
      <c r="D1379" t="s">
        <v>52</v>
      </c>
      <c r="E1379" s="2" t="s">
        <v>956</v>
      </c>
      <c r="F1379">
        <f t="shared" si="63"/>
        <v>8</v>
      </c>
      <c r="G1379" s="2">
        <f t="shared" si="64"/>
        <v>304476</v>
      </c>
    </row>
    <row r="1380" spans="1:7" x14ac:dyDescent="0.25">
      <c r="A1380" t="str">
        <f t="shared" si="65"/>
        <v>Región Del Biobío Población  de 15 a 64 años</v>
      </c>
      <c r="B1380" t="s">
        <v>728</v>
      </c>
      <c r="C1380" t="s">
        <v>728</v>
      </c>
      <c r="D1380" t="s">
        <v>50</v>
      </c>
      <c r="E1380" s="2" t="s">
        <v>955</v>
      </c>
      <c r="F1380">
        <f t="shared" si="63"/>
        <v>9</v>
      </c>
      <c r="G1380" s="2">
        <f t="shared" si="64"/>
        <v>1130592</v>
      </c>
    </row>
    <row r="1381" spans="1:7" x14ac:dyDescent="0.25">
      <c r="A1381" t="str">
        <f t="shared" si="65"/>
        <v>Región Del Biobío Población de 65 años o mas</v>
      </c>
      <c r="B1381" t="s">
        <v>728</v>
      </c>
      <c r="C1381" t="s">
        <v>728</v>
      </c>
      <c r="D1381" t="s">
        <v>46</v>
      </c>
      <c r="E1381" s="2" t="s">
        <v>954</v>
      </c>
      <c r="F1381">
        <f t="shared" si="63"/>
        <v>8</v>
      </c>
      <c r="G1381" s="2">
        <f t="shared" si="64"/>
        <v>251157</v>
      </c>
    </row>
    <row r="1382" spans="1:7" x14ac:dyDescent="0.25">
      <c r="A1382" t="str">
        <f t="shared" si="65"/>
        <v>Tomé Hombre</v>
      </c>
      <c r="B1382" t="s">
        <v>728</v>
      </c>
      <c r="C1382" t="s">
        <v>948</v>
      </c>
      <c r="D1382" t="s">
        <v>58</v>
      </c>
      <c r="E1382" s="2" t="s">
        <v>953</v>
      </c>
      <c r="F1382">
        <f t="shared" si="63"/>
        <v>7</v>
      </c>
      <c r="G1382" s="2">
        <f t="shared" si="64"/>
        <v>28641</v>
      </c>
    </row>
    <row r="1383" spans="1:7" x14ac:dyDescent="0.25">
      <c r="A1383" t="str">
        <f t="shared" si="65"/>
        <v>Tomé Mujer</v>
      </c>
      <c r="B1383" t="s">
        <v>728</v>
      </c>
      <c r="C1383" t="s">
        <v>948</v>
      </c>
      <c r="D1383" t="s">
        <v>56</v>
      </c>
      <c r="E1383" s="2" t="s">
        <v>952</v>
      </c>
      <c r="F1383">
        <f t="shared" si="63"/>
        <v>7</v>
      </c>
      <c r="G1383" s="2">
        <f t="shared" si="64"/>
        <v>30509</v>
      </c>
    </row>
    <row r="1384" spans="1:7" x14ac:dyDescent="0.25">
      <c r="A1384" t="str">
        <f t="shared" si="65"/>
        <v>Tomé Población total</v>
      </c>
      <c r="B1384" t="s">
        <v>728</v>
      </c>
      <c r="C1384" t="s">
        <v>948</v>
      </c>
      <c r="D1384" t="s">
        <v>54</v>
      </c>
      <c r="E1384" s="2" t="s">
        <v>951</v>
      </c>
      <c r="F1384">
        <f t="shared" si="63"/>
        <v>7</v>
      </c>
      <c r="G1384" s="2">
        <f t="shared" si="64"/>
        <v>59150</v>
      </c>
    </row>
    <row r="1385" spans="1:7" x14ac:dyDescent="0.25">
      <c r="A1385" t="str">
        <f t="shared" si="65"/>
        <v>Tomé Población  de 0 a 14 años</v>
      </c>
      <c r="B1385" t="s">
        <v>728</v>
      </c>
      <c r="C1385" t="s">
        <v>948</v>
      </c>
      <c r="D1385" t="s">
        <v>52</v>
      </c>
      <c r="E1385" s="2" t="s">
        <v>950</v>
      </c>
      <c r="F1385">
        <f t="shared" si="63"/>
        <v>7</v>
      </c>
      <c r="G1385" s="2">
        <f t="shared" si="64"/>
        <v>10009</v>
      </c>
    </row>
    <row r="1386" spans="1:7" x14ac:dyDescent="0.25">
      <c r="A1386" t="str">
        <f t="shared" si="65"/>
        <v>Tomé Población  de 15 a 64 años</v>
      </c>
      <c r="B1386" t="s">
        <v>728</v>
      </c>
      <c r="C1386" t="s">
        <v>948</v>
      </c>
      <c r="D1386" t="s">
        <v>50</v>
      </c>
      <c r="E1386" s="2" t="s">
        <v>949</v>
      </c>
      <c r="F1386">
        <f t="shared" si="63"/>
        <v>7</v>
      </c>
      <c r="G1386" s="2">
        <f t="shared" si="64"/>
        <v>38473</v>
      </c>
    </row>
    <row r="1387" spans="1:7" x14ac:dyDescent="0.25">
      <c r="A1387" t="str">
        <f t="shared" si="65"/>
        <v>Tomé Población de 65 años o mas</v>
      </c>
      <c r="B1387" t="s">
        <v>728</v>
      </c>
      <c r="C1387" t="s">
        <v>948</v>
      </c>
      <c r="D1387" t="s">
        <v>46</v>
      </c>
      <c r="E1387" s="2" t="s">
        <v>947</v>
      </c>
      <c r="F1387">
        <f t="shared" si="63"/>
        <v>7</v>
      </c>
      <c r="G1387" s="2">
        <f t="shared" si="64"/>
        <v>10668</v>
      </c>
    </row>
    <row r="1388" spans="1:7" x14ac:dyDescent="0.25">
      <c r="A1388" t="str">
        <f t="shared" si="65"/>
        <v>Penco Hombre</v>
      </c>
      <c r="B1388" t="s">
        <v>728</v>
      </c>
      <c r="C1388" t="s">
        <v>941</v>
      </c>
      <c r="D1388" t="s">
        <v>58</v>
      </c>
      <c r="E1388" s="2" t="s">
        <v>946</v>
      </c>
      <c r="F1388">
        <f t="shared" si="63"/>
        <v>7</v>
      </c>
      <c r="G1388" s="2">
        <f t="shared" si="64"/>
        <v>24342</v>
      </c>
    </row>
    <row r="1389" spans="1:7" x14ac:dyDescent="0.25">
      <c r="A1389" t="str">
        <f t="shared" si="65"/>
        <v>Penco Mujer</v>
      </c>
      <c r="B1389" t="s">
        <v>728</v>
      </c>
      <c r="C1389" t="s">
        <v>941</v>
      </c>
      <c r="D1389" t="s">
        <v>56</v>
      </c>
      <c r="E1389" s="2" t="s">
        <v>945</v>
      </c>
      <c r="F1389">
        <f t="shared" si="63"/>
        <v>7</v>
      </c>
      <c r="G1389" s="2">
        <f t="shared" si="64"/>
        <v>25847</v>
      </c>
    </row>
    <row r="1390" spans="1:7" x14ac:dyDescent="0.25">
      <c r="A1390" t="str">
        <f t="shared" si="65"/>
        <v>Penco Población total</v>
      </c>
      <c r="B1390" t="s">
        <v>728</v>
      </c>
      <c r="C1390" t="s">
        <v>941</v>
      </c>
      <c r="D1390" t="s">
        <v>54</v>
      </c>
      <c r="E1390" s="2" t="s">
        <v>944</v>
      </c>
      <c r="F1390">
        <f t="shared" si="63"/>
        <v>7</v>
      </c>
      <c r="G1390" s="2">
        <f t="shared" si="64"/>
        <v>50189</v>
      </c>
    </row>
    <row r="1391" spans="1:7" x14ac:dyDescent="0.25">
      <c r="A1391" t="str">
        <f t="shared" si="65"/>
        <v>Penco Población  de 0 a 14 años</v>
      </c>
      <c r="B1391" t="s">
        <v>728</v>
      </c>
      <c r="C1391" t="s">
        <v>941</v>
      </c>
      <c r="D1391" t="s">
        <v>52</v>
      </c>
      <c r="E1391" s="2" t="s">
        <v>943</v>
      </c>
      <c r="F1391">
        <f t="shared" si="63"/>
        <v>6</v>
      </c>
      <c r="G1391" s="2">
        <f t="shared" si="64"/>
        <v>8931</v>
      </c>
    </row>
    <row r="1392" spans="1:7" x14ac:dyDescent="0.25">
      <c r="A1392" t="str">
        <f t="shared" si="65"/>
        <v>Penco Población  de 15 a 64 años</v>
      </c>
      <c r="B1392" t="s">
        <v>728</v>
      </c>
      <c r="C1392" t="s">
        <v>941</v>
      </c>
      <c r="D1392" t="s">
        <v>50</v>
      </c>
      <c r="E1392" s="2" t="s">
        <v>942</v>
      </c>
      <c r="F1392">
        <f t="shared" si="63"/>
        <v>7</v>
      </c>
      <c r="G1392" s="2">
        <f t="shared" si="64"/>
        <v>33675</v>
      </c>
    </row>
    <row r="1393" spans="1:7" x14ac:dyDescent="0.25">
      <c r="A1393" t="str">
        <f t="shared" si="65"/>
        <v>Penco Población de 65 años o mas</v>
      </c>
      <c r="B1393" t="s">
        <v>728</v>
      </c>
      <c r="C1393" t="s">
        <v>941</v>
      </c>
      <c r="D1393" t="s">
        <v>46</v>
      </c>
      <c r="E1393" s="2" t="s">
        <v>940</v>
      </c>
      <c r="F1393">
        <f t="shared" si="63"/>
        <v>6</v>
      </c>
      <c r="G1393" s="2">
        <f t="shared" si="64"/>
        <v>7583</v>
      </c>
    </row>
    <row r="1394" spans="1:7" x14ac:dyDescent="0.25">
      <c r="A1394" t="str">
        <f t="shared" si="65"/>
        <v>Talcahuano Hombre</v>
      </c>
      <c r="B1394" t="s">
        <v>728</v>
      </c>
      <c r="C1394" t="s">
        <v>934</v>
      </c>
      <c r="D1394" t="s">
        <v>58</v>
      </c>
      <c r="E1394" s="2" t="s">
        <v>939</v>
      </c>
      <c r="F1394">
        <f t="shared" si="63"/>
        <v>7</v>
      </c>
      <c r="G1394" s="2">
        <f t="shared" si="64"/>
        <v>76972</v>
      </c>
    </row>
    <row r="1395" spans="1:7" x14ac:dyDescent="0.25">
      <c r="A1395" t="str">
        <f t="shared" si="65"/>
        <v>Talcahuano Mujer</v>
      </c>
      <c r="B1395" t="s">
        <v>728</v>
      </c>
      <c r="C1395" t="s">
        <v>934</v>
      </c>
      <c r="D1395" t="s">
        <v>56</v>
      </c>
      <c r="E1395" s="2" t="s">
        <v>938</v>
      </c>
      <c r="F1395">
        <f t="shared" si="63"/>
        <v>7</v>
      </c>
      <c r="G1395" s="2">
        <f t="shared" si="64"/>
        <v>81195</v>
      </c>
    </row>
    <row r="1396" spans="1:7" x14ac:dyDescent="0.25">
      <c r="A1396" t="str">
        <f t="shared" si="65"/>
        <v>Talcahuano Población total</v>
      </c>
      <c r="B1396" t="s">
        <v>728</v>
      </c>
      <c r="C1396" t="s">
        <v>934</v>
      </c>
      <c r="D1396" t="s">
        <v>54</v>
      </c>
      <c r="E1396" s="2" t="s">
        <v>937</v>
      </c>
      <c r="F1396">
        <f t="shared" si="63"/>
        <v>8</v>
      </c>
      <c r="G1396" s="2">
        <f t="shared" si="64"/>
        <v>158167</v>
      </c>
    </row>
    <row r="1397" spans="1:7" x14ac:dyDescent="0.25">
      <c r="A1397" t="str">
        <f t="shared" si="65"/>
        <v>Talcahuano Población  de 0 a 14 años</v>
      </c>
      <c r="B1397" t="s">
        <v>728</v>
      </c>
      <c r="C1397" t="s">
        <v>934</v>
      </c>
      <c r="D1397" t="s">
        <v>52</v>
      </c>
      <c r="E1397" s="2" t="s">
        <v>936</v>
      </c>
      <c r="F1397">
        <f t="shared" si="63"/>
        <v>7</v>
      </c>
      <c r="G1397" s="2">
        <f t="shared" si="64"/>
        <v>26563</v>
      </c>
    </row>
    <row r="1398" spans="1:7" x14ac:dyDescent="0.25">
      <c r="A1398" t="str">
        <f t="shared" si="65"/>
        <v>Talcahuano Población  de 15 a 64 años</v>
      </c>
      <c r="B1398" t="s">
        <v>728</v>
      </c>
      <c r="C1398" t="s">
        <v>934</v>
      </c>
      <c r="D1398" t="s">
        <v>50</v>
      </c>
      <c r="E1398" s="2" t="s">
        <v>935</v>
      </c>
      <c r="F1398">
        <f t="shared" si="63"/>
        <v>8</v>
      </c>
      <c r="G1398" s="2">
        <f t="shared" si="64"/>
        <v>107305</v>
      </c>
    </row>
    <row r="1399" spans="1:7" x14ac:dyDescent="0.25">
      <c r="A1399" t="str">
        <f t="shared" si="65"/>
        <v>Talcahuano Población de 65 años o mas</v>
      </c>
      <c r="B1399" t="s">
        <v>728</v>
      </c>
      <c r="C1399" t="s">
        <v>934</v>
      </c>
      <c r="D1399" t="s">
        <v>46</v>
      </c>
      <c r="E1399" s="2" t="s">
        <v>933</v>
      </c>
      <c r="F1399">
        <f t="shared" si="63"/>
        <v>7</v>
      </c>
      <c r="G1399" s="2">
        <f t="shared" si="64"/>
        <v>24299</v>
      </c>
    </row>
    <row r="1400" spans="1:7" x14ac:dyDescent="0.25">
      <c r="A1400" t="str">
        <f t="shared" si="65"/>
        <v>Hualpén Hombre</v>
      </c>
      <c r="B1400" t="s">
        <v>728</v>
      </c>
      <c r="C1400" t="s">
        <v>927</v>
      </c>
      <c r="D1400" t="s">
        <v>58</v>
      </c>
      <c r="E1400" s="2" t="s">
        <v>932</v>
      </c>
      <c r="F1400">
        <f t="shared" si="63"/>
        <v>7</v>
      </c>
      <c r="G1400" s="2">
        <f t="shared" si="64"/>
        <v>47427</v>
      </c>
    </row>
    <row r="1401" spans="1:7" x14ac:dyDescent="0.25">
      <c r="A1401" t="str">
        <f t="shared" si="65"/>
        <v>Hualpén Mujer</v>
      </c>
      <c r="B1401" t="s">
        <v>728</v>
      </c>
      <c r="C1401" t="s">
        <v>927</v>
      </c>
      <c r="D1401" t="s">
        <v>56</v>
      </c>
      <c r="E1401" s="2" t="s">
        <v>931</v>
      </c>
      <c r="F1401">
        <f t="shared" si="63"/>
        <v>7</v>
      </c>
      <c r="G1401" s="2">
        <f t="shared" si="64"/>
        <v>50628</v>
      </c>
    </row>
    <row r="1402" spans="1:7" x14ac:dyDescent="0.25">
      <c r="A1402" t="str">
        <f t="shared" si="65"/>
        <v>Hualpén Población total</v>
      </c>
      <c r="B1402" t="s">
        <v>728</v>
      </c>
      <c r="C1402" t="s">
        <v>927</v>
      </c>
      <c r="D1402" t="s">
        <v>54</v>
      </c>
      <c r="E1402" s="2" t="s">
        <v>930</v>
      </c>
      <c r="F1402">
        <f t="shared" si="63"/>
        <v>7</v>
      </c>
      <c r="G1402" s="2">
        <f t="shared" si="64"/>
        <v>98055</v>
      </c>
    </row>
    <row r="1403" spans="1:7" x14ac:dyDescent="0.25">
      <c r="A1403" t="str">
        <f t="shared" si="65"/>
        <v>Hualpén Población  de 0 a 14 años</v>
      </c>
      <c r="B1403" t="s">
        <v>728</v>
      </c>
      <c r="C1403" t="s">
        <v>927</v>
      </c>
      <c r="D1403" t="s">
        <v>52</v>
      </c>
      <c r="E1403" s="2" t="s">
        <v>929</v>
      </c>
      <c r="F1403">
        <f t="shared" si="63"/>
        <v>7</v>
      </c>
      <c r="G1403" s="2">
        <f t="shared" si="64"/>
        <v>16590</v>
      </c>
    </row>
    <row r="1404" spans="1:7" x14ac:dyDescent="0.25">
      <c r="A1404" t="str">
        <f t="shared" si="65"/>
        <v>Hualpén Población  de 15 a 64 años</v>
      </c>
      <c r="B1404" t="s">
        <v>728</v>
      </c>
      <c r="C1404" t="s">
        <v>927</v>
      </c>
      <c r="D1404" t="s">
        <v>50</v>
      </c>
      <c r="E1404" s="2" t="s">
        <v>928</v>
      </c>
      <c r="F1404">
        <f t="shared" si="63"/>
        <v>7</v>
      </c>
      <c r="G1404" s="2">
        <f t="shared" si="64"/>
        <v>65877</v>
      </c>
    </row>
    <row r="1405" spans="1:7" x14ac:dyDescent="0.25">
      <c r="A1405" t="str">
        <f t="shared" si="65"/>
        <v>Hualpén Población de 65 años o mas</v>
      </c>
      <c r="B1405" t="s">
        <v>728</v>
      </c>
      <c r="C1405" t="s">
        <v>927</v>
      </c>
      <c r="D1405" t="s">
        <v>46</v>
      </c>
      <c r="E1405" s="2" t="s">
        <v>926</v>
      </c>
      <c r="F1405">
        <f t="shared" si="63"/>
        <v>7</v>
      </c>
      <c r="G1405" s="2">
        <f t="shared" si="64"/>
        <v>15588</v>
      </c>
    </row>
    <row r="1406" spans="1:7" x14ac:dyDescent="0.25">
      <c r="A1406" t="str">
        <f t="shared" si="65"/>
        <v>Concepción Hombre</v>
      </c>
      <c r="B1406" t="s">
        <v>728</v>
      </c>
      <c r="C1406" t="s">
        <v>920</v>
      </c>
      <c r="D1406" t="s">
        <v>58</v>
      </c>
      <c r="E1406" s="2" t="s">
        <v>925</v>
      </c>
      <c r="F1406">
        <f t="shared" si="63"/>
        <v>8</v>
      </c>
      <c r="G1406" s="2">
        <f t="shared" si="64"/>
        <v>116725</v>
      </c>
    </row>
    <row r="1407" spans="1:7" x14ac:dyDescent="0.25">
      <c r="A1407" t="str">
        <f t="shared" si="65"/>
        <v>Concepción Mujer</v>
      </c>
      <c r="B1407" t="s">
        <v>728</v>
      </c>
      <c r="C1407" t="s">
        <v>920</v>
      </c>
      <c r="D1407" t="s">
        <v>56</v>
      </c>
      <c r="E1407" s="2" t="s">
        <v>924</v>
      </c>
      <c r="F1407">
        <f t="shared" si="63"/>
        <v>8</v>
      </c>
      <c r="G1407" s="2">
        <f t="shared" si="64"/>
        <v>123051</v>
      </c>
    </row>
    <row r="1408" spans="1:7" x14ac:dyDescent="0.25">
      <c r="A1408" t="str">
        <f t="shared" si="65"/>
        <v>Concepción Población total</v>
      </c>
      <c r="B1408" t="s">
        <v>728</v>
      </c>
      <c r="C1408" t="s">
        <v>920</v>
      </c>
      <c r="D1408" t="s">
        <v>54</v>
      </c>
      <c r="E1408" s="2" t="s">
        <v>923</v>
      </c>
      <c r="F1408">
        <f t="shared" si="63"/>
        <v>8</v>
      </c>
      <c r="G1408" s="2">
        <f t="shared" si="64"/>
        <v>239776</v>
      </c>
    </row>
    <row r="1409" spans="1:7" x14ac:dyDescent="0.25">
      <c r="A1409" t="str">
        <f t="shared" si="65"/>
        <v>Concepción Población  de 0 a 14 años</v>
      </c>
      <c r="B1409" t="s">
        <v>728</v>
      </c>
      <c r="C1409" t="s">
        <v>920</v>
      </c>
      <c r="D1409" t="s">
        <v>52</v>
      </c>
      <c r="E1409" s="2" t="s">
        <v>922</v>
      </c>
      <c r="F1409">
        <f t="shared" si="63"/>
        <v>7</v>
      </c>
      <c r="G1409" s="2">
        <f t="shared" si="64"/>
        <v>33492</v>
      </c>
    </row>
    <row r="1410" spans="1:7" x14ac:dyDescent="0.25">
      <c r="A1410" t="str">
        <f t="shared" si="65"/>
        <v>Concepción Población  de 15 a 64 años</v>
      </c>
      <c r="B1410" t="s">
        <v>728</v>
      </c>
      <c r="C1410" t="s">
        <v>920</v>
      </c>
      <c r="D1410" t="s">
        <v>50</v>
      </c>
      <c r="E1410" s="2" t="s">
        <v>921</v>
      </c>
      <c r="F1410">
        <f t="shared" ref="F1410:F1473" si="66">+FIND(".",E1410)</f>
        <v>8</v>
      </c>
      <c r="G1410" s="2">
        <f t="shared" ref="G1410:G1473" si="67">+LEFT(E1410,(F1410-1))*1</f>
        <v>168127</v>
      </c>
    </row>
    <row r="1411" spans="1:7" x14ac:dyDescent="0.25">
      <c r="A1411" t="str">
        <f t="shared" ref="A1411:A1474" si="68">+C1411&amp;D1411</f>
        <v>Concepción Población de 65 años o mas</v>
      </c>
      <c r="B1411" t="s">
        <v>728</v>
      </c>
      <c r="C1411" t="s">
        <v>920</v>
      </c>
      <c r="D1411" t="s">
        <v>46</v>
      </c>
      <c r="E1411" s="2" t="s">
        <v>919</v>
      </c>
      <c r="F1411">
        <f t="shared" si="66"/>
        <v>7</v>
      </c>
      <c r="G1411" s="2">
        <f t="shared" si="67"/>
        <v>38157</v>
      </c>
    </row>
    <row r="1412" spans="1:7" x14ac:dyDescent="0.25">
      <c r="A1412" t="str">
        <f t="shared" si="68"/>
        <v>Florida Hombre</v>
      </c>
      <c r="B1412" t="s">
        <v>728</v>
      </c>
      <c r="C1412" t="s">
        <v>913</v>
      </c>
      <c r="D1412" t="s">
        <v>58</v>
      </c>
      <c r="E1412" s="2" t="s">
        <v>918</v>
      </c>
      <c r="F1412">
        <f t="shared" si="66"/>
        <v>6</v>
      </c>
      <c r="G1412" s="2">
        <f t="shared" si="67"/>
        <v>5861</v>
      </c>
    </row>
    <row r="1413" spans="1:7" x14ac:dyDescent="0.25">
      <c r="A1413" t="str">
        <f t="shared" si="68"/>
        <v>Florida Mujer</v>
      </c>
      <c r="B1413" t="s">
        <v>728</v>
      </c>
      <c r="C1413" t="s">
        <v>913</v>
      </c>
      <c r="D1413" t="s">
        <v>56</v>
      </c>
      <c r="E1413" s="2" t="s">
        <v>917</v>
      </c>
      <c r="F1413">
        <f t="shared" si="66"/>
        <v>6</v>
      </c>
      <c r="G1413" s="2">
        <f t="shared" si="67"/>
        <v>6012</v>
      </c>
    </row>
    <row r="1414" spans="1:7" x14ac:dyDescent="0.25">
      <c r="A1414" t="str">
        <f t="shared" si="68"/>
        <v>Florida Población total</v>
      </c>
      <c r="B1414" t="s">
        <v>728</v>
      </c>
      <c r="C1414" t="s">
        <v>913</v>
      </c>
      <c r="D1414" t="s">
        <v>54</v>
      </c>
      <c r="E1414" s="2" t="s">
        <v>916</v>
      </c>
      <c r="F1414">
        <f t="shared" si="66"/>
        <v>7</v>
      </c>
      <c r="G1414" s="2">
        <f t="shared" si="67"/>
        <v>11873</v>
      </c>
    </row>
    <row r="1415" spans="1:7" x14ac:dyDescent="0.25">
      <c r="A1415" t="str">
        <f t="shared" si="68"/>
        <v>Florida Población  de 0 a 14 años</v>
      </c>
      <c r="B1415" t="s">
        <v>728</v>
      </c>
      <c r="C1415" t="s">
        <v>913</v>
      </c>
      <c r="D1415" t="s">
        <v>52</v>
      </c>
      <c r="E1415" s="2" t="s">
        <v>915</v>
      </c>
      <c r="F1415">
        <f t="shared" si="66"/>
        <v>6</v>
      </c>
      <c r="G1415" s="2">
        <f t="shared" si="67"/>
        <v>1778</v>
      </c>
    </row>
    <row r="1416" spans="1:7" x14ac:dyDescent="0.25">
      <c r="A1416" t="str">
        <f t="shared" si="68"/>
        <v>Florida Población  de 15 a 64 años</v>
      </c>
      <c r="B1416" t="s">
        <v>728</v>
      </c>
      <c r="C1416" t="s">
        <v>913</v>
      </c>
      <c r="D1416" t="s">
        <v>50</v>
      </c>
      <c r="E1416" s="2" t="s">
        <v>914</v>
      </c>
      <c r="F1416">
        <f t="shared" si="66"/>
        <v>6</v>
      </c>
      <c r="G1416" s="2">
        <f t="shared" si="67"/>
        <v>7592</v>
      </c>
    </row>
    <row r="1417" spans="1:7" x14ac:dyDescent="0.25">
      <c r="A1417" t="str">
        <f t="shared" si="68"/>
        <v>Florida Población de 65 años o mas</v>
      </c>
      <c r="B1417" t="s">
        <v>728</v>
      </c>
      <c r="C1417" t="s">
        <v>913</v>
      </c>
      <c r="D1417" t="s">
        <v>46</v>
      </c>
      <c r="E1417" s="2" t="s">
        <v>912</v>
      </c>
      <c r="F1417">
        <f t="shared" si="66"/>
        <v>6</v>
      </c>
      <c r="G1417" s="2">
        <f t="shared" si="67"/>
        <v>2503</v>
      </c>
    </row>
    <row r="1418" spans="1:7" x14ac:dyDescent="0.25">
      <c r="A1418" t="str">
        <f t="shared" si="68"/>
        <v>San Pedro De La Paz Hombre</v>
      </c>
      <c r="B1418" t="s">
        <v>728</v>
      </c>
      <c r="C1418" t="s">
        <v>906</v>
      </c>
      <c r="D1418" t="s">
        <v>58</v>
      </c>
      <c r="E1418" s="2" t="s">
        <v>911</v>
      </c>
      <c r="F1418">
        <f t="shared" si="66"/>
        <v>7</v>
      </c>
      <c r="G1418" s="2">
        <f t="shared" si="67"/>
        <v>74145</v>
      </c>
    </row>
    <row r="1419" spans="1:7" x14ac:dyDescent="0.25">
      <c r="A1419" t="str">
        <f t="shared" si="68"/>
        <v>San Pedro De La Paz Mujer</v>
      </c>
      <c r="B1419" t="s">
        <v>728</v>
      </c>
      <c r="C1419" t="s">
        <v>906</v>
      </c>
      <c r="D1419" t="s">
        <v>56</v>
      </c>
      <c r="E1419" s="2" t="s">
        <v>910</v>
      </c>
      <c r="F1419">
        <f t="shared" si="66"/>
        <v>7</v>
      </c>
      <c r="G1419" s="2">
        <f t="shared" si="67"/>
        <v>79371</v>
      </c>
    </row>
    <row r="1420" spans="1:7" x14ac:dyDescent="0.25">
      <c r="A1420" t="str">
        <f t="shared" si="68"/>
        <v>San Pedro De La Paz Población total</v>
      </c>
      <c r="B1420" t="s">
        <v>728</v>
      </c>
      <c r="C1420" t="s">
        <v>906</v>
      </c>
      <c r="D1420" t="s">
        <v>54</v>
      </c>
      <c r="E1420" s="2" t="s">
        <v>909</v>
      </c>
      <c r="F1420">
        <f t="shared" si="66"/>
        <v>8</v>
      </c>
      <c r="G1420" s="2">
        <f t="shared" si="67"/>
        <v>153516</v>
      </c>
    </row>
    <row r="1421" spans="1:7" x14ac:dyDescent="0.25">
      <c r="A1421" t="str">
        <f t="shared" si="68"/>
        <v>San Pedro De La Paz Población  de 0 a 14 años</v>
      </c>
      <c r="B1421" t="s">
        <v>728</v>
      </c>
      <c r="C1421" t="s">
        <v>906</v>
      </c>
      <c r="D1421" t="s">
        <v>52</v>
      </c>
      <c r="E1421" s="2" t="s">
        <v>908</v>
      </c>
      <c r="F1421">
        <f t="shared" si="66"/>
        <v>7</v>
      </c>
      <c r="G1421" s="2">
        <f t="shared" si="67"/>
        <v>31793</v>
      </c>
    </row>
    <row r="1422" spans="1:7" x14ac:dyDescent="0.25">
      <c r="A1422" t="str">
        <f t="shared" si="68"/>
        <v>San Pedro De La Paz Población  de 15 a 64 años</v>
      </c>
      <c r="B1422" t="s">
        <v>728</v>
      </c>
      <c r="C1422" t="s">
        <v>906</v>
      </c>
      <c r="D1422" t="s">
        <v>50</v>
      </c>
      <c r="E1422" s="2" t="s">
        <v>907</v>
      </c>
      <c r="F1422">
        <f t="shared" si="66"/>
        <v>8</v>
      </c>
      <c r="G1422" s="2">
        <f t="shared" si="67"/>
        <v>104536</v>
      </c>
    </row>
    <row r="1423" spans="1:7" x14ac:dyDescent="0.25">
      <c r="A1423" t="str">
        <f t="shared" si="68"/>
        <v>San Pedro De La Paz Población de 65 años o mas</v>
      </c>
      <c r="B1423" t="s">
        <v>728</v>
      </c>
      <c r="C1423" t="s">
        <v>906</v>
      </c>
      <c r="D1423" t="s">
        <v>46</v>
      </c>
      <c r="E1423" s="2" t="s">
        <v>905</v>
      </c>
      <c r="F1423">
        <f t="shared" si="66"/>
        <v>7</v>
      </c>
      <c r="G1423" s="2">
        <f t="shared" si="67"/>
        <v>17187</v>
      </c>
    </row>
    <row r="1424" spans="1:7" x14ac:dyDescent="0.25">
      <c r="A1424" t="str">
        <f t="shared" si="68"/>
        <v>Chiguayante Hombre</v>
      </c>
      <c r="B1424" t="s">
        <v>728</v>
      </c>
      <c r="C1424" t="s">
        <v>899</v>
      </c>
      <c r="D1424" t="s">
        <v>58</v>
      </c>
      <c r="E1424" s="2" t="s">
        <v>904</v>
      </c>
      <c r="F1424">
        <f t="shared" si="66"/>
        <v>7</v>
      </c>
      <c r="G1424" s="2">
        <f t="shared" si="67"/>
        <v>44398</v>
      </c>
    </row>
    <row r="1425" spans="1:7" x14ac:dyDescent="0.25">
      <c r="A1425" t="str">
        <f t="shared" si="68"/>
        <v>Chiguayante Mujer</v>
      </c>
      <c r="B1425" t="s">
        <v>728</v>
      </c>
      <c r="C1425" t="s">
        <v>899</v>
      </c>
      <c r="D1425" t="s">
        <v>56</v>
      </c>
      <c r="E1425" s="2" t="s">
        <v>903</v>
      </c>
      <c r="F1425">
        <f t="shared" si="66"/>
        <v>7</v>
      </c>
      <c r="G1425" s="2">
        <f t="shared" si="67"/>
        <v>47565</v>
      </c>
    </row>
    <row r="1426" spans="1:7" x14ac:dyDescent="0.25">
      <c r="A1426" t="str">
        <f t="shared" si="68"/>
        <v>Chiguayante Población total</v>
      </c>
      <c r="B1426" t="s">
        <v>728</v>
      </c>
      <c r="C1426" t="s">
        <v>899</v>
      </c>
      <c r="D1426" t="s">
        <v>54</v>
      </c>
      <c r="E1426" s="2" t="s">
        <v>902</v>
      </c>
      <c r="F1426">
        <f t="shared" si="66"/>
        <v>7</v>
      </c>
      <c r="G1426" s="2">
        <f t="shared" si="67"/>
        <v>91963</v>
      </c>
    </row>
    <row r="1427" spans="1:7" x14ac:dyDescent="0.25">
      <c r="A1427" t="str">
        <f t="shared" si="68"/>
        <v>Chiguayante Población  de 0 a 14 años</v>
      </c>
      <c r="B1427" t="s">
        <v>728</v>
      </c>
      <c r="C1427" t="s">
        <v>899</v>
      </c>
      <c r="D1427" t="s">
        <v>52</v>
      </c>
      <c r="E1427" s="2" t="s">
        <v>901</v>
      </c>
      <c r="F1427">
        <f t="shared" si="66"/>
        <v>7</v>
      </c>
      <c r="G1427" s="2">
        <f t="shared" si="67"/>
        <v>16059</v>
      </c>
    </row>
    <row r="1428" spans="1:7" x14ac:dyDescent="0.25">
      <c r="A1428" t="str">
        <f t="shared" si="68"/>
        <v>Chiguayante Población  de 15 a 64 años</v>
      </c>
      <c r="B1428" t="s">
        <v>728</v>
      </c>
      <c r="C1428" t="s">
        <v>899</v>
      </c>
      <c r="D1428" t="s">
        <v>50</v>
      </c>
      <c r="E1428" s="2" t="s">
        <v>900</v>
      </c>
      <c r="F1428">
        <f t="shared" si="66"/>
        <v>7</v>
      </c>
      <c r="G1428" s="2">
        <f t="shared" si="67"/>
        <v>62690</v>
      </c>
    </row>
    <row r="1429" spans="1:7" x14ac:dyDescent="0.25">
      <c r="A1429" t="str">
        <f t="shared" si="68"/>
        <v>Chiguayante Población de 65 años o mas</v>
      </c>
      <c r="B1429" t="s">
        <v>728</v>
      </c>
      <c r="C1429" t="s">
        <v>899</v>
      </c>
      <c r="D1429" t="s">
        <v>46</v>
      </c>
      <c r="E1429" s="2" t="s">
        <v>898</v>
      </c>
      <c r="F1429">
        <f t="shared" si="66"/>
        <v>7</v>
      </c>
      <c r="G1429" s="2">
        <f t="shared" si="67"/>
        <v>13214</v>
      </c>
    </row>
    <row r="1430" spans="1:7" x14ac:dyDescent="0.25">
      <c r="A1430" t="str">
        <f t="shared" si="68"/>
        <v>Hualqui Hombre</v>
      </c>
      <c r="B1430" t="s">
        <v>728</v>
      </c>
      <c r="C1430" t="s">
        <v>892</v>
      </c>
      <c r="D1430" t="s">
        <v>58</v>
      </c>
      <c r="E1430" s="2" t="s">
        <v>897</v>
      </c>
      <c r="F1430">
        <f t="shared" si="66"/>
        <v>7</v>
      </c>
      <c r="G1430" s="2">
        <f t="shared" si="67"/>
        <v>12927</v>
      </c>
    </row>
    <row r="1431" spans="1:7" x14ac:dyDescent="0.25">
      <c r="A1431" t="str">
        <f t="shared" si="68"/>
        <v>Hualqui Mujer</v>
      </c>
      <c r="B1431" t="s">
        <v>728</v>
      </c>
      <c r="C1431" t="s">
        <v>892</v>
      </c>
      <c r="D1431" t="s">
        <v>56</v>
      </c>
      <c r="E1431" s="2" t="s">
        <v>896</v>
      </c>
      <c r="F1431">
        <f t="shared" si="66"/>
        <v>7</v>
      </c>
      <c r="G1431" s="2">
        <f t="shared" si="67"/>
        <v>13819</v>
      </c>
    </row>
    <row r="1432" spans="1:7" x14ac:dyDescent="0.25">
      <c r="A1432" t="str">
        <f t="shared" si="68"/>
        <v>Hualqui Población total</v>
      </c>
      <c r="B1432" t="s">
        <v>728</v>
      </c>
      <c r="C1432" t="s">
        <v>892</v>
      </c>
      <c r="D1432" t="s">
        <v>54</v>
      </c>
      <c r="E1432" s="2" t="s">
        <v>895</v>
      </c>
      <c r="F1432">
        <f t="shared" si="66"/>
        <v>7</v>
      </c>
      <c r="G1432" s="2">
        <f t="shared" si="67"/>
        <v>26746</v>
      </c>
    </row>
    <row r="1433" spans="1:7" x14ac:dyDescent="0.25">
      <c r="A1433" t="str">
        <f t="shared" si="68"/>
        <v>Hualqui Población  de 0 a 14 años</v>
      </c>
      <c r="B1433" t="s">
        <v>728</v>
      </c>
      <c r="C1433" t="s">
        <v>892</v>
      </c>
      <c r="D1433" t="s">
        <v>52</v>
      </c>
      <c r="E1433" s="2" t="s">
        <v>894</v>
      </c>
      <c r="F1433">
        <f t="shared" si="66"/>
        <v>6</v>
      </c>
      <c r="G1433" s="2">
        <f t="shared" si="67"/>
        <v>5151</v>
      </c>
    </row>
    <row r="1434" spans="1:7" x14ac:dyDescent="0.25">
      <c r="A1434" t="str">
        <f t="shared" si="68"/>
        <v>Hualqui Población  de 15 a 64 años</v>
      </c>
      <c r="B1434" t="s">
        <v>728</v>
      </c>
      <c r="C1434" t="s">
        <v>892</v>
      </c>
      <c r="D1434" t="s">
        <v>50</v>
      </c>
      <c r="E1434" s="2" t="s">
        <v>893</v>
      </c>
      <c r="F1434">
        <f t="shared" si="66"/>
        <v>7</v>
      </c>
      <c r="G1434" s="2">
        <f t="shared" si="67"/>
        <v>17791</v>
      </c>
    </row>
    <row r="1435" spans="1:7" x14ac:dyDescent="0.25">
      <c r="A1435" t="str">
        <f t="shared" si="68"/>
        <v>Hualqui Población de 65 años o mas</v>
      </c>
      <c r="B1435" t="s">
        <v>728</v>
      </c>
      <c r="C1435" t="s">
        <v>892</v>
      </c>
      <c r="D1435" t="s">
        <v>46</v>
      </c>
      <c r="E1435" s="2" t="s">
        <v>891</v>
      </c>
      <c r="F1435">
        <f t="shared" si="66"/>
        <v>6</v>
      </c>
      <c r="G1435" s="2">
        <f t="shared" si="67"/>
        <v>3804</v>
      </c>
    </row>
    <row r="1436" spans="1:7" x14ac:dyDescent="0.25">
      <c r="A1436" t="str">
        <f t="shared" si="68"/>
        <v>Coronel Hombre</v>
      </c>
      <c r="B1436" t="s">
        <v>728</v>
      </c>
      <c r="C1436" t="s">
        <v>885</v>
      </c>
      <c r="D1436" t="s">
        <v>58</v>
      </c>
      <c r="E1436" s="2" t="s">
        <v>890</v>
      </c>
      <c r="F1436">
        <f t="shared" si="66"/>
        <v>7</v>
      </c>
      <c r="G1436" s="2">
        <f t="shared" si="67"/>
        <v>62496</v>
      </c>
    </row>
    <row r="1437" spans="1:7" x14ac:dyDescent="0.25">
      <c r="A1437" t="str">
        <f t="shared" si="68"/>
        <v>Coronel Mujer</v>
      </c>
      <c r="B1437" t="s">
        <v>728</v>
      </c>
      <c r="C1437" t="s">
        <v>885</v>
      </c>
      <c r="D1437" t="s">
        <v>56</v>
      </c>
      <c r="E1437" s="2" t="s">
        <v>889</v>
      </c>
      <c r="F1437">
        <f t="shared" si="66"/>
        <v>7</v>
      </c>
      <c r="G1437" s="2">
        <f t="shared" si="67"/>
        <v>66445</v>
      </c>
    </row>
    <row r="1438" spans="1:7" x14ac:dyDescent="0.25">
      <c r="A1438" t="str">
        <f t="shared" si="68"/>
        <v>Coronel Población total</v>
      </c>
      <c r="B1438" t="s">
        <v>728</v>
      </c>
      <c r="C1438" t="s">
        <v>885</v>
      </c>
      <c r="D1438" t="s">
        <v>54</v>
      </c>
      <c r="E1438" s="2" t="s">
        <v>888</v>
      </c>
      <c r="F1438">
        <f t="shared" si="66"/>
        <v>8</v>
      </c>
      <c r="G1438" s="2">
        <f t="shared" si="67"/>
        <v>128941</v>
      </c>
    </row>
    <row r="1439" spans="1:7" x14ac:dyDescent="0.25">
      <c r="A1439" t="str">
        <f t="shared" si="68"/>
        <v>Coronel Población  de 0 a 14 años</v>
      </c>
      <c r="B1439" t="s">
        <v>728</v>
      </c>
      <c r="C1439" t="s">
        <v>885</v>
      </c>
      <c r="D1439" t="s">
        <v>52</v>
      </c>
      <c r="E1439" s="2" t="s">
        <v>887</v>
      </c>
      <c r="F1439">
        <f t="shared" si="66"/>
        <v>7</v>
      </c>
      <c r="G1439" s="2">
        <f t="shared" si="67"/>
        <v>25815</v>
      </c>
    </row>
    <row r="1440" spans="1:7" x14ac:dyDescent="0.25">
      <c r="A1440" t="str">
        <f t="shared" si="68"/>
        <v>Coronel Población  de 15 a 64 años</v>
      </c>
      <c r="B1440" t="s">
        <v>728</v>
      </c>
      <c r="C1440" t="s">
        <v>885</v>
      </c>
      <c r="D1440" t="s">
        <v>50</v>
      </c>
      <c r="E1440" s="2" t="s">
        <v>886</v>
      </c>
      <c r="F1440">
        <f t="shared" si="66"/>
        <v>7</v>
      </c>
      <c r="G1440" s="2">
        <f t="shared" si="67"/>
        <v>86933</v>
      </c>
    </row>
    <row r="1441" spans="1:7" x14ac:dyDescent="0.25">
      <c r="A1441" t="str">
        <f t="shared" si="68"/>
        <v>Coronel Población de 65 años o mas</v>
      </c>
      <c r="B1441" t="s">
        <v>728</v>
      </c>
      <c r="C1441" t="s">
        <v>885</v>
      </c>
      <c r="D1441" t="s">
        <v>46</v>
      </c>
      <c r="E1441" s="2" t="s">
        <v>884</v>
      </c>
      <c r="F1441">
        <f t="shared" si="66"/>
        <v>7</v>
      </c>
      <c r="G1441" s="2">
        <f t="shared" si="67"/>
        <v>16193</v>
      </c>
    </row>
    <row r="1442" spans="1:7" x14ac:dyDescent="0.25">
      <c r="A1442" t="str">
        <f t="shared" si="68"/>
        <v>Cabrero Hombre</v>
      </c>
      <c r="B1442" t="s">
        <v>728</v>
      </c>
      <c r="C1442" t="s">
        <v>878</v>
      </c>
      <c r="D1442" t="s">
        <v>58</v>
      </c>
      <c r="E1442" s="2" t="s">
        <v>883</v>
      </c>
      <c r="F1442">
        <f t="shared" si="66"/>
        <v>7</v>
      </c>
      <c r="G1442" s="2">
        <f t="shared" si="67"/>
        <v>15211</v>
      </c>
    </row>
    <row r="1443" spans="1:7" x14ac:dyDescent="0.25">
      <c r="A1443" t="str">
        <f t="shared" si="68"/>
        <v>Cabrero Mujer</v>
      </c>
      <c r="B1443" t="s">
        <v>728</v>
      </c>
      <c r="C1443" t="s">
        <v>878</v>
      </c>
      <c r="D1443" t="s">
        <v>56</v>
      </c>
      <c r="E1443" s="2" t="s">
        <v>882</v>
      </c>
      <c r="F1443">
        <f t="shared" si="66"/>
        <v>7</v>
      </c>
      <c r="G1443" s="2">
        <f t="shared" si="67"/>
        <v>15891</v>
      </c>
    </row>
    <row r="1444" spans="1:7" x14ac:dyDescent="0.25">
      <c r="A1444" t="str">
        <f t="shared" si="68"/>
        <v>Cabrero Población total</v>
      </c>
      <c r="B1444" t="s">
        <v>728</v>
      </c>
      <c r="C1444" t="s">
        <v>878</v>
      </c>
      <c r="D1444" t="s">
        <v>54</v>
      </c>
      <c r="E1444" s="2" t="s">
        <v>881</v>
      </c>
      <c r="F1444">
        <f t="shared" si="66"/>
        <v>7</v>
      </c>
      <c r="G1444" s="2">
        <f t="shared" si="67"/>
        <v>31102</v>
      </c>
    </row>
    <row r="1445" spans="1:7" x14ac:dyDescent="0.25">
      <c r="A1445" t="str">
        <f t="shared" si="68"/>
        <v>Cabrero Población  de 0 a 14 años</v>
      </c>
      <c r="B1445" t="s">
        <v>728</v>
      </c>
      <c r="C1445" t="s">
        <v>878</v>
      </c>
      <c r="D1445" t="s">
        <v>52</v>
      </c>
      <c r="E1445" s="2" t="s">
        <v>880</v>
      </c>
      <c r="F1445">
        <f t="shared" si="66"/>
        <v>6</v>
      </c>
      <c r="G1445" s="2">
        <f t="shared" si="67"/>
        <v>5668</v>
      </c>
    </row>
    <row r="1446" spans="1:7" x14ac:dyDescent="0.25">
      <c r="A1446" t="str">
        <f t="shared" si="68"/>
        <v>Cabrero Población  de 15 a 64 años</v>
      </c>
      <c r="B1446" t="s">
        <v>728</v>
      </c>
      <c r="C1446" t="s">
        <v>878</v>
      </c>
      <c r="D1446" t="s">
        <v>50</v>
      </c>
      <c r="E1446" s="2" t="s">
        <v>879</v>
      </c>
      <c r="F1446">
        <f t="shared" si="66"/>
        <v>7</v>
      </c>
      <c r="G1446" s="2">
        <f t="shared" si="67"/>
        <v>20667</v>
      </c>
    </row>
    <row r="1447" spans="1:7" x14ac:dyDescent="0.25">
      <c r="A1447" t="str">
        <f t="shared" si="68"/>
        <v>Cabrero Población de 65 años o mas</v>
      </c>
      <c r="B1447" t="s">
        <v>728</v>
      </c>
      <c r="C1447" t="s">
        <v>878</v>
      </c>
      <c r="D1447" t="s">
        <v>46</v>
      </c>
      <c r="E1447" s="2" t="s">
        <v>877</v>
      </c>
      <c r="F1447">
        <f t="shared" si="66"/>
        <v>6</v>
      </c>
      <c r="G1447" s="2">
        <f t="shared" si="67"/>
        <v>4767</v>
      </c>
    </row>
    <row r="1448" spans="1:7" x14ac:dyDescent="0.25">
      <c r="A1448" t="str">
        <f t="shared" si="68"/>
        <v>Lota Hombre</v>
      </c>
      <c r="B1448" t="s">
        <v>728</v>
      </c>
      <c r="C1448" t="s">
        <v>871</v>
      </c>
      <c r="D1448" t="s">
        <v>58</v>
      </c>
      <c r="E1448" s="2" t="s">
        <v>876</v>
      </c>
      <c r="F1448">
        <f t="shared" si="66"/>
        <v>7</v>
      </c>
      <c r="G1448" s="2">
        <f t="shared" si="67"/>
        <v>22150</v>
      </c>
    </row>
    <row r="1449" spans="1:7" x14ac:dyDescent="0.25">
      <c r="A1449" t="str">
        <f t="shared" si="68"/>
        <v>Lota Mujer</v>
      </c>
      <c r="B1449" t="s">
        <v>728</v>
      </c>
      <c r="C1449" t="s">
        <v>871</v>
      </c>
      <c r="D1449" t="s">
        <v>56</v>
      </c>
      <c r="E1449" s="2" t="s">
        <v>875</v>
      </c>
      <c r="F1449">
        <f t="shared" si="66"/>
        <v>7</v>
      </c>
      <c r="G1449" s="2">
        <f t="shared" si="67"/>
        <v>23257</v>
      </c>
    </row>
    <row r="1450" spans="1:7" x14ac:dyDescent="0.25">
      <c r="A1450" t="str">
        <f t="shared" si="68"/>
        <v>Lota Población total</v>
      </c>
      <c r="B1450" t="s">
        <v>728</v>
      </c>
      <c r="C1450" t="s">
        <v>871</v>
      </c>
      <c r="D1450" t="s">
        <v>54</v>
      </c>
      <c r="E1450" s="2" t="s">
        <v>874</v>
      </c>
      <c r="F1450">
        <f t="shared" si="66"/>
        <v>7</v>
      </c>
      <c r="G1450" s="2">
        <f t="shared" si="67"/>
        <v>45407</v>
      </c>
    </row>
    <row r="1451" spans="1:7" x14ac:dyDescent="0.25">
      <c r="A1451" t="str">
        <f t="shared" si="68"/>
        <v>Lota Población  de 0 a 14 años</v>
      </c>
      <c r="B1451" t="s">
        <v>728</v>
      </c>
      <c r="C1451" t="s">
        <v>871</v>
      </c>
      <c r="D1451" t="s">
        <v>52</v>
      </c>
      <c r="E1451" s="2" t="s">
        <v>873</v>
      </c>
      <c r="F1451">
        <f t="shared" si="66"/>
        <v>6</v>
      </c>
      <c r="G1451" s="2">
        <f t="shared" si="67"/>
        <v>8009</v>
      </c>
    </row>
    <row r="1452" spans="1:7" x14ac:dyDescent="0.25">
      <c r="A1452" t="str">
        <f t="shared" si="68"/>
        <v>Lota Población  de 15 a 64 años</v>
      </c>
      <c r="B1452" t="s">
        <v>728</v>
      </c>
      <c r="C1452" t="s">
        <v>871</v>
      </c>
      <c r="D1452" t="s">
        <v>50</v>
      </c>
      <c r="E1452" s="2" t="s">
        <v>872</v>
      </c>
      <c r="F1452">
        <f t="shared" si="66"/>
        <v>7</v>
      </c>
      <c r="G1452" s="2">
        <f t="shared" si="67"/>
        <v>30083</v>
      </c>
    </row>
    <row r="1453" spans="1:7" x14ac:dyDescent="0.25">
      <c r="A1453" t="str">
        <f t="shared" si="68"/>
        <v>Lota Población de 65 años o mas</v>
      </c>
      <c r="B1453" t="s">
        <v>728</v>
      </c>
      <c r="C1453" t="s">
        <v>871</v>
      </c>
      <c r="D1453" t="s">
        <v>46</v>
      </c>
      <c r="E1453" s="2" t="s">
        <v>870</v>
      </c>
      <c r="F1453">
        <f t="shared" si="66"/>
        <v>6</v>
      </c>
      <c r="G1453" s="2">
        <f t="shared" si="67"/>
        <v>7315</v>
      </c>
    </row>
    <row r="1454" spans="1:7" x14ac:dyDescent="0.25">
      <c r="A1454" t="str">
        <f t="shared" si="68"/>
        <v>Yumbel Hombre</v>
      </c>
      <c r="B1454" t="s">
        <v>728</v>
      </c>
      <c r="C1454" t="s">
        <v>864</v>
      </c>
      <c r="D1454" t="s">
        <v>58</v>
      </c>
      <c r="E1454" s="2" t="s">
        <v>869</v>
      </c>
      <c r="F1454">
        <f t="shared" si="66"/>
        <v>7</v>
      </c>
      <c r="G1454" s="2">
        <f t="shared" si="67"/>
        <v>10868</v>
      </c>
    </row>
    <row r="1455" spans="1:7" x14ac:dyDescent="0.25">
      <c r="A1455" t="str">
        <f t="shared" si="68"/>
        <v>Yumbel Mujer</v>
      </c>
      <c r="B1455" t="s">
        <v>728</v>
      </c>
      <c r="C1455" t="s">
        <v>864</v>
      </c>
      <c r="D1455" t="s">
        <v>56</v>
      </c>
      <c r="E1455" s="2" t="s">
        <v>868</v>
      </c>
      <c r="F1455">
        <f t="shared" si="66"/>
        <v>7</v>
      </c>
      <c r="G1455" s="2">
        <f t="shared" si="67"/>
        <v>11342</v>
      </c>
    </row>
    <row r="1456" spans="1:7" x14ac:dyDescent="0.25">
      <c r="A1456" t="str">
        <f t="shared" si="68"/>
        <v>Yumbel Población total</v>
      </c>
      <c r="B1456" t="s">
        <v>728</v>
      </c>
      <c r="C1456" t="s">
        <v>864</v>
      </c>
      <c r="D1456" t="s">
        <v>54</v>
      </c>
      <c r="E1456" s="2" t="s">
        <v>867</v>
      </c>
      <c r="F1456">
        <f t="shared" si="66"/>
        <v>7</v>
      </c>
      <c r="G1456" s="2">
        <f t="shared" si="67"/>
        <v>22210</v>
      </c>
    </row>
    <row r="1457" spans="1:7" x14ac:dyDescent="0.25">
      <c r="A1457" t="str">
        <f t="shared" si="68"/>
        <v>Yumbel Población  de 0 a 14 años</v>
      </c>
      <c r="B1457" t="s">
        <v>728</v>
      </c>
      <c r="C1457" t="s">
        <v>864</v>
      </c>
      <c r="D1457" t="s">
        <v>52</v>
      </c>
      <c r="E1457" s="2" t="s">
        <v>866</v>
      </c>
      <c r="F1457">
        <f t="shared" si="66"/>
        <v>6</v>
      </c>
      <c r="G1457" s="2">
        <f t="shared" si="67"/>
        <v>3522</v>
      </c>
    </row>
    <row r="1458" spans="1:7" x14ac:dyDescent="0.25">
      <c r="A1458" t="str">
        <f t="shared" si="68"/>
        <v>Yumbel Población  de 15 a 64 años</v>
      </c>
      <c r="B1458" t="s">
        <v>728</v>
      </c>
      <c r="C1458" t="s">
        <v>864</v>
      </c>
      <c r="D1458" t="s">
        <v>50</v>
      </c>
      <c r="E1458" s="2" t="s">
        <v>865</v>
      </c>
      <c r="F1458">
        <f t="shared" si="66"/>
        <v>7</v>
      </c>
      <c r="G1458" s="2">
        <f t="shared" si="67"/>
        <v>14037</v>
      </c>
    </row>
    <row r="1459" spans="1:7" x14ac:dyDescent="0.25">
      <c r="A1459" t="str">
        <f t="shared" si="68"/>
        <v>Yumbel Población de 65 años o mas</v>
      </c>
      <c r="B1459" t="s">
        <v>728</v>
      </c>
      <c r="C1459" t="s">
        <v>864</v>
      </c>
      <c r="D1459" t="s">
        <v>46</v>
      </c>
      <c r="E1459" s="2" t="s">
        <v>863</v>
      </c>
      <c r="F1459">
        <f t="shared" si="66"/>
        <v>6</v>
      </c>
      <c r="G1459" s="2">
        <f t="shared" si="67"/>
        <v>4651</v>
      </c>
    </row>
    <row r="1460" spans="1:7" x14ac:dyDescent="0.25">
      <c r="A1460" t="str">
        <f t="shared" si="68"/>
        <v>Santa Juana Hombre</v>
      </c>
      <c r="B1460" t="s">
        <v>728</v>
      </c>
      <c r="C1460" t="s">
        <v>858</v>
      </c>
      <c r="D1460" t="s">
        <v>58</v>
      </c>
      <c r="E1460" s="2" t="s">
        <v>862</v>
      </c>
      <c r="F1460">
        <f t="shared" si="66"/>
        <v>6</v>
      </c>
      <c r="G1460" s="2">
        <f t="shared" si="67"/>
        <v>7296</v>
      </c>
    </row>
    <row r="1461" spans="1:7" x14ac:dyDescent="0.25">
      <c r="A1461" t="str">
        <f t="shared" si="68"/>
        <v>Santa Juana Mujer</v>
      </c>
      <c r="B1461" t="s">
        <v>728</v>
      </c>
      <c r="C1461" t="s">
        <v>858</v>
      </c>
      <c r="D1461" t="s">
        <v>56</v>
      </c>
      <c r="E1461" s="2" t="s">
        <v>690</v>
      </c>
      <c r="F1461">
        <f t="shared" si="66"/>
        <v>6</v>
      </c>
      <c r="G1461" s="2">
        <f t="shared" si="67"/>
        <v>7594</v>
      </c>
    </row>
    <row r="1462" spans="1:7" x14ac:dyDescent="0.25">
      <c r="A1462" t="str">
        <f t="shared" si="68"/>
        <v>Santa Juana Población total</v>
      </c>
      <c r="B1462" t="s">
        <v>728</v>
      </c>
      <c r="C1462" t="s">
        <v>858</v>
      </c>
      <c r="D1462" t="s">
        <v>54</v>
      </c>
      <c r="E1462" s="2" t="s">
        <v>861</v>
      </c>
      <c r="F1462">
        <f t="shared" si="66"/>
        <v>7</v>
      </c>
      <c r="G1462" s="2">
        <f t="shared" si="67"/>
        <v>14890</v>
      </c>
    </row>
    <row r="1463" spans="1:7" x14ac:dyDescent="0.25">
      <c r="A1463" t="str">
        <f t="shared" si="68"/>
        <v>Santa Juana Población  de 0 a 14 años</v>
      </c>
      <c r="B1463" t="s">
        <v>728</v>
      </c>
      <c r="C1463" t="s">
        <v>858</v>
      </c>
      <c r="D1463" t="s">
        <v>52</v>
      </c>
      <c r="E1463" s="2" t="s">
        <v>860</v>
      </c>
      <c r="F1463">
        <f t="shared" si="66"/>
        <v>6</v>
      </c>
      <c r="G1463" s="2">
        <f t="shared" si="67"/>
        <v>2663</v>
      </c>
    </row>
    <row r="1464" spans="1:7" x14ac:dyDescent="0.25">
      <c r="A1464" t="str">
        <f t="shared" si="68"/>
        <v>Santa Juana Población  de 15 a 64 años</v>
      </c>
      <c r="B1464" t="s">
        <v>728</v>
      </c>
      <c r="C1464" t="s">
        <v>858</v>
      </c>
      <c r="D1464" t="s">
        <v>50</v>
      </c>
      <c r="E1464" s="2" t="s">
        <v>859</v>
      </c>
      <c r="F1464">
        <f t="shared" si="66"/>
        <v>6</v>
      </c>
      <c r="G1464" s="2">
        <f t="shared" si="67"/>
        <v>9490</v>
      </c>
    </row>
    <row r="1465" spans="1:7" x14ac:dyDescent="0.25">
      <c r="A1465" t="str">
        <f t="shared" si="68"/>
        <v>Santa Juana Población de 65 años o mas</v>
      </c>
      <c r="B1465" t="s">
        <v>728</v>
      </c>
      <c r="C1465" t="s">
        <v>858</v>
      </c>
      <c r="D1465" t="s">
        <v>46</v>
      </c>
      <c r="E1465" s="2" t="s">
        <v>857</v>
      </c>
      <c r="F1465">
        <f t="shared" si="66"/>
        <v>6</v>
      </c>
      <c r="G1465" s="2">
        <f t="shared" si="67"/>
        <v>2737</v>
      </c>
    </row>
    <row r="1466" spans="1:7" x14ac:dyDescent="0.25">
      <c r="A1466" t="str">
        <f t="shared" si="68"/>
        <v>Arauco Hombre</v>
      </c>
      <c r="B1466" t="s">
        <v>728</v>
      </c>
      <c r="C1466" t="s">
        <v>851</v>
      </c>
      <c r="D1466" t="s">
        <v>58</v>
      </c>
      <c r="E1466" s="2" t="s">
        <v>856</v>
      </c>
      <c r="F1466">
        <f t="shared" si="66"/>
        <v>7</v>
      </c>
      <c r="G1466" s="2">
        <f t="shared" si="67"/>
        <v>19086</v>
      </c>
    </row>
    <row r="1467" spans="1:7" x14ac:dyDescent="0.25">
      <c r="A1467" t="str">
        <f t="shared" si="68"/>
        <v>Arauco Mujer</v>
      </c>
      <c r="B1467" t="s">
        <v>728</v>
      </c>
      <c r="C1467" t="s">
        <v>851</v>
      </c>
      <c r="D1467" t="s">
        <v>56</v>
      </c>
      <c r="E1467" s="2" t="s">
        <v>855</v>
      </c>
      <c r="F1467">
        <f t="shared" si="66"/>
        <v>7</v>
      </c>
      <c r="G1467" s="2">
        <f t="shared" si="67"/>
        <v>19855</v>
      </c>
    </row>
    <row r="1468" spans="1:7" x14ac:dyDescent="0.25">
      <c r="A1468" t="str">
        <f t="shared" si="68"/>
        <v>Arauco Población total</v>
      </c>
      <c r="B1468" t="s">
        <v>728</v>
      </c>
      <c r="C1468" t="s">
        <v>851</v>
      </c>
      <c r="D1468" t="s">
        <v>54</v>
      </c>
      <c r="E1468" s="2" t="s">
        <v>854</v>
      </c>
      <c r="F1468">
        <f t="shared" si="66"/>
        <v>7</v>
      </c>
      <c r="G1468" s="2">
        <f t="shared" si="67"/>
        <v>38941</v>
      </c>
    </row>
    <row r="1469" spans="1:7" x14ac:dyDescent="0.25">
      <c r="A1469" t="str">
        <f t="shared" si="68"/>
        <v>Arauco Población  de 0 a 14 años</v>
      </c>
      <c r="B1469" t="s">
        <v>728</v>
      </c>
      <c r="C1469" t="s">
        <v>851</v>
      </c>
      <c r="D1469" t="s">
        <v>52</v>
      </c>
      <c r="E1469" s="2" t="s">
        <v>853</v>
      </c>
      <c r="F1469">
        <f t="shared" si="66"/>
        <v>6</v>
      </c>
      <c r="G1469" s="2">
        <f t="shared" si="67"/>
        <v>7498</v>
      </c>
    </row>
    <row r="1470" spans="1:7" x14ac:dyDescent="0.25">
      <c r="A1470" t="str">
        <f t="shared" si="68"/>
        <v>Arauco Población  de 15 a 64 años</v>
      </c>
      <c r="B1470" t="s">
        <v>728</v>
      </c>
      <c r="C1470" t="s">
        <v>851</v>
      </c>
      <c r="D1470" t="s">
        <v>50</v>
      </c>
      <c r="E1470" s="2" t="s">
        <v>852</v>
      </c>
      <c r="F1470">
        <f t="shared" si="66"/>
        <v>7</v>
      </c>
      <c r="G1470" s="2">
        <f t="shared" si="67"/>
        <v>25948</v>
      </c>
    </row>
    <row r="1471" spans="1:7" x14ac:dyDescent="0.25">
      <c r="A1471" t="str">
        <f t="shared" si="68"/>
        <v>Arauco Población de 65 años o mas</v>
      </c>
      <c r="B1471" t="s">
        <v>728</v>
      </c>
      <c r="C1471" t="s">
        <v>851</v>
      </c>
      <c r="D1471" t="s">
        <v>46</v>
      </c>
      <c r="E1471" s="2" t="s">
        <v>850</v>
      </c>
      <c r="F1471">
        <f t="shared" si="66"/>
        <v>6</v>
      </c>
      <c r="G1471" s="2">
        <f t="shared" si="67"/>
        <v>5495</v>
      </c>
    </row>
    <row r="1472" spans="1:7" x14ac:dyDescent="0.25">
      <c r="A1472" t="str">
        <f t="shared" si="68"/>
        <v>San Rosendo Hombre</v>
      </c>
      <c r="B1472" t="s">
        <v>728</v>
      </c>
      <c r="C1472" t="s">
        <v>845</v>
      </c>
      <c r="D1472" t="s">
        <v>58</v>
      </c>
      <c r="E1472" s="2" t="s">
        <v>849</v>
      </c>
      <c r="F1472">
        <f t="shared" si="66"/>
        <v>6</v>
      </c>
      <c r="G1472" s="2">
        <f t="shared" si="67"/>
        <v>1744</v>
      </c>
    </row>
    <row r="1473" spans="1:7" x14ac:dyDescent="0.25">
      <c r="A1473" t="str">
        <f t="shared" si="68"/>
        <v>San Rosendo Mujer</v>
      </c>
      <c r="B1473" t="s">
        <v>728</v>
      </c>
      <c r="C1473" t="s">
        <v>845</v>
      </c>
      <c r="D1473" t="s">
        <v>56</v>
      </c>
      <c r="E1473" s="2" t="s">
        <v>848</v>
      </c>
      <c r="F1473">
        <f t="shared" si="66"/>
        <v>6</v>
      </c>
      <c r="G1473" s="2">
        <f t="shared" si="67"/>
        <v>1809</v>
      </c>
    </row>
    <row r="1474" spans="1:7" x14ac:dyDescent="0.25">
      <c r="A1474" t="str">
        <f t="shared" si="68"/>
        <v>San Rosendo Población total</v>
      </c>
      <c r="B1474" t="s">
        <v>728</v>
      </c>
      <c r="C1474" t="s">
        <v>845</v>
      </c>
      <c r="D1474" t="s">
        <v>54</v>
      </c>
      <c r="E1474" s="2" t="s">
        <v>847</v>
      </c>
      <c r="F1474">
        <f t="shared" ref="F1474:F1537" si="69">+FIND(".",E1474)</f>
        <v>6</v>
      </c>
      <c r="G1474" s="2">
        <f t="shared" ref="G1474:G1537" si="70">+LEFT(E1474,(F1474-1))*1</f>
        <v>3553</v>
      </c>
    </row>
    <row r="1475" spans="1:7" x14ac:dyDescent="0.25">
      <c r="A1475" t="str">
        <f t="shared" ref="A1475:A1538" si="71">+C1475&amp;D1475</f>
        <v>San Rosendo Población  de 0 a 14 años</v>
      </c>
      <c r="B1475" t="s">
        <v>728</v>
      </c>
      <c r="C1475" t="s">
        <v>845</v>
      </c>
      <c r="D1475" t="s">
        <v>52</v>
      </c>
      <c r="E1475" s="2" t="s">
        <v>846</v>
      </c>
      <c r="F1475">
        <f t="shared" si="69"/>
        <v>5</v>
      </c>
      <c r="G1475" s="2">
        <f t="shared" si="70"/>
        <v>595</v>
      </c>
    </row>
    <row r="1476" spans="1:7" x14ac:dyDescent="0.25">
      <c r="A1476" t="str">
        <f t="shared" si="71"/>
        <v>San Rosendo Población  de 15 a 64 años</v>
      </c>
      <c r="B1476" t="s">
        <v>728</v>
      </c>
      <c r="C1476" t="s">
        <v>845</v>
      </c>
      <c r="D1476" t="s">
        <v>50</v>
      </c>
      <c r="E1476" s="2" t="s">
        <v>620</v>
      </c>
      <c r="F1476">
        <f t="shared" si="69"/>
        <v>6</v>
      </c>
      <c r="G1476" s="2">
        <f t="shared" si="70"/>
        <v>2231</v>
      </c>
    </row>
    <row r="1477" spans="1:7" x14ac:dyDescent="0.25">
      <c r="A1477" t="str">
        <f t="shared" si="71"/>
        <v>San Rosendo Población de 65 años o mas</v>
      </c>
      <c r="B1477" t="s">
        <v>728</v>
      </c>
      <c r="C1477" t="s">
        <v>845</v>
      </c>
      <c r="D1477" t="s">
        <v>46</v>
      </c>
      <c r="E1477" s="2" t="s">
        <v>844</v>
      </c>
      <c r="F1477">
        <f t="shared" si="69"/>
        <v>5</v>
      </c>
      <c r="G1477" s="2">
        <f t="shared" si="70"/>
        <v>727</v>
      </c>
    </row>
    <row r="1478" spans="1:7" x14ac:dyDescent="0.25">
      <c r="A1478" t="str">
        <f t="shared" si="71"/>
        <v>Laja Hombre</v>
      </c>
      <c r="B1478" t="s">
        <v>728</v>
      </c>
      <c r="C1478" t="s">
        <v>838</v>
      </c>
      <c r="D1478" t="s">
        <v>58</v>
      </c>
      <c r="E1478" s="2" t="s">
        <v>843</v>
      </c>
      <c r="F1478">
        <f t="shared" si="69"/>
        <v>7</v>
      </c>
      <c r="G1478" s="2">
        <f t="shared" si="70"/>
        <v>11707</v>
      </c>
    </row>
    <row r="1479" spans="1:7" x14ac:dyDescent="0.25">
      <c r="A1479" t="str">
        <f t="shared" si="71"/>
        <v>Laja Mujer</v>
      </c>
      <c r="B1479" t="s">
        <v>728</v>
      </c>
      <c r="C1479" t="s">
        <v>838</v>
      </c>
      <c r="D1479" t="s">
        <v>56</v>
      </c>
      <c r="E1479" s="2" t="s">
        <v>842</v>
      </c>
      <c r="F1479">
        <f t="shared" si="69"/>
        <v>7</v>
      </c>
      <c r="G1479" s="2">
        <f t="shared" si="70"/>
        <v>12214</v>
      </c>
    </row>
    <row r="1480" spans="1:7" x14ac:dyDescent="0.25">
      <c r="A1480" t="str">
        <f t="shared" si="71"/>
        <v>Laja Población total</v>
      </c>
      <c r="B1480" t="s">
        <v>728</v>
      </c>
      <c r="C1480" t="s">
        <v>838</v>
      </c>
      <c r="D1480" t="s">
        <v>54</v>
      </c>
      <c r="E1480" s="2" t="s">
        <v>841</v>
      </c>
      <c r="F1480">
        <f t="shared" si="69"/>
        <v>7</v>
      </c>
      <c r="G1480" s="2">
        <f t="shared" si="70"/>
        <v>23921</v>
      </c>
    </row>
    <row r="1481" spans="1:7" x14ac:dyDescent="0.25">
      <c r="A1481" t="str">
        <f t="shared" si="71"/>
        <v>Laja Población  de 0 a 14 años</v>
      </c>
      <c r="B1481" t="s">
        <v>728</v>
      </c>
      <c r="C1481" t="s">
        <v>838</v>
      </c>
      <c r="D1481" t="s">
        <v>52</v>
      </c>
      <c r="E1481" s="2" t="s">
        <v>840</v>
      </c>
      <c r="F1481">
        <f t="shared" si="69"/>
        <v>6</v>
      </c>
      <c r="G1481" s="2">
        <f t="shared" si="70"/>
        <v>4461</v>
      </c>
    </row>
    <row r="1482" spans="1:7" x14ac:dyDescent="0.25">
      <c r="A1482" t="str">
        <f t="shared" si="71"/>
        <v>Laja Población  de 15 a 64 años</v>
      </c>
      <c r="B1482" t="s">
        <v>728</v>
      </c>
      <c r="C1482" t="s">
        <v>838</v>
      </c>
      <c r="D1482" t="s">
        <v>50</v>
      </c>
      <c r="E1482" s="2" t="s">
        <v>839</v>
      </c>
      <c r="F1482">
        <f t="shared" si="69"/>
        <v>7</v>
      </c>
      <c r="G1482" s="2">
        <f t="shared" si="70"/>
        <v>15412</v>
      </c>
    </row>
    <row r="1483" spans="1:7" x14ac:dyDescent="0.25">
      <c r="A1483" t="str">
        <f t="shared" si="71"/>
        <v>Laja Población de 65 años o mas</v>
      </c>
      <c r="B1483" t="s">
        <v>728</v>
      </c>
      <c r="C1483" t="s">
        <v>838</v>
      </c>
      <c r="D1483" t="s">
        <v>46</v>
      </c>
      <c r="E1483" s="2" t="s">
        <v>837</v>
      </c>
      <c r="F1483">
        <f t="shared" si="69"/>
        <v>6</v>
      </c>
      <c r="G1483" s="2">
        <f t="shared" si="70"/>
        <v>4048</v>
      </c>
    </row>
    <row r="1484" spans="1:7" x14ac:dyDescent="0.25">
      <c r="A1484" t="str">
        <f t="shared" si="71"/>
        <v>Tucapel Hombre</v>
      </c>
      <c r="B1484" t="s">
        <v>728</v>
      </c>
      <c r="C1484" t="s">
        <v>831</v>
      </c>
      <c r="D1484" t="s">
        <v>58</v>
      </c>
      <c r="E1484" s="2" t="s">
        <v>836</v>
      </c>
      <c r="F1484">
        <f t="shared" si="69"/>
        <v>6</v>
      </c>
      <c r="G1484" s="2">
        <f t="shared" si="70"/>
        <v>7528</v>
      </c>
    </row>
    <row r="1485" spans="1:7" x14ac:dyDescent="0.25">
      <c r="A1485" t="str">
        <f t="shared" si="71"/>
        <v>Tucapel Mujer</v>
      </c>
      <c r="B1485" t="s">
        <v>728</v>
      </c>
      <c r="C1485" t="s">
        <v>831</v>
      </c>
      <c r="D1485" t="s">
        <v>56</v>
      </c>
      <c r="E1485" s="2" t="s">
        <v>835</v>
      </c>
      <c r="F1485">
        <f t="shared" si="69"/>
        <v>6</v>
      </c>
      <c r="G1485" s="2">
        <f t="shared" si="70"/>
        <v>7900</v>
      </c>
    </row>
    <row r="1486" spans="1:7" x14ac:dyDescent="0.25">
      <c r="A1486" t="str">
        <f t="shared" si="71"/>
        <v>Tucapel Población total</v>
      </c>
      <c r="B1486" t="s">
        <v>728</v>
      </c>
      <c r="C1486" t="s">
        <v>831</v>
      </c>
      <c r="D1486" t="s">
        <v>54</v>
      </c>
      <c r="E1486" s="2" t="s">
        <v>834</v>
      </c>
      <c r="F1486">
        <f t="shared" si="69"/>
        <v>7</v>
      </c>
      <c r="G1486" s="2">
        <f t="shared" si="70"/>
        <v>15428</v>
      </c>
    </row>
    <row r="1487" spans="1:7" x14ac:dyDescent="0.25">
      <c r="A1487" t="str">
        <f t="shared" si="71"/>
        <v>Tucapel Población  de 0 a 14 años</v>
      </c>
      <c r="B1487" t="s">
        <v>728</v>
      </c>
      <c r="C1487" t="s">
        <v>831</v>
      </c>
      <c r="D1487" t="s">
        <v>52</v>
      </c>
      <c r="E1487" s="2" t="s">
        <v>833</v>
      </c>
      <c r="F1487">
        <f t="shared" si="69"/>
        <v>6</v>
      </c>
      <c r="G1487" s="2">
        <f t="shared" si="70"/>
        <v>2727</v>
      </c>
    </row>
    <row r="1488" spans="1:7" x14ac:dyDescent="0.25">
      <c r="A1488" t="str">
        <f t="shared" si="71"/>
        <v>Tucapel Población  de 15 a 64 años</v>
      </c>
      <c r="B1488" t="s">
        <v>728</v>
      </c>
      <c r="C1488" t="s">
        <v>831</v>
      </c>
      <c r="D1488" t="s">
        <v>50</v>
      </c>
      <c r="E1488" s="2" t="s">
        <v>832</v>
      </c>
      <c r="F1488">
        <f t="shared" si="69"/>
        <v>6</v>
      </c>
      <c r="G1488" s="2">
        <f t="shared" si="70"/>
        <v>9724</v>
      </c>
    </row>
    <row r="1489" spans="1:7" x14ac:dyDescent="0.25">
      <c r="A1489" t="str">
        <f t="shared" si="71"/>
        <v>Tucapel Población de 65 años o mas</v>
      </c>
      <c r="B1489" t="s">
        <v>728</v>
      </c>
      <c r="C1489" t="s">
        <v>831</v>
      </c>
      <c r="D1489" t="s">
        <v>46</v>
      </c>
      <c r="E1489" s="2" t="s">
        <v>830</v>
      </c>
      <c r="F1489">
        <f t="shared" si="69"/>
        <v>6</v>
      </c>
      <c r="G1489" s="2">
        <f t="shared" si="70"/>
        <v>2977</v>
      </c>
    </row>
    <row r="1490" spans="1:7" x14ac:dyDescent="0.25">
      <c r="A1490" t="str">
        <f t="shared" si="71"/>
        <v>Antuco Hombre</v>
      </c>
      <c r="B1490" t="s">
        <v>728</v>
      </c>
      <c r="C1490" t="s">
        <v>824</v>
      </c>
      <c r="D1490" t="s">
        <v>58</v>
      </c>
      <c r="E1490" s="2" t="s">
        <v>829</v>
      </c>
      <c r="F1490">
        <f t="shared" si="69"/>
        <v>6</v>
      </c>
      <c r="G1490" s="2">
        <f t="shared" si="70"/>
        <v>2116</v>
      </c>
    </row>
    <row r="1491" spans="1:7" x14ac:dyDescent="0.25">
      <c r="A1491" t="str">
        <f t="shared" si="71"/>
        <v>Antuco Mujer</v>
      </c>
      <c r="B1491" t="s">
        <v>728</v>
      </c>
      <c r="C1491" t="s">
        <v>824</v>
      </c>
      <c r="D1491" t="s">
        <v>56</v>
      </c>
      <c r="E1491" s="2" t="s">
        <v>828</v>
      </c>
      <c r="F1491">
        <f t="shared" si="69"/>
        <v>6</v>
      </c>
      <c r="G1491" s="2">
        <f t="shared" si="70"/>
        <v>2209</v>
      </c>
    </row>
    <row r="1492" spans="1:7" x14ac:dyDescent="0.25">
      <c r="A1492" t="str">
        <f t="shared" si="71"/>
        <v>Antuco Población total</v>
      </c>
      <c r="B1492" t="s">
        <v>728</v>
      </c>
      <c r="C1492" t="s">
        <v>824</v>
      </c>
      <c r="D1492" t="s">
        <v>54</v>
      </c>
      <c r="E1492" s="2" t="s">
        <v>827</v>
      </c>
      <c r="F1492">
        <f t="shared" si="69"/>
        <v>6</v>
      </c>
      <c r="G1492" s="2">
        <f t="shared" si="70"/>
        <v>4325</v>
      </c>
    </row>
    <row r="1493" spans="1:7" x14ac:dyDescent="0.25">
      <c r="A1493" t="str">
        <f t="shared" si="71"/>
        <v>Antuco Población  de 0 a 14 años</v>
      </c>
      <c r="B1493" t="s">
        <v>728</v>
      </c>
      <c r="C1493" t="s">
        <v>824</v>
      </c>
      <c r="D1493" t="s">
        <v>52</v>
      </c>
      <c r="E1493" s="2" t="s">
        <v>826</v>
      </c>
      <c r="F1493">
        <f t="shared" si="69"/>
        <v>5</v>
      </c>
      <c r="G1493" s="2">
        <f t="shared" si="70"/>
        <v>724</v>
      </c>
    </row>
    <row r="1494" spans="1:7" x14ac:dyDescent="0.25">
      <c r="A1494" t="str">
        <f t="shared" si="71"/>
        <v>Antuco Población  de 15 a 64 años</v>
      </c>
      <c r="B1494" t="s">
        <v>728</v>
      </c>
      <c r="C1494" t="s">
        <v>824</v>
      </c>
      <c r="D1494" t="s">
        <v>50</v>
      </c>
      <c r="E1494" s="2" t="s">
        <v>825</v>
      </c>
      <c r="F1494">
        <f t="shared" si="69"/>
        <v>6</v>
      </c>
      <c r="G1494" s="2">
        <f t="shared" si="70"/>
        <v>2723</v>
      </c>
    </row>
    <row r="1495" spans="1:7" x14ac:dyDescent="0.25">
      <c r="A1495" t="str">
        <f t="shared" si="71"/>
        <v>Antuco Población de 65 años o mas</v>
      </c>
      <c r="B1495" t="s">
        <v>728</v>
      </c>
      <c r="C1495" t="s">
        <v>824</v>
      </c>
      <c r="D1495" t="s">
        <v>46</v>
      </c>
      <c r="E1495" s="2" t="s">
        <v>823</v>
      </c>
      <c r="F1495">
        <f t="shared" si="69"/>
        <v>5</v>
      </c>
      <c r="G1495" s="2">
        <f t="shared" si="70"/>
        <v>878</v>
      </c>
    </row>
    <row r="1496" spans="1:7" x14ac:dyDescent="0.25">
      <c r="A1496" t="str">
        <f t="shared" si="71"/>
        <v>Los Ángeles Hombre</v>
      </c>
      <c r="B1496" t="s">
        <v>728</v>
      </c>
      <c r="C1496" t="s">
        <v>817</v>
      </c>
      <c r="D1496" t="s">
        <v>58</v>
      </c>
      <c r="E1496" s="2" t="s">
        <v>822</v>
      </c>
      <c r="F1496">
        <f t="shared" si="69"/>
        <v>8</v>
      </c>
      <c r="G1496" s="2">
        <f t="shared" si="70"/>
        <v>108701</v>
      </c>
    </row>
    <row r="1497" spans="1:7" x14ac:dyDescent="0.25">
      <c r="A1497" t="str">
        <f t="shared" si="71"/>
        <v>Los Ángeles Mujer</v>
      </c>
      <c r="B1497" t="s">
        <v>728</v>
      </c>
      <c r="C1497" t="s">
        <v>817</v>
      </c>
      <c r="D1497" t="s">
        <v>56</v>
      </c>
      <c r="E1497" s="2" t="s">
        <v>821</v>
      </c>
      <c r="F1497">
        <f t="shared" si="69"/>
        <v>8</v>
      </c>
      <c r="G1497" s="2">
        <f t="shared" si="70"/>
        <v>115050</v>
      </c>
    </row>
    <row r="1498" spans="1:7" x14ac:dyDescent="0.25">
      <c r="A1498" t="str">
        <f t="shared" si="71"/>
        <v>Los Ángeles Población total</v>
      </c>
      <c r="B1498" t="s">
        <v>728</v>
      </c>
      <c r="C1498" t="s">
        <v>817</v>
      </c>
      <c r="D1498" t="s">
        <v>54</v>
      </c>
      <c r="E1498" s="2" t="s">
        <v>820</v>
      </c>
      <c r="F1498">
        <f t="shared" si="69"/>
        <v>8</v>
      </c>
      <c r="G1498" s="2">
        <f t="shared" si="70"/>
        <v>223751</v>
      </c>
    </row>
    <row r="1499" spans="1:7" x14ac:dyDescent="0.25">
      <c r="A1499" t="str">
        <f t="shared" si="71"/>
        <v>Los Ángeles Población  de 0 a 14 años</v>
      </c>
      <c r="B1499" t="s">
        <v>728</v>
      </c>
      <c r="C1499" t="s">
        <v>817</v>
      </c>
      <c r="D1499" t="s">
        <v>52</v>
      </c>
      <c r="E1499" s="2" t="s">
        <v>819</v>
      </c>
      <c r="F1499">
        <f t="shared" si="69"/>
        <v>7</v>
      </c>
      <c r="G1499" s="2">
        <f t="shared" si="70"/>
        <v>43898</v>
      </c>
    </row>
    <row r="1500" spans="1:7" x14ac:dyDescent="0.25">
      <c r="A1500" t="str">
        <f t="shared" si="71"/>
        <v>Los Ángeles Población  de 15 a 64 años</v>
      </c>
      <c r="B1500" t="s">
        <v>728</v>
      </c>
      <c r="C1500" t="s">
        <v>817</v>
      </c>
      <c r="D1500" t="s">
        <v>50</v>
      </c>
      <c r="E1500" s="2" t="s">
        <v>818</v>
      </c>
      <c r="F1500">
        <f t="shared" si="69"/>
        <v>8</v>
      </c>
      <c r="G1500" s="2">
        <f t="shared" si="70"/>
        <v>148968</v>
      </c>
    </row>
    <row r="1501" spans="1:7" x14ac:dyDescent="0.25">
      <c r="A1501" t="str">
        <f t="shared" si="71"/>
        <v>Los Ángeles Población de 65 años o mas</v>
      </c>
      <c r="B1501" t="s">
        <v>728</v>
      </c>
      <c r="C1501" t="s">
        <v>817</v>
      </c>
      <c r="D1501" t="s">
        <v>46</v>
      </c>
      <c r="E1501" s="2" t="s">
        <v>816</v>
      </c>
      <c r="F1501">
        <f t="shared" si="69"/>
        <v>7</v>
      </c>
      <c r="G1501" s="2">
        <f t="shared" si="70"/>
        <v>30885</v>
      </c>
    </row>
    <row r="1502" spans="1:7" x14ac:dyDescent="0.25">
      <c r="A1502" t="str">
        <f t="shared" si="71"/>
        <v>Quilleco Hombre</v>
      </c>
      <c r="B1502" t="s">
        <v>728</v>
      </c>
      <c r="C1502" t="s">
        <v>810</v>
      </c>
      <c r="D1502" t="s">
        <v>58</v>
      </c>
      <c r="E1502" s="2" t="s">
        <v>815</v>
      </c>
      <c r="F1502">
        <f t="shared" si="69"/>
        <v>6</v>
      </c>
      <c r="G1502" s="2">
        <f t="shared" si="70"/>
        <v>4902</v>
      </c>
    </row>
    <row r="1503" spans="1:7" x14ac:dyDescent="0.25">
      <c r="A1503" t="str">
        <f t="shared" si="71"/>
        <v>Quilleco Mujer</v>
      </c>
      <c r="B1503" t="s">
        <v>728</v>
      </c>
      <c r="C1503" t="s">
        <v>810</v>
      </c>
      <c r="D1503" t="s">
        <v>56</v>
      </c>
      <c r="E1503" s="2" t="s">
        <v>814</v>
      </c>
      <c r="F1503">
        <f t="shared" si="69"/>
        <v>6</v>
      </c>
      <c r="G1503" s="2">
        <f t="shared" si="70"/>
        <v>5084</v>
      </c>
    </row>
    <row r="1504" spans="1:7" x14ac:dyDescent="0.25">
      <c r="A1504" t="str">
        <f t="shared" si="71"/>
        <v>Quilleco Población total</v>
      </c>
      <c r="B1504" t="s">
        <v>728</v>
      </c>
      <c r="C1504" t="s">
        <v>810</v>
      </c>
      <c r="D1504" t="s">
        <v>54</v>
      </c>
      <c r="E1504" s="2" t="s">
        <v>813</v>
      </c>
      <c r="F1504">
        <f t="shared" si="69"/>
        <v>6</v>
      </c>
      <c r="G1504" s="2">
        <f t="shared" si="70"/>
        <v>9986</v>
      </c>
    </row>
    <row r="1505" spans="1:7" x14ac:dyDescent="0.25">
      <c r="A1505" t="str">
        <f t="shared" si="71"/>
        <v>Quilleco Población  de 0 a 14 años</v>
      </c>
      <c r="B1505" t="s">
        <v>728</v>
      </c>
      <c r="C1505" t="s">
        <v>810</v>
      </c>
      <c r="D1505" t="s">
        <v>52</v>
      </c>
      <c r="E1505" s="2" t="s">
        <v>812</v>
      </c>
      <c r="F1505">
        <f t="shared" si="69"/>
        <v>6</v>
      </c>
      <c r="G1505" s="2">
        <f t="shared" si="70"/>
        <v>1662</v>
      </c>
    </row>
    <row r="1506" spans="1:7" x14ac:dyDescent="0.25">
      <c r="A1506" t="str">
        <f t="shared" si="71"/>
        <v>Quilleco Población  de 15 a 64 años</v>
      </c>
      <c r="B1506" t="s">
        <v>728</v>
      </c>
      <c r="C1506" t="s">
        <v>810</v>
      </c>
      <c r="D1506" t="s">
        <v>50</v>
      </c>
      <c r="E1506" s="2" t="s">
        <v>811</v>
      </c>
      <c r="F1506">
        <f t="shared" si="69"/>
        <v>6</v>
      </c>
      <c r="G1506" s="2">
        <f t="shared" si="70"/>
        <v>6169</v>
      </c>
    </row>
    <row r="1507" spans="1:7" x14ac:dyDescent="0.25">
      <c r="A1507" t="str">
        <f t="shared" si="71"/>
        <v>Quilleco Población de 65 años o mas</v>
      </c>
      <c r="B1507" t="s">
        <v>728</v>
      </c>
      <c r="C1507" t="s">
        <v>810</v>
      </c>
      <c r="D1507" t="s">
        <v>46</v>
      </c>
      <c r="E1507" s="2" t="s">
        <v>809</v>
      </c>
      <c r="F1507">
        <f t="shared" si="69"/>
        <v>6</v>
      </c>
      <c r="G1507" s="2">
        <f t="shared" si="70"/>
        <v>2155</v>
      </c>
    </row>
    <row r="1508" spans="1:7" x14ac:dyDescent="0.25">
      <c r="A1508" t="str">
        <f t="shared" si="71"/>
        <v>Curanilahue Hombre</v>
      </c>
      <c r="B1508" t="s">
        <v>728</v>
      </c>
      <c r="C1508" t="s">
        <v>803</v>
      </c>
      <c r="D1508" t="s">
        <v>58</v>
      </c>
      <c r="E1508" s="2" t="s">
        <v>808</v>
      </c>
      <c r="F1508">
        <f t="shared" si="69"/>
        <v>7</v>
      </c>
      <c r="G1508" s="2">
        <f t="shared" si="70"/>
        <v>16635</v>
      </c>
    </row>
    <row r="1509" spans="1:7" x14ac:dyDescent="0.25">
      <c r="A1509" t="str">
        <f t="shared" si="71"/>
        <v>Curanilahue Mujer</v>
      </c>
      <c r="B1509" t="s">
        <v>728</v>
      </c>
      <c r="C1509" t="s">
        <v>803</v>
      </c>
      <c r="D1509" t="s">
        <v>56</v>
      </c>
      <c r="E1509" s="2" t="s">
        <v>807</v>
      </c>
      <c r="F1509">
        <f t="shared" si="69"/>
        <v>7</v>
      </c>
      <c r="G1509" s="2">
        <f t="shared" si="70"/>
        <v>17307</v>
      </c>
    </row>
    <row r="1510" spans="1:7" x14ac:dyDescent="0.25">
      <c r="A1510" t="str">
        <f t="shared" si="71"/>
        <v>Curanilahue Población total</v>
      </c>
      <c r="B1510" t="s">
        <v>728</v>
      </c>
      <c r="C1510" t="s">
        <v>803</v>
      </c>
      <c r="D1510" t="s">
        <v>54</v>
      </c>
      <c r="E1510" s="2" t="s">
        <v>806</v>
      </c>
      <c r="F1510">
        <f t="shared" si="69"/>
        <v>7</v>
      </c>
      <c r="G1510" s="2">
        <f t="shared" si="70"/>
        <v>33942</v>
      </c>
    </row>
    <row r="1511" spans="1:7" x14ac:dyDescent="0.25">
      <c r="A1511" t="str">
        <f t="shared" si="71"/>
        <v>Curanilahue Población  de 0 a 14 años</v>
      </c>
      <c r="B1511" t="s">
        <v>728</v>
      </c>
      <c r="C1511" t="s">
        <v>803</v>
      </c>
      <c r="D1511" t="s">
        <v>52</v>
      </c>
      <c r="E1511" s="2" t="s">
        <v>805</v>
      </c>
      <c r="F1511">
        <f t="shared" si="69"/>
        <v>6</v>
      </c>
      <c r="G1511" s="2">
        <f t="shared" si="70"/>
        <v>6487</v>
      </c>
    </row>
    <row r="1512" spans="1:7" x14ac:dyDescent="0.25">
      <c r="A1512" t="str">
        <f t="shared" si="71"/>
        <v>Curanilahue Población  de 15 a 64 años</v>
      </c>
      <c r="B1512" t="s">
        <v>728</v>
      </c>
      <c r="C1512" t="s">
        <v>803</v>
      </c>
      <c r="D1512" t="s">
        <v>50</v>
      </c>
      <c r="E1512" s="2" t="s">
        <v>804</v>
      </c>
      <c r="F1512">
        <f t="shared" si="69"/>
        <v>7</v>
      </c>
      <c r="G1512" s="2">
        <f t="shared" si="70"/>
        <v>22541</v>
      </c>
    </row>
    <row r="1513" spans="1:7" x14ac:dyDescent="0.25">
      <c r="A1513" t="str">
        <f t="shared" si="71"/>
        <v>Curanilahue Población de 65 años o mas</v>
      </c>
      <c r="B1513" t="s">
        <v>728</v>
      </c>
      <c r="C1513" t="s">
        <v>803</v>
      </c>
      <c r="D1513" t="s">
        <v>46</v>
      </c>
      <c r="E1513" s="2" t="s">
        <v>802</v>
      </c>
      <c r="F1513">
        <f t="shared" si="69"/>
        <v>6</v>
      </c>
      <c r="G1513" s="2">
        <f t="shared" si="70"/>
        <v>4914</v>
      </c>
    </row>
    <row r="1514" spans="1:7" x14ac:dyDescent="0.25">
      <c r="A1514" t="str">
        <f t="shared" si="71"/>
        <v>Nacimiento Hombre</v>
      </c>
      <c r="B1514" t="s">
        <v>728</v>
      </c>
      <c r="C1514" t="s">
        <v>796</v>
      </c>
      <c r="D1514" t="s">
        <v>58</v>
      </c>
      <c r="E1514" s="2" t="s">
        <v>801</v>
      </c>
      <c r="F1514">
        <f t="shared" si="69"/>
        <v>7</v>
      </c>
      <c r="G1514" s="2">
        <f t="shared" si="70"/>
        <v>13764</v>
      </c>
    </row>
    <row r="1515" spans="1:7" x14ac:dyDescent="0.25">
      <c r="A1515" t="str">
        <f t="shared" si="71"/>
        <v>Nacimiento Mujer</v>
      </c>
      <c r="B1515" t="s">
        <v>728</v>
      </c>
      <c r="C1515" t="s">
        <v>796</v>
      </c>
      <c r="D1515" t="s">
        <v>56</v>
      </c>
      <c r="E1515" s="2" t="s">
        <v>800</v>
      </c>
      <c r="F1515">
        <f t="shared" si="69"/>
        <v>7</v>
      </c>
      <c r="G1515" s="2">
        <f t="shared" si="70"/>
        <v>14264</v>
      </c>
    </row>
    <row r="1516" spans="1:7" x14ac:dyDescent="0.25">
      <c r="A1516" t="str">
        <f t="shared" si="71"/>
        <v>Nacimiento Población total</v>
      </c>
      <c r="B1516" t="s">
        <v>728</v>
      </c>
      <c r="C1516" t="s">
        <v>796</v>
      </c>
      <c r="D1516" t="s">
        <v>54</v>
      </c>
      <c r="E1516" s="2" t="s">
        <v>799</v>
      </c>
      <c r="F1516">
        <f t="shared" si="69"/>
        <v>7</v>
      </c>
      <c r="G1516" s="2">
        <f t="shared" si="70"/>
        <v>28028</v>
      </c>
    </row>
    <row r="1517" spans="1:7" x14ac:dyDescent="0.25">
      <c r="A1517" t="str">
        <f t="shared" si="71"/>
        <v>Nacimiento Población  de 0 a 14 años</v>
      </c>
      <c r="B1517" t="s">
        <v>728</v>
      </c>
      <c r="C1517" t="s">
        <v>796</v>
      </c>
      <c r="D1517" t="s">
        <v>52</v>
      </c>
      <c r="E1517" s="2" t="s">
        <v>798</v>
      </c>
      <c r="F1517">
        <f t="shared" si="69"/>
        <v>6</v>
      </c>
      <c r="G1517" s="2">
        <f t="shared" si="70"/>
        <v>5419</v>
      </c>
    </row>
    <row r="1518" spans="1:7" x14ac:dyDescent="0.25">
      <c r="A1518" t="str">
        <f t="shared" si="71"/>
        <v>Nacimiento Población  de 15 a 64 años</v>
      </c>
      <c r="B1518" t="s">
        <v>728</v>
      </c>
      <c r="C1518" t="s">
        <v>796</v>
      </c>
      <c r="D1518" t="s">
        <v>50</v>
      </c>
      <c r="E1518" s="2" t="s">
        <v>797</v>
      </c>
      <c r="F1518">
        <f t="shared" si="69"/>
        <v>7</v>
      </c>
      <c r="G1518" s="2">
        <f t="shared" si="70"/>
        <v>18378</v>
      </c>
    </row>
    <row r="1519" spans="1:7" x14ac:dyDescent="0.25">
      <c r="A1519" t="str">
        <f t="shared" si="71"/>
        <v>Nacimiento Población de 65 años o mas</v>
      </c>
      <c r="B1519" t="s">
        <v>728</v>
      </c>
      <c r="C1519" t="s">
        <v>796</v>
      </c>
      <c r="D1519" t="s">
        <v>46</v>
      </c>
      <c r="E1519" s="2" t="s">
        <v>795</v>
      </c>
      <c r="F1519">
        <f t="shared" si="69"/>
        <v>6</v>
      </c>
      <c r="G1519" s="2">
        <f t="shared" si="70"/>
        <v>4231</v>
      </c>
    </row>
    <row r="1520" spans="1:7" x14ac:dyDescent="0.25">
      <c r="A1520" t="str">
        <f t="shared" si="71"/>
        <v>Negrete Hombre</v>
      </c>
      <c r="B1520" t="s">
        <v>728</v>
      </c>
      <c r="C1520" t="s">
        <v>790</v>
      </c>
      <c r="D1520" t="s">
        <v>58</v>
      </c>
      <c r="E1520" s="2" t="s">
        <v>794</v>
      </c>
      <c r="F1520">
        <f t="shared" si="69"/>
        <v>6</v>
      </c>
      <c r="G1520" s="2">
        <f t="shared" si="70"/>
        <v>5201</v>
      </c>
    </row>
    <row r="1521" spans="1:7" x14ac:dyDescent="0.25">
      <c r="A1521" t="str">
        <f t="shared" si="71"/>
        <v>Negrete Mujer</v>
      </c>
      <c r="B1521" t="s">
        <v>728</v>
      </c>
      <c r="C1521" t="s">
        <v>790</v>
      </c>
      <c r="D1521" t="s">
        <v>56</v>
      </c>
      <c r="E1521" s="2" t="s">
        <v>793</v>
      </c>
      <c r="F1521">
        <f t="shared" si="69"/>
        <v>6</v>
      </c>
      <c r="G1521" s="2">
        <f t="shared" si="70"/>
        <v>5373</v>
      </c>
    </row>
    <row r="1522" spans="1:7" x14ac:dyDescent="0.25">
      <c r="A1522" t="str">
        <f t="shared" si="71"/>
        <v>Negrete Población total</v>
      </c>
      <c r="B1522" t="s">
        <v>728</v>
      </c>
      <c r="C1522" t="s">
        <v>790</v>
      </c>
      <c r="D1522" t="s">
        <v>54</v>
      </c>
      <c r="E1522" s="2" t="s">
        <v>792</v>
      </c>
      <c r="F1522">
        <f t="shared" si="69"/>
        <v>7</v>
      </c>
      <c r="G1522" s="2">
        <f t="shared" si="70"/>
        <v>10574</v>
      </c>
    </row>
    <row r="1523" spans="1:7" x14ac:dyDescent="0.25">
      <c r="A1523" t="str">
        <f t="shared" si="71"/>
        <v>Negrete Población  de 0 a 14 años</v>
      </c>
      <c r="B1523" t="s">
        <v>728</v>
      </c>
      <c r="C1523" t="s">
        <v>790</v>
      </c>
      <c r="D1523" t="s">
        <v>52</v>
      </c>
      <c r="E1523" s="2" t="s">
        <v>319</v>
      </c>
      <c r="F1523">
        <f t="shared" si="69"/>
        <v>6</v>
      </c>
      <c r="G1523" s="2">
        <f t="shared" si="70"/>
        <v>2031</v>
      </c>
    </row>
    <row r="1524" spans="1:7" x14ac:dyDescent="0.25">
      <c r="A1524" t="str">
        <f t="shared" si="71"/>
        <v>Negrete Población  de 15 a 64 años</v>
      </c>
      <c r="B1524" t="s">
        <v>728</v>
      </c>
      <c r="C1524" t="s">
        <v>790</v>
      </c>
      <c r="D1524" t="s">
        <v>50</v>
      </c>
      <c r="E1524" s="2" t="s">
        <v>791</v>
      </c>
      <c r="F1524">
        <f t="shared" si="69"/>
        <v>6</v>
      </c>
      <c r="G1524" s="2">
        <f t="shared" si="70"/>
        <v>6869</v>
      </c>
    </row>
    <row r="1525" spans="1:7" x14ac:dyDescent="0.25">
      <c r="A1525" t="str">
        <f t="shared" si="71"/>
        <v>Negrete Población de 65 años o mas</v>
      </c>
      <c r="B1525" t="s">
        <v>728</v>
      </c>
      <c r="C1525" t="s">
        <v>790</v>
      </c>
      <c r="D1525" t="s">
        <v>46</v>
      </c>
      <c r="E1525" s="2" t="s">
        <v>789</v>
      </c>
      <c r="F1525">
        <f t="shared" si="69"/>
        <v>6</v>
      </c>
      <c r="G1525" s="2">
        <f t="shared" si="70"/>
        <v>1674</v>
      </c>
    </row>
    <row r="1526" spans="1:7" x14ac:dyDescent="0.25">
      <c r="A1526" t="str">
        <f t="shared" si="71"/>
        <v>Lebu Hombre</v>
      </c>
      <c r="B1526" t="s">
        <v>728</v>
      </c>
      <c r="C1526" t="s">
        <v>784</v>
      </c>
      <c r="D1526" t="s">
        <v>58</v>
      </c>
      <c r="E1526" s="2" t="s">
        <v>788</v>
      </c>
      <c r="F1526">
        <f t="shared" si="69"/>
        <v>7</v>
      </c>
      <c r="G1526" s="2">
        <f t="shared" si="70"/>
        <v>13269</v>
      </c>
    </row>
    <row r="1527" spans="1:7" x14ac:dyDescent="0.25">
      <c r="A1527" t="str">
        <f t="shared" si="71"/>
        <v>Lebu Mujer</v>
      </c>
      <c r="B1527" t="s">
        <v>728</v>
      </c>
      <c r="C1527" t="s">
        <v>784</v>
      </c>
      <c r="D1527" t="s">
        <v>56</v>
      </c>
      <c r="E1527" s="2" t="s">
        <v>787</v>
      </c>
      <c r="F1527">
        <f t="shared" si="69"/>
        <v>7</v>
      </c>
      <c r="G1527" s="2">
        <f t="shared" si="70"/>
        <v>13883</v>
      </c>
    </row>
    <row r="1528" spans="1:7" x14ac:dyDescent="0.25">
      <c r="A1528" t="str">
        <f t="shared" si="71"/>
        <v>Lebu Población total</v>
      </c>
      <c r="B1528" t="s">
        <v>728</v>
      </c>
      <c r="C1528" t="s">
        <v>784</v>
      </c>
      <c r="D1528" t="s">
        <v>54</v>
      </c>
      <c r="E1528" s="2" t="s">
        <v>786</v>
      </c>
      <c r="F1528">
        <f t="shared" si="69"/>
        <v>7</v>
      </c>
      <c r="G1528" s="2">
        <f t="shared" si="70"/>
        <v>27152</v>
      </c>
    </row>
    <row r="1529" spans="1:7" x14ac:dyDescent="0.25">
      <c r="A1529" t="str">
        <f t="shared" si="71"/>
        <v>Lebu Población  de 0 a 14 años</v>
      </c>
      <c r="B1529" t="s">
        <v>728</v>
      </c>
      <c r="C1529" t="s">
        <v>784</v>
      </c>
      <c r="D1529" t="s">
        <v>52</v>
      </c>
      <c r="E1529" s="2" t="s">
        <v>457</v>
      </c>
      <c r="F1529">
        <f t="shared" si="69"/>
        <v>6</v>
      </c>
      <c r="G1529" s="2">
        <f t="shared" si="70"/>
        <v>5424</v>
      </c>
    </row>
    <row r="1530" spans="1:7" x14ac:dyDescent="0.25">
      <c r="A1530" t="str">
        <f t="shared" si="71"/>
        <v>Lebu Población  de 15 a 64 años</v>
      </c>
      <c r="B1530" t="s">
        <v>728</v>
      </c>
      <c r="C1530" t="s">
        <v>784</v>
      </c>
      <c r="D1530" t="s">
        <v>50</v>
      </c>
      <c r="E1530" s="2" t="s">
        <v>785</v>
      </c>
      <c r="F1530">
        <f t="shared" si="69"/>
        <v>7</v>
      </c>
      <c r="G1530" s="2">
        <f t="shared" si="70"/>
        <v>17905</v>
      </c>
    </row>
    <row r="1531" spans="1:7" x14ac:dyDescent="0.25">
      <c r="A1531" t="str">
        <f t="shared" si="71"/>
        <v>Lebu Población de 65 años o mas</v>
      </c>
      <c r="B1531" t="s">
        <v>728</v>
      </c>
      <c r="C1531" t="s">
        <v>784</v>
      </c>
      <c r="D1531" t="s">
        <v>46</v>
      </c>
      <c r="E1531" s="2" t="s">
        <v>783</v>
      </c>
      <c r="F1531">
        <f t="shared" si="69"/>
        <v>6</v>
      </c>
      <c r="G1531" s="2">
        <f t="shared" si="70"/>
        <v>3823</v>
      </c>
    </row>
    <row r="1532" spans="1:7" x14ac:dyDescent="0.25">
      <c r="A1532" t="str">
        <f t="shared" si="71"/>
        <v>Los Álamos Hombre</v>
      </c>
      <c r="B1532" t="s">
        <v>728</v>
      </c>
      <c r="C1532" t="s">
        <v>777</v>
      </c>
      <c r="D1532" t="s">
        <v>58</v>
      </c>
      <c r="E1532" s="2" t="s">
        <v>782</v>
      </c>
      <c r="F1532">
        <f t="shared" si="69"/>
        <v>7</v>
      </c>
      <c r="G1532" s="2">
        <f t="shared" si="70"/>
        <v>11166</v>
      </c>
    </row>
    <row r="1533" spans="1:7" x14ac:dyDescent="0.25">
      <c r="A1533" t="str">
        <f t="shared" si="71"/>
        <v>Los Álamos Mujer</v>
      </c>
      <c r="B1533" t="s">
        <v>728</v>
      </c>
      <c r="C1533" t="s">
        <v>777</v>
      </c>
      <c r="D1533" t="s">
        <v>56</v>
      </c>
      <c r="E1533" s="2" t="s">
        <v>781</v>
      </c>
      <c r="F1533">
        <f t="shared" si="69"/>
        <v>7</v>
      </c>
      <c r="G1533" s="2">
        <f t="shared" si="70"/>
        <v>11787</v>
      </c>
    </row>
    <row r="1534" spans="1:7" x14ac:dyDescent="0.25">
      <c r="A1534" t="str">
        <f t="shared" si="71"/>
        <v>Los Álamos Población total</v>
      </c>
      <c r="B1534" t="s">
        <v>728</v>
      </c>
      <c r="C1534" t="s">
        <v>777</v>
      </c>
      <c r="D1534" t="s">
        <v>54</v>
      </c>
      <c r="E1534" s="2" t="s">
        <v>780</v>
      </c>
      <c r="F1534">
        <f t="shared" si="69"/>
        <v>7</v>
      </c>
      <c r="G1534" s="2">
        <f t="shared" si="70"/>
        <v>22953</v>
      </c>
    </row>
    <row r="1535" spans="1:7" x14ac:dyDescent="0.25">
      <c r="A1535" t="str">
        <f t="shared" si="71"/>
        <v>Los Álamos Población  de 0 a 14 años</v>
      </c>
      <c r="B1535" t="s">
        <v>728</v>
      </c>
      <c r="C1535" t="s">
        <v>777</v>
      </c>
      <c r="D1535" t="s">
        <v>52</v>
      </c>
      <c r="E1535" s="2" t="s">
        <v>779</v>
      </c>
      <c r="F1535">
        <f t="shared" si="69"/>
        <v>6</v>
      </c>
      <c r="G1535" s="2">
        <f t="shared" si="70"/>
        <v>4979</v>
      </c>
    </row>
    <row r="1536" spans="1:7" x14ac:dyDescent="0.25">
      <c r="A1536" t="str">
        <f t="shared" si="71"/>
        <v>Los Álamos Población  de 15 a 64 años</v>
      </c>
      <c r="B1536" t="s">
        <v>728</v>
      </c>
      <c r="C1536" t="s">
        <v>777</v>
      </c>
      <c r="D1536" t="s">
        <v>50</v>
      </c>
      <c r="E1536" s="2" t="s">
        <v>778</v>
      </c>
      <c r="F1536">
        <f t="shared" si="69"/>
        <v>7</v>
      </c>
      <c r="G1536" s="2">
        <f t="shared" si="70"/>
        <v>14889</v>
      </c>
    </row>
    <row r="1537" spans="1:7" x14ac:dyDescent="0.25">
      <c r="A1537" t="str">
        <f t="shared" si="71"/>
        <v>Los Álamos Población de 65 años o mas</v>
      </c>
      <c r="B1537" t="s">
        <v>728</v>
      </c>
      <c r="C1537" t="s">
        <v>777</v>
      </c>
      <c r="D1537" t="s">
        <v>46</v>
      </c>
      <c r="E1537" s="2" t="s">
        <v>776</v>
      </c>
      <c r="F1537">
        <f t="shared" si="69"/>
        <v>6</v>
      </c>
      <c r="G1537" s="2">
        <f t="shared" si="70"/>
        <v>3085</v>
      </c>
    </row>
    <row r="1538" spans="1:7" x14ac:dyDescent="0.25">
      <c r="A1538" t="str">
        <f t="shared" si="71"/>
        <v>Santa Bárbara Hombre</v>
      </c>
      <c r="B1538" t="s">
        <v>728</v>
      </c>
      <c r="C1538" t="s">
        <v>770</v>
      </c>
      <c r="D1538" t="s">
        <v>58</v>
      </c>
      <c r="E1538" s="2" t="s">
        <v>775</v>
      </c>
      <c r="F1538">
        <f t="shared" ref="F1538:F1601" si="72">+FIND(".",E1538)</f>
        <v>6</v>
      </c>
      <c r="G1538" s="2">
        <f t="shared" ref="G1538:G1601" si="73">+LEFT(E1538,(F1538-1))*1</f>
        <v>7176</v>
      </c>
    </row>
    <row r="1539" spans="1:7" x14ac:dyDescent="0.25">
      <c r="A1539" t="str">
        <f t="shared" ref="A1539:A1602" si="74">+C1539&amp;D1539</f>
        <v>Santa Bárbara Mujer</v>
      </c>
      <c r="B1539" t="s">
        <v>728</v>
      </c>
      <c r="C1539" t="s">
        <v>770</v>
      </c>
      <c r="D1539" t="s">
        <v>56</v>
      </c>
      <c r="E1539" s="2" t="s">
        <v>774</v>
      </c>
      <c r="F1539">
        <f t="shared" si="72"/>
        <v>6</v>
      </c>
      <c r="G1539" s="2">
        <f t="shared" si="73"/>
        <v>7495</v>
      </c>
    </row>
    <row r="1540" spans="1:7" x14ac:dyDescent="0.25">
      <c r="A1540" t="str">
        <f t="shared" si="74"/>
        <v>Santa Bárbara Población total</v>
      </c>
      <c r="B1540" t="s">
        <v>728</v>
      </c>
      <c r="C1540" t="s">
        <v>770</v>
      </c>
      <c r="D1540" t="s">
        <v>54</v>
      </c>
      <c r="E1540" s="2" t="s">
        <v>773</v>
      </c>
      <c r="F1540">
        <f t="shared" si="72"/>
        <v>7</v>
      </c>
      <c r="G1540" s="2">
        <f t="shared" si="73"/>
        <v>14671</v>
      </c>
    </row>
    <row r="1541" spans="1:7" x14ac:dyDescent="0.25">
      <c r="A1541" t="str">
        <f t="shared" si="74"/>
        <v>Santa Bárbara Población  de 0 a 14 años</v>
      </c>
      <c r="B1541" t="s">
        <v>728</v>
      </c>
      <c r="C1541" t="s">
        <v>770</v>
      </c>
      <c r="D1541" t="s">
        <v>52</v>
      </c>
      <c r="E1541" s="2" t="s">
        <v>772</v>
      </c>
      <c r="F1541">
        <f t="shared" si="72"/>
        <v>6</v>
      </c>
      <c r="G1541" s="2">
        <f t="shared" si="73"/>
        <v>2782</v>
      </c>
    </row>
    <row r="1542" spans="1:7" x14ac:dyDescent="0.25">
      <c r="A1542" t="str">
        <f t="shared" si="74"/>
        <v>Santa Bárbara Población  de 15 a 64 años</v>
      </c>
      <c r="B1542" t="s">
        <v>728</v>
      </c>
      <c r="C1542" t="s">
        <v>770</v>
      </c>
      <c r="D1542" t="s">
        <v>50</v>
      </c>
      <c r="E1542" s="2" t="s">
        <v>771</v>
      </c>
      <c r="F1542">
        <f t="shared" si="72"/>
        <v>6</v>
      </c>
      <c r="G1542" s="2">
        <f t="shared" si="73"/>
        <v>9332</v>
      </c>
    </row>
    <row r="1543" spans="1:7" x14ac:dyDescent="0.25">
      <c r="A1543" t="str">
        <f t="shared" si="74"/>
        <v>Santa Bárbara Población de 65 años o mas</v>
      </c>
      <c r="B1543" t="s">
        <v>728</v>
      </c>
      <c r="C1543" t="s">
        <v>770</v>
      </c>
      <c r="D1543" t="s">
        <v>46</v>
      </c>
      <c r="E1543" s="2" t="s">
        <v>769</v>
      </c>
      <c r="F1543">
        <f t="shared" si="72"/>
        <v>6</v>
      </c>
      <c r="G1543" s="2">
        <f t="shared" si="73"/>
        <v>2557</v>
      </c>
    </row>
    <row r="1544" spans="1:7" x14ac:dyDescent="0.25">
      <c r="A1544" t="str">
        <f t="shared" si="74"/>
        <v>Quilaco Hombre</v>
      </c>
      <c r="B1544" t="s">
        <v>728</v>
      </c>
      <c r="C1544" t="s">
        <v>764</v>
      </c>
      <c r="D1544" t="s">
        <v>58</v>
      </c>
      <c r="E1544" s="2" t="s">
        <v>768</v>
      </c>
      <c r="F1544">
        <f t="shared" si="72"/>
        <v>6</v>
      </c>
      <c r="G1544" s="2">
        <f t="shared" si="73"/>
        <v>2068</v>
      </c>
    </row>
    <row r="1545" spans="1:7" x14ac:dyDescent="0.25">
      <c r="A1545" t="str">
        <f t="shared" si="74"/>
        <v>Quilaco Mujer</v>
      </c>
      <c r="B1545" t="s">
        <v>728</v>
      </c>
      <c r="C1545" t="s">
        <v>764</v>
      </c>
      <c r="D1545" t="s">
        <v>56</v>
      </c>
      <c r="E1545" s="2" t="s">
        <v>767</v>
      </c>
      <c r="F1545">
        <f t="shared" si="72"/>
        <v>6</v>
      </c>
      <c r="G1545" s="2">
        <f t="shared" si="73"/>
        <v>2118</v>
      </c>
    </row>
    <row r="1546" spans="1:7" x14ac:dyDescent="0.25">
      <c r="A1546" t="str">
        <f t="shared" si="74"/>
        <v>Quilaco Población total</v>
      </c>
      <c r="B1546" t="s">
        <v>728</v>
      </c>
      <c r="C1546" t="s">
        <v>764</v>
      </c>
      <c r="D1546" t="s">
        <v>54</v>
      </c>
      <c r="E1546" s="2" t="s">
        <v>766</v>
      </c>
      <c r="F1546">
        <f t="shared" si="72"/>
        <v>6</v>
      </c>
      <c r="G1546" s="2">
        <f t="shared" si="73"/>
        <v>4186</v>
      </c>
    </row>
    <row r="1547" spans="1:7" x14ac:dyDescent="0.25">
      <c r="A1547" t="str">
        <f t="shared" si="74"/>
        <v>Quilaco Población  de 0 a 14 años</v>
      </c>
      <c r="B1547" t="s">
        <v>728</v>
      </c>
      <c r="C1547" t="s">
        <v>764</v>
      </c>
      <c r="D1547" t="s">
        <v>52</v>
      </c>
      <c r="E1547" s="2" t="s">
        <v>765</v>
      </c>
      <c r="F1547">
        <f t="shared" si="72"/>
        <v>5</v>
      </c>
      <c r="G1547" s="2">
        <f t="shared" si="73"/>
        <v>637</v>
      </c>
    </row>
    <row r="1548" spans="1:7" x14ac:dyDescent="0.25">
      <c r="A1548" t="str">
        <f t="shared" si="74"/>
        <v>Quilaco Población  de 15 a 64 años</v>
      </c>
      <c r="B1548" t="s">
        <v>728</v>
      </c>
      <c r="C1548" t="s">
        <v>764</v>
      </c>
      <c r="D1548" t="s">
        <v>50</v>
      </c>
      <c r="E1548" s="2" t="s">
        <v>578</v>
      </c>
      <c r="F1548">
        <f t="shared" si="72"/>
        <v>6</v>
      </c>
      <c r="G1548" s="2">
        <f t="shared" si="73"/>
        <v>2523</v>
      </c>
    </row>
    <row r="1549" spans="1:7" x14ac:dyDescent="0.25">
      <c r="A1549" t="str">
        <f t="shared" si="74"/>
        <v>Quilaco Población de 65 años o mas</v>
      </c>
      <c r="B1549" t="s">
        <v>728</v>
      </c>
      <c r="C1549" t="s">
        <v>764</v>
      </c>
      <c r="D1549" t="s">
        <v>46</v>
      </c>
      <c r="E1549" s="2" t="s">
        <v>763</v>
      </c>
      <c r="F1549">
        <f t="shared" si="72"/>
        <v>6</v>
      </c>
      <c r="G1549" s="2">
        <f t="shared" si="73"/>
        <v>1026</v>
      </c>
    </row>
    <row r="1550" spans="1:7" x14ac:dyDescent="0.25">
      <c r="A1550" t="str">
        <f t="shared" si="74"/>
        <v>Mulchén Hombre</v>
      </c>
      <c r="B1550" t="s">
        <v>728</v>
      </c>
      <c r="C1550" t="s">
        <v>757</v>
      </c>
      <c r="D1550" t="s">
        <v>58</v>
      </c>
      <c r="E1550" s="2" t="s">
        <v>762</v>
      </c>
      <c r="F1550">
        <f t="shared" si="72"/>
        <v>7</v>
      </c>
      <c r="G1550" s="2">
        <f t="shared" si="73"/>
        <v>15273</v>
      </c>
    </row>
    <row r="1551" spans="1:7" x14ac:dyDescent="0.25">
      <c r="A1551" t="str">
        <f t="shared" si="74"/>
        <v>Mulchén Mujer</v>
      </c>
      <c r="B1551" t="s">
        <v>728</v>
      </c>
      <c r="C1551" t="s">
        <v>757</v>
      </c>
      <c r="D1551" t="s">
        <v>56</v>
      </c>
      <c r="E1551" s="2" t="s">
        <v>761</v>
      </c>
      <c r="F1551">
        <f t="shared" si="72"/>
        <v>7</v>
      </c>
      <c r="G1551" s="2">
        <f t="shared" si="73"/>
        <v>15849</v>
      </c>
    </row>
    <row r="1552" spans="1:7" x14ac:dyDescent="0.25">
      <c r="A1552" t="str">
        <f t="shared" si="74"/>
        <v>Mulchén Población total</v>
      </c>
      <c r="B1552" t="s">
        <v>728</v>
      </c>
      <c r="C1552" t="s">
        <v>757</v>
      </c>
      <c r="D1552" t="s">
        <v>54</v>
      </c>
      <c r="E1552" s="2" t="s">
        <v>760</v>
      </c>
      <c r="F1552">
        <f t="shared" si="72"/>
        <v>7</v>
      </c>
      <c r="G1552" s="2">
        <f t="shared" si="73"/>
        <v>31122</v>
      </c>
    </row>
    <row r="1553" spans="1:7" x14ac:dyDescent="0.25">
      <c r="A1553" t="str">
        <f t="shared" si="74"/>
        <v>Mulchén Población  de 0 a 14 años</v>
      </c>
      <c r="B1553" t="s">
        <v>728</v>
      </c>
      <c r="C1553" t="s">
        <v>757</v>
      </c>
      <c r="D1553" t="s">
        <v>52</v>
      </c>
      <c r="E1553" s="2" t="s">
        <v>759</v>
      </c>
      <c r="F1553">
        <f t="shared" si="72"/>
        <v>6</v>
      </c>
      <c r="G1553" s="2">
        <f t="shared" si="73"/>
        <v>5965</v>
      </c>
    </row>
    <row r="1554" spans="1:7" x14ac:dyDescent="0.25">
      <c r="A1554" t="str">
        <f t="shared" si="74"/>
        <v>Mulchén Población  de 15 a 64 años</v>
      </c>
      <c r="B1554" t="s">
        <v>728</v>
      </c>
      <c r="C1554" t="s">
        <v>757</v>
      </c>
      <c r="D1554" t="s">
        <v>50</v>
      </c>
      <c r="E1554" s="2" t="s">
        <v>758</v>
      </c>
      <c r="F1554">
        <f t="shared" si="72"/>
        <v>7</v>
      </c>
      <c r="G1554" s="2">
        <f t="shared" si="73"/>
        <v>19992</v>
      </c>
    </row>
    <row r="1555" spans="1:7" x14ac:dyDescent="0.25">
      <c r="A1555" t="str">
        <f t="shared" si="74"/>
        <v>Mulchén Población de 65 años o mas</v>
      </c>
      <c r="B1555" t="s">
        <v>728</v>
      </c>
      <c r="C1555" t="s">
        <v>757</v>
      </c>
      <c r="D1555" t="s">
        <v>46</v>
      </c>
      <c r="E1555" s="2" t="s">
        <v>756</v>
      </c>
      <c r="F1555">
        <f t="shared" si="72"/>
        <v>6</v>
      </c>
      <c r="G1555" s="2">
        <f t="shared" si="73"/>
        <v>5165</v>
      </c>
    </row>
    <row r="1556" spans="1:7" x14ac:dyDescent="0.25">
      <c r="A1556" t="str">
        <f t="shared" si="74"/>
        <v>Cañete Hombre</v>
      </c>
      <c r="B1556" t="s">
        <v>728</v>
      </c>
      <c r="C1556" t="s">
        <v>750</v>
      </c>
      <c r="D1556" t="s">
        <v>58</v>
      </c>
      <c r="E1556" s="2" t="s">
        <v>755</v>
      </c>
      <c r="F1556">
        <f t="shared" si="72"/>
        <v>7</v>
      </c>
      <c r="G1556" s="2">
        <f t="shared" si="73"/>
        <v>18167</v>
      </c>
    </row>
    <row r="1557" spans="1:7" x14ac:dyDescent="0.25">
      <c r="A1557" t="str">
        <f t="shared" si="74"/>
        <v>Cañete Mujer</v>
      </c>
      <c r="B1557" t="s">
        <v>728</v>
      </c>
      <c r="C1557" t="s">
        <v>750</v>
      </c>
      <c r="D1557" t="s">
        <v>56</v>
      </c>
      <c r="E1557" s="2" t="s">
        <v>754</v>
      </c>
      <c r="F1557">
        <f t="shared" si="72"/>
        <v>7</v>
      </c>
      <c r="G1557" s="2">
        <f t="shared" si="73"/>
        <v>19276</v>
      </c>
    </row>
    <row r="1558" spans="1:7" x14ac:dyDescent="0.25">
      <c r="A1558" t="str">
        <f t="shared" si="74"/>
        <v>Cañete Población total</v>
      </c>
      <c r="B1558" t="s">
        <v>728</v>
      </c>
      <c r="C1558" t="s">
        <v>750</v>
      </c>
      <c r="D1558" t="s">
        <v>54</v>
      </c>
      <c r="E1558" s="2" t="s">
        <v>753</v>
      </c>
      <c r="F1558">
        <f t="shared" si="72"/>
        <v>7</v>
      </c>
      <c r="G1558" s="2">
        <f t="shared" si="73"/>
        <v>37443</v>
      </c>
    </row>
    <row r="1559" spans="1:7" x14ac:dyDescent="0.25">
      <c r="A1559" t="str">
        <f t="shared" si="74"/>
        <v>Cañete Población  de 0 a 14 años</v>
      </c>
      <c r="B1559" t="s">
        <v>728</v>
      </c>
      <c r="C1559" t="s">
        <v>750</v>
      </c>
      <c r="D1559" t="s">
        <v>52</v>
      </c>
      <c r="E1559" s="2" t="s">
        <v>752</v>
      </c>
      <c r="F1559">
        <f t="shared" si="72"/>
        <v>6</v>
      </c>
      <c r="G1559" s="2">
        <f t="shared" si="73"/>
        <v>7764</v>
      </c>
    </row>
    <row r="1560" spans="1:7" x14ac:dyDescent="0.25">
      <c r="A1560" t="str">
        <f t="shared" si="74"/>
        <v>Cañete Población  de 15 a 64 años</v>
      </c>
      <c r="B1560" t="s">
        <v>728</v>
      </c>
      <c r="C1560" t="s">
        <v>750</v>
      </c>
      <c r="D1560" t="s">
        <v>50</v>
      </c>
      <c r="E1560" s="2" t="s">
        <v>751</v>
      </c>
      <c r="F1560">
        <f t="shared" si="72"/>
        <v>7</v>
      </c>
      <c r="G1560" s="2">
        <f t="shared" si="73"/>
        <v>24024</v>
      </c>
    </row>
    <row r="1561" spans="1:7" x14ac:dyDescent="0.25">
      <c r="A1561" t="str">
        <f t="shared" si="74"/>
        <v>Cañete Población de 65 años o mas</v>
      </c>
      <c r="B1561" t="s">
        <v>728</v>
      </c>
      <c r="C1561" t="s">
        <v>750</v>
      </c>
      <c r="D1561" t="s">
        <v>46</v>
      </c>
      <c r="E1561" s="2" t="s">
        <v>749</v>
      </c>
      <c r="F1561">
        <f t="shared" si="72"/>
        <v>6</v>
      </c>
      <c r="G1561" s="2">
        <f t="shared" si="73"/>
        <v>5655</v>
      </c>
    </row>
    <row r="1562" spans="1:7" x14ac:dyDescent="0.25">
      <c r="A1562" t="str">
        <f t="shared" si="74"/>
        <v>Alto Biobío Hombre</v>
      </c>
      <c r="B1562" t="s">
        <v>728</v>
      </c>
      <c r="C1562" t="s">
        <v>743</v>
      </c>
      <c r="D1562" t="s">
        <v>58</v>
      </c>
      <c r="E1562" s="2" t="s">
        <v>748</v>
      </c>
      <c r="F1562">
        <f t="shared" si="72"/>
        <v>6</v>
      </c>
      <c r="G1562" s="2">
        <f t="shared" si="73"/>
        <v>3372</v>
      </c>
    </row>
    <row r="1563" spans="1:7" x14ac:dyDescent="0.25">
      <c r="A1563" t="str">
        <f t="shared" si="74"/>
        <v>Alto Biobío Mujer</v>
      </c>
      <c r="B1563" t="s">
        <v>728</v>
      </c>
      <c r="C1563" t="s">
        <v>743</v>
      </c>
      <c r="D1563" t="s">
        <v>56</v>
      </c>
      <c r="E1563" s="2" t="s">
        <v>747</v>
      </c>
      <c r="F1563">
        <f t="shared" si="72"/>
        <v>6</v>
      </c>
      <c r="G1563" s="2">
        <f t="shared" si="73"/>
        <v>3432</v>
      </c>
    </row>
    <row r="1564" spans="1:7" x14ac:dyDescent="0.25">
      <c r="A1564" t="str">
        <f t="shared" si="74"/>
        <v>Alto Biobío Población total</v>
      </c>
      <c r="B1564" t="s">
        <v>728</v>
      </c>
      <c r="C1564" t="s">
        <v>743</v>
      </c>
      <c r="D1564" t="s">
        <v>54</v>
      </c>
      <c r="E1564" s="2" t="s">
        <v>746</v>
      </c>
      <c r="F1564">
        <f t="shared" si="72"/>
        <v>6</v>
      </c>
      <c r="G1564" s="2">
        <f t="shared" si="73"/>
        <v>6804</v>
      </c>
    </row>
    <row r="1565" spans="1:7" x14ac:dyDescent="0.25">
      <c r="A1565" t="str">
        <f t="shared" si="74"/>
        <v>Alto Biobío Población  de 0 a 14 años</v>
      </c>
      <c r="B1565" t="s">
        <v>728</v>
      </c>
      <c r="C1565" t="s">
        <v>743</v>
      </c>
      <c r="D1565" t="s">
        <v>52</v>
      </c>
      <c r="E1565" s="2" t="s">
        <v>745</v>
      </c>
      <c r="F1565">
        <f t="shared" si="72"/>
        <v>6</v>
      </c>
      <c r="G1565" s="2">
        <f t="shared" si="73"/>
        <v>1794</v>
      </c>
    </row>
    <row r="1566" spans="1:7" x14ac:dyDescent="0.25">
      <c r="A1566" t="str">
        <f t="shared" si="74"/>
        <v>Alto Biobío Población  de 15 a 64 años</v>
      </c>
      <c r="B1566" t="s">
        <v>728</v>
      </c>
      <c r="C1566" t="s">
        <v>743</v>
      </c>
      <c r="D1566" t="s">
        <v>50</v>
      </c>
      <c r="E1566" s="2" t="s">
        <v>744</v>
      </c>
      <c r="F1566">
        <f t="shared" si="72"/>
        <v>6</v>
      </c>
      <c r="G1566" s="2">
        <f t="shared" si="73"/>
        <v>4348</v>
      </c>
    </row>
    <row r="1567" spans="1:7" x14ac:dyDescent="0.25">
      <c r="A1567" t="str">
        <f t="shared" si="74"/>
        <v>Alto Biobío Población de 65 años o mas</v>
      </c>
      <c r="B1567" t="s">
        <v>728</v>
      </c>
      <c r="C1567" t="s">
        <v>743</v>
      </c>
      <c r="D1567" t="s">
        <v>46</v>
      </c>
      <c r="E1567" s="2" t="s">
        <v>742</v>
      </c>
      <c r="F1567">
        <f t="shared" si="72"/>
        <v>5</v>
      </c>
      <c r="G1567" s="2">
        <f t="shared" si="73"/>
        <v>662</v>
      </c>
    </row>
    <row r="1568" spans="1:7" x14ac:dyDescent="0.25">
      <c r="A1568" t="str">
        <f t="shared" si="74"/>
        <v>Contulmo Hombre</v>
      </c>
      <c r="B1568" t="s">
        <v>728</v>
      </c>
      <c r="C1568" t="s">
        <v>736</v>
      </c>
      <c r="D1568" t="s">
        <v>58</v>
      </c>
      <c r="E1568" s="2" t="s">
        <v>741</v>
      </c>
      <c r="F1568">
        <f t="shared" si="72"/>
        <v>6</v>
      </c>
      <c r="G1568" s="2">
        <f t="shared" si="73"/>
        <v>3137</v>
      </c>
    </row>
    <row r="1569" spans="1:7" x14ac:dyDescent="0.25">
      <c r="A1569" t="str">
        <f t="shared" si="74"/>
        <v>Contulmo Mujer</v>
      </c>
      <c r="B1569" t="s">
        <v>728</v>
      </c>
      <c r="C1569" t="s">
        <v>736</v>
      </c>
      <c r="D1569" t="s">
        <v>56</v>
      </c>
      <c r="E1569" s="2" t="s">
        <v>740</v>
      </c>
      <c r="F1569">
        <f t="shared" si="72"/>
        <v>6</v>
      </c>
      <c r="G1569" s="2">
        <f t="shared" si="73"/>
        <v>3218</v>
      </c>
    </row>
    <row r="1570" spans="1:7" x14ac:dyDescent="0.25">
      <c r="A1570" t="str">
        <f t="shared" si="74"/>
        <v>Contulmo Población total</v>
      </c>
      <c r="B1570" t="s">
        <v>728</v>
      </c>
      <c r="C1570" t="s">
        <v>736</v>
      </c>
      <c r="D1570" t="s">
        <v>54</v>
      </c>
      <c r="E1570" s="2" t="s">
        <v>739</v>
      </c>
      <c r="F1570">
        <f t="shared" si="72"/>
        <v>6</v>
      </c>
      <c r="G1570" s="2">
        <f t="shared" si="73"/>
        <v>6355</v>
      </c>
    </row>
    <row r="1571" spans="1:7" x14ac:dyDescent="0.25">
      <c r="A1571" t="str">
        <f t="shared" si="74"/>
        <v>Contulmo Población  de 0 a 14 años</v>
      </c>
      <c r="B1571" t="s">
        <v>728</v>
      </c>
      <c r="C1571" t="s">
        <v>736</v>
      </c>
      <c r="D1571" t="s">
        <v>52</v>
      </c>
      <c r="E1571" s="2" t="s">
        <v>738</v>
      </c>
      <c r="F1571">
        <f t="shared" si="72"/>
        <v>6</v>
      </c>
      <c r="G1571" s="2">
        <f t="shared" si="73"/>
        <v>1143</v>
      </c>
    </row>
    <row r="1572" spans="1:7" x14ac:dyDescent="0.25">
      <c r="A1572" t="str">
        <f t="shared" si="74"/>
        <v>Contulmo Población  de 15 a 64 años</v>
      </c>
      <c r="B1572" t="s">
        <v>728</v>
      </c>
      <c r="C1572" t="s">
        <v>736</v>
      </c>
      <c r="D1572" t="s">
        <v>50</v>
      </c>
      <c r="E1572" s="2" t="s">
        <v>737</v>
      </c>
      <c r="F1572">
        <f t="shared" si="72"/>
        <v>6</v>
      </c>
      <c r="G1572" s="2">
        <f t="shared" si="73"/>
        <v>4058</v>
      </c>
    </row>
    <row r="1573" spans="1:7" x14ac:dyDescent="0.25">
      <c r="A1573" t="str">
        <f t="shared" si="74"/>
        <v>Contulmo Población de 65 años o mas</v>
      </c>
      <c r="B1573" t="s">
        <v>728</v>
      </c>
      <c r="C1573" t="s">
        <v>736</v>
      </c>
      <c r="D1573" t="s">
        <v>46</v>
      </c>
      <c r="E1573" s="2" t="s">
        <v>735</v>
      </c>
      <c r="F1573">
        <f t="shared" si="72"/>
        <v>6</v>
      </c>
      <c r="G1573" s="2">
        <f t="shared" si="73"/>
        <v>1154</v>
      </c>
    </row>
    <row r="1574" spans="1:7" x14ac:dyDescent="0.25">
      <c r="A1574" t="str">
        <f t="shared" si="74"/>
        <v>Tirúa Hombre</v>
      </c>
      <c r="B1574" t="s">
        <v>728</v>
      </c>
      <c r="C1574" t="s">
        <v>729</v>
      </c>
      <c r="D1574" t="s">
        <v>58</v>
      </c>
      <c r="E1574" s="2" t="s">
        <v>734</v>
      </c>
      <c r="F1574">
        <f t="shared" si="72"/>
        <v>6</v>
      </c>
      <c r="G1574" s="2">
        <f t="shared" si="73"/>
        <v>5451</v>
      </c>
    </row>
    <row r="1575" spans="1:7" x14ac:dyDescent="0.25">
      <c r="A1575" t="str">
        <f t="shared" si="74"/>
        <v>Tirúa Mujer</v>
      </c>
      <c r="B1575" t="s">
        <v>728</v>
      </c>
      <c r="C1575" t="s">
        <v>729</v>
      </c>
      <c r="D1575" t="s">
        <v>56</v>
      </c>
      <c r="E1575" s="2" t="s">
        <v>733</v>
      </c>
      <c r="F1575">
        <f t="shared" si="72"/>
        <v>6</v>
      </c>
      <c r="G1575" s="2">
        <f t="shared" si="73"/>
        <v>5654</v>
      </c>
    </row>
    <row r="1576" spans="1:7" x14ac:dyDescent="0.25">
      <c r="A1576" t="str">
        <f t="shared" si="74"/>
        <v>Tirúa Población total</v>
      </c>
      <c r="B1576" t="s">
        <v>728</v>
      </c>
      <c r="C1576" t="s">
        <v>729</v>
      </c>
      <c r="D1576" t="s">
        <v>54</v>
      </c>
      <c r="E1576" s="2" t="s">
        <v>732</v>
      </c>
      <c r="F1576">
        <f t="shared" si="72"/>
        <v>7</v>
      </c>
      <c r="G1576" s="2">
        <f t="shared" si="73"/>
        <v>11105</v>
      </c>
    </row>
    <row r="1577" spans="1:7" x14ac:dyDescent="0.25">
      <c r="A1577" t="str">
        <f t="shared" si="74"/>
        <v>Tirúa Población  de 0 a 14 años</v>
      </c>
      <c r="B1577" t="s">
        <v>728</v>
      </c>
      <c r="C1577" t="s">
        <v>729</v>
      </c>
      <c r="D1577" t="s">
        <v>52</v>
      </c>
      <c r="E1577" s="2" t="s">
        <v>731</v>
      </c>
      <c r="F1577">
        <f t="shared" si="72"/>
        <v>6</v>
      </c>
      <c r="G1577" s="2">
        <f t="shared" si="73"/>
        <v>2443</v>
      </c>
    </row>
    <row r="1578" spans="1:7" x14ac:dyDescent="0.25">
      <c r="A1578" t="str">
        <f t="shared" si="74"/>
        <v>Tirúa Población  de 15 a 64 años</v>
      </c>
      <c r="B1578" t="s">
        <v>728</v>
      </c>
      <c r="C1578" t="s">
        <v>729</v>
      </c>
      <c r="D1578" t="s">
        <v>50</v>
      </c>
      <c r="E1578" s="2" t="s">
        <v>730</v>
      </c>
      <c r="F1578">
        <f t="shared" si="72"/>
        <v>6</v>
      </c>
      <c r="G1578" s="2">
        <f t="shared" si="73"/>
        <v>7282</v>
      </c>
    </row>
    <row r="1579" spans="1:7" x14ac:dyDescent="0.25">
      <c r="A1579" t="str">
        <f t="shared" si="74"/>
        <v>Tirúa Población de 65 años o mas</v>
      </c>
      <c r="B1579" t="s">
        <v>728</v>
      </c>
      <c r="C1579" t="s">
        <v>729</v>
      </c>
      <c r="D1579" t="s">
        <v>46</v>
      </c>
      <c r="E1579" s="2" t="s">
        <v>727</v>
      </c>
      <c r="F1579">
        <f t="shared" si="72"/>
        <v>6</v>
      </c>
      <c r="G1579" s="2">
        <f t="shared" si="73"/>
        <v>1380</v>
      </c>
    </row>
    <row r="1580" spans="1:7" x14ac:dyDescent="0.25">
      <c r="A1580" t="str">
        <f t="shared" si="74"/>
        <v>Región De La Araucanía Hombre</v>
      </c>
      <c r="B1580" t="s">
        <v>502</v>
      </c>
      <c r="C1580" t="s">
        <v>502</v>
      </c>
      <c r="D1580" t="s">
        <v>58</v>
      </c>
      <c r="E1580" s="2" t="s">
        <v>726</v>
      </c>
      <c r="F1580">
        <f t="shared" si="72"/>
        <v>8</v>
      </c>
      <c r="G1580" s="2">
        <f t="shared" si="73"/>
        <v>503438</v>
      </c>
    </row>
    <row r="1581" spans="1:7" x14ac:dyDescent="0.25">
      <c r="A1581" t="str">
        <f t="shared" si="74"/>
        <v>Región De La Araucanía Mujer</v>
      </c>
      <c r="B1581" t="s">
        <v>502</v>
      </c>
      <c r="C1581" t="s">
        <v>502</v>
      </c>
      <c r="D1581" t="s">
        <v>56</v>
      </c>
      <c r="E1581" s="2" t="s">
        <v>725</v>
      </c>
      <c r="F1581">
        <f t="shared" si="72"/>
        <v>8</v>
      </c>
      <c r="G1581" s="2">
        <f t="shared" si="73"/>
        <v>528726</v>
      </c>
    </row>
    <row r="1582" spans="1:7" x14ac:dyDescent="0.25">
      <c r="A1582" t="str">
        <f t="shared" si="74"/>
        <v>Región De La Araucanía Población total</v>
      </c>
      <c r="B1582" t="s">
        <v>502</v>
      </c>
      <c r="C1582" t="s">
        <v>502</v>
      </c>
      <c r="D1582" t="s">
        <v>54</v>
      </c>
      <c r="E1582" s="2" t="s">
        <v>724</v>
      </c>
      <c r="F1582">
        <f t="shared" si="72"/>
        <v>9</v>
      </c>
      <c r="G1582" s="2">
        <f t="shared" si="73"/>
        <v>1032164</v>
      </c>
    </row>
    <row r="1583" spans="1:7" x14ac:dyDescent="0.25">
      <c r="A1583" t="str">
        <f t="shared" si="74"/>
        <v>Región De La Araucanía Población  de 0 a 14 años</v>
      </c>
      <c r="B1583" t="s">
        <v>502</v>
      </c>
      <c r="C1583" t="s">
        <v>502</v>
      </c>
      <c r="D1583" t="s">
        <v>52</v>
      </c>
      <c r="E1583" s="2" t="s">
        <v>723</v>
      </c>
      <c r="F1583">
        <f t="shared" si="72"/>
        <v>8</v>
      </c>
      <c r="G1583" s="2">
        <f t="shared" si="73"/>
        <v>196063</v>
      </c>
    </row>
    <row r="1584" spans="1:7" x14ac:dyDescent="0.25">
      <c r="A1584" t="str">
        <f t="shared" si="74"/>
        <v>Región De La Araucanía Población  de 15 a 64 años</v>
      </c>
      <c r="B1584" t="s">
        <v>502</v>
      </c>
      <c r="C1584" t="s">
        <v>502</v>
      </c>
      <c r="D1584" t="s">
        <v>50</v>
      </c>
      <c r="E1584" s="2" t="s">
        <v>722</v>
      </c>
      <c r="F1584">
        <f t="shared" si="72"/>
        <v>8</v>
      </c>
      <c r="G1584" s="2">
        <f t="shared" si="73"/>
        <v>675894</v>
      </c>
    </row>
    <row r="1585" spans="1:7" x14ac:dyDescent="0.25">
      <c r="A1585" t="str">
        <f t="shared" si="74"/>
        <v>Región De La Araucanía Población de 65 años o mas</v>
      </c>
      <c r="B1585" t="s">
        <v>502</v>
      </c>
      <c r="C1585" t="s">
        <v>502</v>
      </c>
      <c r="D1585" t="s">
        <v>46</v>
      </c>
      <c r="E1585" s="2" t="s">
        <v>721</v>
      </c>
      <c r="F1585">
        <f t="shared" si="72"/>
        <v>8</v>
      </c>
      <c r="G1585" s="2">
        <f t="shared" si="73"/>
        <v>160207</v>
      </c>
    </row>
    <row r="1586" spans="1:7" x14ac:dyDescent="0.25">
      <c r="A1586" t="str">
        <f t="shared" si="74"/>
        <v>Renaico Hombre</v>
      </c>
      <c r="B1586" t="s">
        <v>502</v>
      </c>
      <c r="C1586" t="s">
        <v>715</v>
      </c>
      <c r="D1586" t="s">
        <v>58</v>
      </c>
      <c r="E1586" s="2" t="s">
        <v>720</v>
      </c>
      <c r="F1586">
        <f t="shared" si="72"/>
        <v>6</v>
      </c>
      <c r="G1586" s="2">
        <f t="shared" si="73"/>
        <v>5317</v>
      </c>
    </row>
    <row r="1587" spans="1:7" x14ac:dyDescent="0.25">
      <c r="A1587" t="str">
        <f t="shared" si="74"/>
        <v>Renaico Mujer</v>
      </c>
      <c r="B1587" t="s">
        <v>502</v>
      </c>
      <c r="C1587" t="s">
        <v>715</v>
      </c>
      <c r="D1587" t="s">
        <v>56</v>
      </c>
      <c r="E1587" s="2" t="s">
        <v>719</v>
      </c>
      <c r="F1587">
        <f t="shared" si="72"/>
        <v>6</v>
      </c>
      <c r="G1587" s="2">
        <f t="shared" si="73"/>
        <v>5685</v>
      </c>
    </row>
    <row r="1588" spans="1:7" x14ac:dyDescent="0.25">
      <c r="A1588" t="str">
        <f t="shared" si="74"/>
        <v>Renaico Población total</v>
      </c>
      <c r="B1588" t="s">
        <v>502</v>
      </c>
      <c r="C1588" t="s">
        <v>715</v>
      </c>
      <c r="D1588" t="s">
        <v>54</v>
      </c>
      <c r="E1588" s="2" t="s">
        <v>718</v>
      </c>
      <c r="F1588">
        <f t="shared" si="72"/>
        <v>7</v>
      </c>
      <c r="G1588" s="2">
        <f t="shared" si="73"/>
        <v>11002</v>
      </c>
    </row>
    <row r="1589" spans="1:7" x14ac:dyDescent="0.25">
      <c r="A1589" t="str">
        <f t="shared" si="74"/>
        <v>Renaico Población  de 0 a 14 años</v>
      </c>
      <c r="B1589" t="s">
        <v>502</v>
      </c>
      <c r="C1589" t="s">
        <v>715</v>
      </c>
      <c r="D1589" t="s">
        <v>52</v>
      </c>
      <c r="E1589" s="2" t="s">
        <v>717</v>
      </c>
      <c r="F1589">
        <f t="shared" si="72"/>
        <v>6</v>
      </c>
      <c r="G1589" s="2">
        <f t="shared" si="73"/>
        <v>2126</v>
      </c>
    </row>
    <row r="1590" spans="1:7" x14ac:dyDescent="0.25">
      <c r="A1590" t="str">
        <f t="shared" si="74"/>
        <v>Renaico Población  de 15 a 64 años</v>
      </c>
      <c r="B1590" t="s">
        <v>502</v>
      </c>
      <c r="C1590" t="s">
        <v>715</v>
      </c>
      <c r="D1590" t="s">
        <v>50</v>
      </c>
      <c r="E1590" s="2" t="s">
        <v>716</v>
      </c>
      <c r="F1590">
        <f t="shared" si="72"/>
        <v>6</v>
      </c>
      <c r="G1590" s="2">
        <f t="shared" si="73"/>
        <v>7196</v>
      </c>
    </row>
    <row r="1591" spans="1:7" x14ac:dyDescent="0.25">
      <c r="A1591" t="str">
        <f t="shared" si="74"/>
        <v>Renaico Población de 65 años o mas</v>
      </c>
      <c r="B1591" t="s">
        <v>502</v>
      </c>
      <c r="C1591" t="s">
        <v>715</v>
      </c>
      <c r="D1591" t="s">
        <v>46</v>
      </c>
      <c r="E1591" s="2" t="s">
        <v>396</v>
      </c>
      <c r="F1591">
        <f t="shared" si="72"/>
        <v>6</v>
      </c>
      <c r="G1591" s="2">
        <f t="shared" si="73"/>
        <v>1680</v>
      </c>
    </row>
    <row r="1592" spans="1:7" x14ac:dyDescent="0.25">
      <c r="A1592" t="str">
        <f t="shared" si="74"/>
        <v>Angol Hombre</v>
      </c>
      <c r="B1592" t="s">
        <v>502</v>
      </c>
      <c r="C1592" t="s">
        <v>709</v>
      </c>
      <c r="D1592" t="s">
        <v>58</v>
      </c>
      <c r="E1592" s="2" t="s">
        <v>714</v>
      </c>
      <c r="F1592">
        <f t="shared" si="72"/>
        <v>7</v>
      </c>
      <c r="G1592" s="2">
        <f t="shared" si="73"/>
        <v>27488</v>
      </c>
    </row>
    <row r="1593" spans="1:7" x14ac:dyDescent="0.25">
      <c r="A1593" t="str">
        <f t="shared" si="74"/>
        <v>Angol Mujer</v>
      </c>
      <c r="B1593" t="s">
        <v>502</v>
      </c>
      <c r="C1593" t="s">
        <v>709</v>
      </c>
      <c r="D1593" t="s">
        <v>56</v>
      </c>
      <c r="E1593" s="2" t="s">
        <v>713</v>
      </c>
      <c r="F1593">
        <f t="shared" si="72"/>
        <v>7</v>
      </c>
      <c r="G1593" s="2">
        <f t="shared" si="73"/>
        <v>29309</v>
      </c>
    </row>
    <row r="1594" spans="1:7" x14ac:dyDescent="0.25">
      <c r="A1594" t="str">
        <f t="shared" si="74"/>
        <v>Angol Población total</v>
      </c>
      <c r="B1594" t="s">
        <v>502</v>
      </c>
      <c r="C1594" t="s">
        <v>709</v>
      </c>
      <c r="D1594" t="s">
        <v>54</v>
      </c>
      <c r="E1594" s="2" t="s">
        <v>712</v>
      </c>
      <c r="F1594">
        <f t="shared" si="72"/>
        <v>7</v>
      </c>
      <c r="G1594" s="2">
        <f t="shared" si="73"/>
        <v>56797</v>
      </c>
    </row>
    <row r="1595" spans="1:7" x14ac:dyDescent="0.25">
      <c r="A1595" t="str">
        <f t="shared" si="74"/>
        <v>Angol Población  de 0 a 14 años</v>
      </c>
      <c r="B1595" t="s">
        <v>502</v>
      </c>
      <c r="C1595" t="s">
        <v>709</v>
      </c>
      <c r="D1595" t="s">
        <v>52</v>
      </c>
      <c r="E1595" s="2" t="s">
        <v>711</v>
      </c>
      <c r="F1595">
        <f t="shared" si="72"/>
        <v>7</v>
      </c>
      <c r="G1595" s="2">
        <f t="shared" si="73"/>
        <v>11008</v>
      </c>
    </row>
    <row r="1596" spans="1:7" x14ac:dyDescent="0.25">
      <c r="A1596" t="str">
        <f t="shared" si="74"/>
        <v>Angol Población  de 15 a 64 años</v>
      </c>
      <c r="B1596" t="s">
        <v>502</v>
      </c>
      <c r="C1596" t="s">
        <v>709</v>
      </c>
      <c r="D1596" t="s">
        <v>50</v>
      </c>
      <c r="E1596" s="2" t="s">
        <v>710</v>
      </c>
      <c r="F1596">
        <f t="shared" si="72"/>
        <v>7</v>
      </c>
      <c r="G1596" s="2">
        <f t="shared" si="73"/>
        <v>36796</v>
      </c>
    </row>
    <row r="1597" spans="1:7" x14ac:dyDescent="0.25">
      <c r="A1597" t="str">
        <f t="shared" si="74"/>
        <v>Angol Población de 65 años o mas</v>
      </c>
      <c r="B1597" t="s">
        <v>502</v>
      </c>
      <c r="C1597" t="s">
        <v>709</v>
      </c>
      <c r="D1597" t="s">
        <v>46</v>
      </c>
      <c r="E1597" s="2" t="s">
        <v>708</v>
      </c>
      <c r="F1597">
        <f t="shared" si="72"/>
        <v>6</v>
      </c>
      <c r="G1597" s="2">
        <f t="shared" si="73"/>
        <v>8993</v>
      </c>
    </row>
    <row r="1598" spans="1:7" x14ac:dyDescent="0.25">
      <c r="A1598" t="str">
        <f t="shared" si="74"/>
        <v>Collipulli Hombre</v>
      </c>
      <c r="B1598" t="s">
        <v>502</v>
      </c>
      <c r="C1598" t="s">
        <v>702</v>
      </c>
      <c r="D1598" t="s">
        <v>58</v>
      </c>
      <c r="E1598" s="2" t="s">
        <v>707</v>
      </c>
      <c r="F1598">
        <f t="shared" si="72"/>
        <v>7</v>
      </c>
      <c r="G1598" s="2">
        <f t="shared" si="73"/>
        <v>12972</v>
      </c>
    </row>
    <row r="1599" spans="1:7" x14ac:dyDescent="0.25">
      <c r="A1599" t="str">
        <f t="shared" si="74"/>
        <v>Collipulli Mujer</v>
      </c>
      <c r="B1599" t="s">
        <v>502</v>
      </c>
      <c r="C1599" t="s">
        <v>702</v>
      </c>
      <c r="D1599" t="s">
        <v>56</v>
      </c>
      <c r="E1599" s="2" t="s">
        <v>706</v>
      </c>
      <c r="F1599">
        <f t="shared" si="72"/>
        <v>7</v>
      </c>
      <c r="G1599" s="2">
        <f t="shared" si="73"/>
        <v>13586</v>
      </c>
    </row>
    <row r="1600" spans="1:7" x14ac:dyDescent="0.25">
      <c r="A1600" t="str">
        <f t="shared" si="74"/>
        <v>Collipulli Población total</v>
      </c>
      <c r="B1600" t="s">
        <v>502</v>
      </c>
      <c r="C1600" t="s">
        <v>702</v>
      </c>
      <c r="D1600" t="s">
        <v>54</v>
      </c>
      <c r="E1600" s="2" t="s">
        <v>705</v>
      </c>
      <c r="F1600">
        <f t="shared" si="72"/>
        <v>7</v>
      </c>
      <c r="G1600" s="2">
        <f t="shared" si="73"/>
        <v>26558</v>
      </c>
    </row>
    <row r="1601" spans="1:7" x14ac:dyDescent="0.25">
      <c r="A1601" t="str">
        <f t="shared" si="74"/>
        <v>Collipulli Población  de 0 a 14 años</v>
      </c>
      <c r="B1601" t="s">
        <v>502</v>
      </c>
      <c r="C1601" t="s">
        <v>702</v>
      </c>
      <c r="D1601" t="s">
        <v>52</v>
      </c>
      <c r="E1601" s="2" t="s">
        <v>704</v>
      </c>
      <c r="F1601">
        <f t="shared" si="72"/>
        <v>6</v>
      </c>
      <c r="G1601" s="2">
        <f t="shared" si="73"/>
        <v>5471</v>
      </c>
    </row>
    <row r="1602" spans="1:7" x14ac:dyDescent="0.25">
      <c r="A1602" t="str">
        <f t="shared" si="74"/>
        <v>Collipulli Población  de 15 a 64 años</v>
      </c>
      <c r="B1602" t="s">
        <v>502</v>
      </c>
      <c r="C1602" t="s">
        <v>702</v>
      </c>
      <c r="D1602" t="s">
        <v>50</v>
      </c>
      <c r="E1602" s="2" t="s">
        <v>703</v>
      </c>
      <c r="F1602">
        <f t="shared" ref="F1602:F1665" si="75">+FIND(".",E1602)</f>
        <v>7</v>
      </c>
      <c r="G1602" s="2">
        <f t="shared" ref="G1602:G1665" si="76">+LEFT(E1602,(F1602-1))*1</f>
        <v>17077</v>
      </c>
    </row>
    <row r="1603" spans="1:7" x14ac:dyDescent="0.25">
      <c r="A1603" t="str">
        <f t="shared" ref="A1603:A1666" si="77">+C1603&amp;D1603</f>
        <v>Collipulli Población de 65 años o mas</v>
      </c>
      <c r="B1603" t="s">
        <v>502</v>
      </c>
      <c r="C1603" t="s">
        <v>702</v>
      </c>
      <c r="D1603" t="s">
        <v>46</v>
      </c>
      <c r="E1603" s="2" t="s">
        <v>701</v>
      </c>
      <c r="F1603">
        <f t="shared" si="75"/>
        <v>6</v>
      </c>
      <c r="G1603" s="2">
        <f t="shared" si="76"/>
        <v>4010</v>
      </c>
    </row>
    <row r="1604" spans="1:7" x14ac:dyDescent="0.25">
      <c r="A1604" t="str">
        <f t="shared" si="77"/>
        <v>Los Sauces Hombre</v>
      </c>
      <c r="B1604" t="s">
        <v>502</v>
      </c>
      <c r="C1604" t="s">
        <v>695</v>
      </c>
      <c r="D1604" t="s">
        <v>58</v>
      </c>
      <c r="E1604" s="2" t="s">
        <v>700</v>
      </c>
      <c r="F1604">
        <f t="shared" si="75"/>
        <v>6</v>
      </c>
      <c r="G1604" s="2">
        <f t="shared" si="76"/>
        <v>3695</v>
      </c>
    </row>
    <row r="1605" spans="1:7" x14ac:dyDescent="0.25">
      <c r="A1605" t="str">
        <f t="shared" si="77"/>
        <v>Los Sauces Mujer</v>
      </c>
      <c r="B1605" t="s">
        <v>502</v>
      </c>
      <c r="C1605" t="s">
        <v>695</v>
      </c>
      <c r="D1605" t="s">
        <v>56</v>
      </c>
      <c r="E1605" s="2" t="s">
        <v>699</v>
      </c>
      <c r="F1605">
        <f t="shared" si="75"/>
        <v>6</v>
      </c>
      <c r="G1605" s="2">
        <f t="shared" si="76"/>
        <v>3773</v>
      </c>
    </row>
    <row r="1606" spans="1:7" x14ac:dyDescent="0.25">
      <c r="A1606" t="str">
        <f t="shared" si="77"/>
        <v>Los Sauces Población total</v>
      </c>
      <c r="B1606" t="s">
        <v>502</v>
      </c>
      <c r="C1606" t="s">
        <v>695</v>
      </c>
      <c r="D1606" t="s">
        <v>54</v>
      </c>
      <c r="E1606" s="2" t="s">
        <v>698</v>
      </c>
      <c r="F1606">
        <f t="shared" si="75"/>
        <v>6</v>
      </c>
      <c r="G1606" s="2">
        <f t="shared" si="76"/>
        <v>7468</v>
      </c>
    </row>
    <row r="1607" spans="1:7" x14ac:dyDescent="0.25">
      <c r="A1607" t="str">
        <f t="shared" si="77"/>
        <v>Los Sauces Población  de 0 a 14 años</v>
      </c>
      <c r="B1607" t="s">
        <v>502</v>
      </c>
      <c r="C1607" t="s">
        <v>695</v>
      </c>
      <c r="D1607" t="s">
        <v>52</v>
      </c>
      <c r="E1607" s="2" t="s">
        <v>697</v>
      </c>
      <c r="F1607">
        <f t="shared" si="75"/>
        <v>6</v>
      </c>
      <c r="G1607" s="2">
        <f t="shared" si="76"/>
        <v>1304</v>
      </c>
    </row>
    <row r="1608" spans="1:7" x14ac:dyDescent="0.25">
      <c r="A1608" t="str">
        <f t="shared" si="77"/>
        <v>Los Sauces Población  de 15 a 64 años</v>
      </c>
      <c r="B1608" t="s">
        <v>502</v>
      </c>
      <c r="C1608" t="s">
        <v>695</v>
      </c>
      <c r="D1608" t="s">
        <v>50</v>
      </c>
      <c r="E1608" s="2" t="s">
        <v>696</v>
      </c>
      <c r="F1608">
        <f t="shared" si="75"/>
        <v>6</v>
      </c>
      <c r="G1608" s="2">
        <f t="shared" si="76"/>
        <v>4739</v>
      </c>
    </row>
    <row r="1609" spans="1:7" x14ac:dyDescent="0.25">
      <c r="A1609" t="str">
        <f t="shared" si="77"/>
        <v>Los Sauces Población de 65 años o mas</v>
      </c>
      <c r="B1609" t="s">
        <v>502</v>
      </c>
      <c r="C1609" t="s">
        <v>695</v>
      </c>
      <c r="D1609" t="s">
        <v>46</v>
      </c>
      <c r="E1609" s="2" t="s">
        <v>694</v>
      </c>
      <c r="F1609">
        <f t="shared" si="75"/>
        <v>6</v>
      </c>
      <c r="G1609" s="2">
        <f t="shared" si="76"/>
        <v>1425</v>
      </c>
    </row>
    <row r="1610" spans="1:7" x14ac:dyDescent="0.25">
      <c r="A1610" t="str">
        <f t="shared" si="77"/>
        <v>Purén Hombre</v>
      </c>
      <c r="B1610" t="s">
        <v>502</v>
      </c>
      <c r="C1610" t="s">
        <v>689</v>
      </c>
      <c r="D1610" t="s">
        <v>58</v>
      </c>
      <c r="E1610" s="2" t="s">
        <v>693</v>
      </c>
      <c r="F1610">
        <f t="shared" si="75"/>
        <v>6</v>
      </c>
      <c r="G1610" s="2">
        <f t="shared" si="76"/>
        <v>5896</v>
      </c>
    </row>
    <row r="1611" spans="1:7" x14ac:dyDescent="0.25">
      <c r="A1611" t="str">
        <f t="shared" si="77"/>
        <v>Purén Mujer</v>
      </c>
      <c r="B1611" t="s">
        <v>502</v>
      </c>
      <c r="C1611" t="s">
        <v>689</v>
      </c>
      <c r="D1611" t="s">
        <v>56</v>
      </c>
      <c r="E1611" s="2" t="s">
        <v>692</v>
      </c>
      <c r="F1611">
        <f t="shared" si="75"/>
        <v>6</v>
      </c>
      <c r="G1611" s="2">
        <f t="shared" si="76"/>
        <v>6207</v>
      </c>
    </row>
    <row r="1612" spans="1:7" x14ac:dyDescent="0.25">
      <c r="A1612" t="str">
        <f t="shared" si="77"/>
        <v>Purén Población total</v>
      </c>
      <c r="B1612" t="s">
        <v>502</v>
      </c>
      <c r="C1612" t="s">
        <v>689</v>
      </c>
      <c r="D1612" t="s">
        <v>54</v>
      </c>
      <c r="E1612" s="2" t="s">
        <v>691</v>
      </c>
      <c r="F1612">
        <f t="shared" si="75"/>
        <v>7</v>
      </c>
      <c r="G1612" s="2">
        <f t="shared" si="76"/>
        <v>12103</v>
      </c>
    </row>
    <row r="1613" spans="1:7" x14ac:dyDescent="0.25">
      <c r="A1613" t="str">
        <f t="shared" si="77"/>
        <v>Purén Población  de 0 a 14 años</v>
      </c>
      <c r="B1613" t="s">
        <v>502</v>
      </c>
      <c r="C1613" t="s">
        <v>689</v>
      </c>
      <c r="D1613" t="s">
        <v>52</v>
      </c>
      <c r="E1613" s="2" t="s">
        <v>386</v>
      </c>
      <c r="F1613">
        <f t="shared" si="75"/>
        <v>6</v>
      </c>
      <c r="G1613" s="2">
        <f t="shared" si="76"/>
        <v>2284</v>
      </c>
    </row>
    <row r="1614" spans="1:7" x14ac:dyDescent="0.25">
      <c r="A1614" t="str">
        <f t="shared" si="77"/>
        <v>Purén Población  de 15 a 64 años</v>
      </c>
      <c r="B1614" t="s">
        <v>502</v>
      </c>
      <c r="C1614" t="s">
        <v>689</v>
      </c>
      <c r="D1614" t="s">
        <v>50</v>
      </c>
      <c r="E1614" s="2" t="s">
        <v>690</v>
      </c>
      <c r="F1614">
        <f t="shared" si="75"/>
        <v>6</v>
      </c>
      <c r="G1614" s="2">
        <f t="shared" si="76"/>
        <v>7594</v>
      </c>
    </row>
    <row r="1615" spans="1:7" x14ac:dyDescent="0.25">
      <c r="A1615" t="str">
        <f t="shared" si="77"/>
        <v>Purén Población de 65 años o mas</v>
      </c>
      <c r="B1615" t="s">
        <v>502</v>
      </c>
      <c r="C1615" t="s">
        <v>689</v>
      </c>
      <c r="D1615" t="s">
        <v>46</v>
      </c>
      <c r="E1615" s="2" t="s">
        <v>688</v>
      </c>
      <c r="F1615">
        <f t="shared" si="75"/>
        <v>6</v>
      </c>
      <c r="G1615" s="2">
        <f t="shared" si="76"/>
        <v>2225</v>
      </c>
    </row>
    <row r="1616" spans="1:7" x14ac:dyDescent="0.25">
      <c r="A1616" t="str">
        <f t="shared" si="77"/>
        <v>Ercilla Hombre</v>
      </c>
      <c r="B1616" t="s">
        <v>502</v>
      </c>
      <c r="C1616" t="s">
        <v>682</v>
      </c>
      <c r="D1616" t="s">
        <v>58</v>
      </c>
      <c r="E1616" s="2" t="s">
        <v>687</v>
      </c>
      <c r="F1616">
        <f t="shared" si="75"/>
        <v>6</v>
      </c>
      <c r="G1616" s="2">
        <f t="shared" si="76"/>
        <v>4137</v>
      </c>
    </row>
    <row r="1617" spans="1:7" x14ac:dyDescent="0.25">
      <c r="A1617" t="str">
        <f t="shared" si="77"/>
        <v>Ercilla Mujer</v>
      </c>
      <c r="B1617" t="s">
        <v>502</v>
      </c>
      <c r="C1617" t="s">
        <v>682</v>
      </c>
      <c r="D1617" t="s">
        <v>56</v>
      </c>
      <c r="E1617" s="2" t="s">
        <v>686</v>
      </c>
      <c r="F1617">
        <f t="shared" si="75"/>
        <v>6</v>
      </c>
      <c r="G1617" s="2">
        <f t="shared" si="76"/>
        <v>4250</v>
      </c>
    </row>
    <row r="1618" spans="1:7" x14ac:dyDescent="0.25">
      <c r="A1618" t="str">
        <f t="shared" si="77"/>
        <v>Ercilla Población total</v>
      </c>
      <c r="B1618" t="s">
        <v>502</v>
      </c>
      <c r="C1618" t="s">
        <v>682</v>
      </c>
      <c r="D1618" t="s">
        <v>54</v>
      </c>
      <c r="E1618" s="2" t="s">
        <v>685</v>
      </c>
      <c r="F1618">
        <f t="shared" si="75"/>
        <v>6</v>
      </c>
      <c r="G1618" s="2">
        <f t="shared" si="76"/>
        <v>8387</v>
      </c>
    </row>
    <row r="1619" spans="1:7" x14ac:dyDescent="0.25">
      <c r="A1619" t="str">
        <f t="shared" si="77"/>
        <v>Ercilla Población  de 0 a 14 años</v>
      </c>
      <c r="B1619" t="s">
        <v>502</v>
      </c>
      <c r="C1619" t="s">
        <v>682</v>
      </c>
      <c r="D1619" t="s">
        <v>52</v>
      </c>
      <c r="E1619" s="2" t="s">
        <v>684</v>
      </c>
      <c r="F1619">
        <f t="shared" si="75"/>
        <v>6</v>
      </c>
      <c r="G1619" s="2">
        <f t="shared" si="76"/>
        <v>1767</v>
      </c>
    </row>
    <row r="1620" spans="1:7" x14ac:dyDescent="0.25">
      <c r="A1620" t="str">
        <f t="shared" si="77"/>
        <v>Ercilla Población  de 15 a 64 años</v>
      </c>
      <c r="B1620" t="s">
        <v>502</v>
      </c>
      <c r="C1620" t="s">
        <v>682</v>
      </c>
      <c r="D1620" t="s">
        <v>50</v>
      </c>
      <c r="E1620" s="2" t="s">
        <v>683</v>
      </c>
      <c r="F1620">
        <f t="shared" si="75"/>
        <v>6</v>
      </c>
      <c r="G1620" s="2">
        <f t="shared" si="76"/>
        <v>5161</v>
      </c>
    </row>
    <row r="1621" spans="1:7" x14ac:dyDescent="0.25">
      <c r="A1621" t="str">
        <f t="shared" si="77"/>
        <v>Ercilla Población de 65 años o mas</v>
      </c>
      <c r="B1621" t="s">
        <v>502</v>
      </c>
      <c r="C1621" t="s">
        <v>682</v>
      </c>
      <c r="D1621" t="s">
        <v>46</v>
      </c>
      <c r="E1621" s="2" t="s">
        <v>681</v>
      </c>
      <c r="F1621">
        <f t="shared" si="75"/>
        <v>6</v>
      </c>
      <c r="G1621" s="2">
        <f t="shared" si="76"/>
        <v>1459</v>
      </c>
    </row>
    <row r="1622" spans="1:7" x14ac:dyDescent="0.25">
      <c r="A1622" t="str">
        <f t="shared" si="77"/>
        <v>Lumaco Hombre</v>
      </c>
      <c r="B1622" t="s">
        <v>502</v>
      </c>
      <c r="C1622" t="s">
        <v>675</v>
      </c>
      <c r="D1622" t="s">
        <v>58</v>
      </c>
      <c r="E1622" s="2" t="s">
        <v>680</v>
      </c>
      <c r="F1622">
        <f t="shared" si="75"/>
        <v>6</v>
      </c>
      <c r="G1622" s="2">
        <f t="shared" si="76"/>
        <v>4983</v>
      </c>
    </row>
    <row r="1623" spans="1:7" x14ac:dyDescent="0.25">
      <c r="A1623" t="str">
        <f t="shared" si="77"/>
        <v>Lumaco Mujer</v>
      </c>
      <c r="B1623" t="s">
        <v>502</v>
      </c>
      <c r="C1623" t="s">
        <v>675</v>
      </c>
      <c r="D1623" t="s">
        <v>56</v>
      </c>
      <c r="E1623" s="2" t="s">
        <v>679</v>
      </c>
      <c r="F1623">
        <f t="shared" si="75"/>
        <v>6</v>
      </c>
      <c r="G1623" s="2">
        <f t="shared" si="76"/>
        <v>4933</v>
      </c>
    </row>
    <row r="1624" spans="1:7" x14ac:dyDescent="0.25">
      <c r="A1624" t="str">
        <f t="shared" si="77"/>
        <v>Lumaco Población total</v>
      </c>
      <c r="B1624" t="s">
        <v>502</v>
      </c>
      <c r="C1624" t="s">
        <v>675</v>
      </c>
      <c r="D1624" t="s">
        <v>54</v>
      </c>
      <c r="E1624" s="2" t="s">
        <v>678</v>
      </c>
      <c r="F1624">
        <f t="shared" si="75"/>
        <v>6</v>
      </c>
      <c r="G1624" s="2">
        <f t="shared" si="76"/>
        <v>9916</v>
      </c>
    </row>
    <row r="1625" spans="1:7" x14ac:dyDescent="0.25">
      <c r="A1625" t="str">
        <f t="shared" si="77"/>
        <v>Lumaco Población  de 0 a 14 años</v>
      </c>
      <c r="B1625" t="s">
        <v>502</v>
      </c>
      <c r="C1625" t="s">
        <v>675</v>
      </c>
      <c r="D1625" t="s">
        <v>52</v>
      </c>
      <c r="E1625" s="2" t="s">
        <v>677</v>
      </c>
      <c r="F1625">
        <f t="shared" si="75"/>
        <v>6</v>
      </c>
      <c r="G1625" s="2">
        <f t="shared" si="76"/>
        <v>1944</v>
      </c>
    </row>
    <row r="1626" spans="1:7" x14ac:dyDescent="0.25">
      <c r="A1626" t="str">
        <f t="shared" si="77"/>
        <v>Lumaco Población  de 15 a 64 años</v>
      </c>
      <c r="B1626" t="s">
        <v>502</v>
      </c>
      <c r="C1626" t="s">
        <v>675</v>
      </c>
      <c r="D1626" t="s">
        <v>50</v>
      </c>
      <c r="E1626" s="2" t="s">
        <v>676</v>
      </c>
      <c r="F1626">
        <f t="shared" si="75"/>
        <v>6</v>
      </c>
      <c r="G1626" s="2">
        <f t="shared" si="76"/>
        <v>6175</v>
      </c>
    </row>
    <row r="1627" spans="1:7" x14ac:dyDescent="0.25">
      <c r="A1627" t="str">
        <f t="shared" si="77"/>
        <v>Lumaco Población de 65 años o mas</v>
      </c>
      <c r="B1627" t="s">
        <v>502</v>
      </c>
      <c r="C1627" t="s">
        <v>675</v>
      </c>
      <c r="D1627" t="s">
        <v>46</v>
      </c>
      <c r="E1627" s="2" t="s">
        <v>674</v>
      </c>
      <c r="F1627">
        <f t="shared" si="75"/>
        <v>6</v>
      </c>
      <c r="G1627" s="2">
        <f t="shared" si="76"/>
        <v>1797</v>
      </c>
    </row>
    <row r="1628" spans="1:7" x14ac:dyDescent="0.25">
      <c r="A1628" t="str">
        <f t="shared" si="77"/>
        <v>Victoria Hombre</v>
      </c>
      <c r="B1628" t="s">
        <v>502</v>
      </c>
      <c r="C1628" t="s">
        <v>668</v>
      </c>
      <c r="D1628" t="s">
        <v>58</v>
      </c>
      <c r="E1628" s="2" t="s">
        <v>673</v>
      </c>
      <c r="F1628">
        <f t="shared" si="75"/>
        <v>7</v>
      </c>
      <c r="G1628" s="2">
        <f t="shared" si="76"/>
        <v>17297</v>
      </c>
    </row>
    <row r="1629" spans="1:7" x14ac:dyDescent="0.25">
      <c r="A1629" t="str">
        <f t="shared" si="77"/>
        <v>Victoria Mujer</v>
      </c>
      <c r="B1629" t="s">
        <v>502</v>
      </c>
      <c r="C1629" t="s">
        <v>668</v>
      </c>
      <c r="D1629" t="s">
        <v>56</v>
      </c>
      <c r="E1629" s="2" t="s">
        <v>672</v>
      </c>
      <c r="F1629">
        <f t="shared" si="75"/>
        <v>7</v>
      </c>
      <c r="G1629" s="2">
        <f t="shared" si="76"/>
        <v>18257</v>
      </c>
    </row>
    <row r="1630" spans="1:7" x14ac:dyDescent="0.25">
      <c r="A1630" t="str">
        <f t="shared" si="77"/>
        <v>Victoria Población total</v>
      </c>
      <c r="B1630" t="s">
        <v>502</v>
      </c>
      <c r="C1630" t="s">
        <v>668</v>
      </c>
      <c r="D1630" t="s">
        <v>54</v>
      </c>
      <c r="E1630" s="2" t="s">
        <v>671</v>
      </c>
      <c r="F1630">
        <f t="shared" si="75"/>
        <v>7</v>
      </c>
      <c r="G1630" s="2">
        <f t="shared" si="76"/>
        <v>35554</v>
      </c>
    </row>
    <row r="1631" spans="1:7" x14ac:dyDescent="0.25">
      <c r="A1631" t="str">
        <f t="shared" si="77"/>
        <v>Victoria Población  de 0 a 14 años</v>
      </c>
      <c r="B1631" t="s">
        <v>502</v>
      </c>
      <c r="C1631" t="s">
        <v>668</v>
      </c>
      <c r="D1631" t="s">
        <v>52</v>
      </c>
      <c r="E1631" s="2" t="s">
        <v>670</v>
      </c>
      <c r="F1631">
        <f t="shared" si="75"/>
        <v>6</v>
      </c>
      <c r="G1631" s="2">
        <f t="shared" si="76"/>
        <v>6371</v>
      </c>
    </row>
    <row r="1632" spans="1:7" x14ac:dyDescent="0.25">
      <c r="A1632" t="str">
        <f t="shared" si="77"/>
        <v>Victoria Población  de 15 a 64 años</v>
      </c>
      <c r="B1632" t="s">
        <v>502</v>
      </c>
      <c r="C1632" t="s">
        <v>668</v>
      </c>
      <c r="D1632" t="s">
        <v>50</v>
      </c>
      <c r="E1632" s="2" t="s">
        <v>669</v>
      </c>
      <c r="F1632">
        <f t="shared" si="75"/>
        <v>7</v>
      </c>
      <c r="G1632" s="2">
        <f t="shared" si="76"/>
        <v>23038</v>
      </c>
    </row>
    <row r="1633" spans="1:7" x14ac:dyDescent="0.25">
      <c r="A1633" t="str">
        <f t="shared" si="77"/>
        <v>Victoria Población de 65 años o mas</v>
      </c>
      <c r="B1633" t="s">
        <v>502</v>
      </c>
      <c r="C1633" t="s">
        <v>668</v>
      </c>
      <c r="D1633" t="s">
        <v>46</v>
      </c>
      <c r="E1633" s="2" t="s">
        <v>667</v>
      </c>
      <c r="F1633">
        <f t="shared" si="75"/>
        <v>6</v>
      </c>
      <c r="G1633" s="2">
        <f t="shared" si="76"/>
        <v>6145</v>
      </c>
    </row>
    <row r="1634" spans="1:7" x14ac:dyDescent="0.25">
      <c r="A1634" t="str">
        <f t="shared" si="77"/>
        <v>Traiguén Hombre</v>
      </c>
      <c r="B1634" t="s">
        <v>502</v>
      </c>
      <c r="C1634" t="s">
        <v>661</v>
      </c>
      <c r="D1634" t="s">
        <v>58</v>
      </c>
      <c r="E1634" s="2" t="s">
        <v>666</v>
      </c>
      <c r="F1634">
        <f t="shared" si="75"/>
        <v>6</v>
      </c>
      <c r="G1634" s="2">
        <f t="shared" si="76"/>
        <v>9329</v>
      </c>
    </row>
    <row r="1635" spans="1:7" x14ac:dyDescent="0.25">
      <c r="A1635" t="str">
        <f t="shared" si="77"/>
        <v>Traiguén Mujer</v>
      </c>
      <c r="B1635" t="s">
        <v>502</v>
      </c>
      <c r="C1635" t="s">
        <v>661</v>
      </c>
      <c r="D1635" t="s">
        <v>56</v>
      </c>
      <c r="E1635" s="2" t="s">
        <v>665</v>
      </c>
      <c r="F1635">
        <f t="shared" si="75"/>
        <v>6</v>
      </c>
      <c r="G1635" s="2">
        <f t="shared" si="76"/>
        <v>9931</v>
      </c>
    </row>
    <row r="1636" spans="1:7" x14ac:dyDescent="0.25">
      <c r="A1636" t="str">
        <f t="shared" si="77"/>
        <v>Traiguén Población total</v>
      </c>
      <c r="B1636" t="s">
        <v>502</v>
      </c>
      <c r="C1636" t="s">
        <v>661</v>
      </c>
      <c r="D1636" t="s">
        <v>54</v>
      </c>
      <c r="E1636" s="2" t="s">
        <v>664</v>
      </c>
      <c r="F1636">
        <f t="shared" si="75"/>
        <v>7</v>
      </c>
      <c r="G1636" s="2">
        <f t="shared" si="76"/>
        <v>19260</v>
      </c>
    </row>
    <row r="1637" spans="1:7" x14ac:dyDescent="0.25">
      <c r="A1637" t="str">
        <f t="shared" si="77"/>
        <v>Traiguén Población  de 0 a 14 años</v>
      </c>
      <c r="B1637" t="s">
        <v>502</v>
      </c>
      <c r="C1637" t="s">
        <v>661</v>
      </c>
      <c r="D1637" t="s">
        <v>52</v>
      </c>
      <c r="E1637" s="2" t="s">
        <v>663</v>
      </c>
      <c r="F1637">
        <f t="shared" si="75"/>
        <v>6</v>
      </c>
      <c r="G1637" s="2">
        <f t="shared" si="76"/>
        <v>3602</v>
      </c>
    </row>
    <row r="1638" spans="1:7" x14ac:dyDescent="0.25">
      <c r="A1638" t="str">
        <f t="shared" si="77"/>
        <v>Traiguén Población  de 15 a 64 años</v>
      </c>
      <c r="B1638" t="s">
        <v>502</v>
      </c>
      <c r="C1638" t="s">
        <v>661</v>
      </c>
      <c r="D1638" t="s">
        <v>50</v>
      </c>
      <c r="E1638" s="2" t="s">
        <v>662</v>
      </c>
      <c r="F1638">
        <f t="shared" si="75"/>
        <v>7</v>
      </c>
      <c r="G1638" s="2">
        <f t="shared" si="76"/>
        <v>11901</v>
      </c>
    </row>
    <row r="1639" spans="1:7" x14ac:dyDescent="0.25">
      <c r="A1639" t="str">
        <f t="shared" si="77"/>
        <v>Traiguén Población de 65 años o mas</v>
      </c>
      <c r="B1639" t="s">
        <v>502</v>
      </c>
      <c r="C1639" t="s">
        <v>661</v>
      </c>
      <c r="D1639" t="s">
        <v>46</v>
      </c>
      <c r="E1639" s="2" t="s">
        <v>365</v>
      </c>
      <c r="F1639">
        <f t="shared" si="75"/>
        <v>6</v>
      </c>
      <c r="G1639" s="2">
        <f t="shared" si="76"/>
        <v>3757</v>
      </c>
    </row>
    <row r="1640" spans="1:7" x14ac:dyDescent="0.25">
      <c r="A1640" t="str">
        <f t="shared" si="77"/>
        <v>Galvarino Hombre</v>
      </c>
      <c r="B1640" t="s">
        <v>502</v>
      </c>
      <c r="C1640" t="s">
        <v>655</v>
      </c>
      <c r="D1640" t="s">
        <v>58</v>
      </c>
      <c r="E1640" s="2" t="s">
        <v>660</v>
      </c>
      <c r="F1640">
        <f t="shared" si="75"/>
        <v>6</v>
      </c>
      <c r="G1640" s="2">
        <f t="shared" si="76"/>
        <v>6252</v>
      </c>
    </row>
    <row r="1641" spans="1:7" x14ac:dyDescent="0.25">
      <c r="A1641" t="str">
        <f t="shared" si="77"/>
        <v>Galvarino Mujer</v>
      </c>
      <c r="B1641" t="s">
        <v>502</v>
      </c>
      <c r="C1641" t="s">
        <v>655</v>
      </c>
      <c r="D1641" t="s">
        <v>56</v>
      </c>
      <c r="E1641" s="2" t="s">
        <v>659</v>
      </c>
      <c r="F1641">
        <f t="shared" si="75"/>
        <v>6</v>
      </c>
      <c r="G1641" s="2">
        <f t="shared" si="76"/>
        <v>6316</v>
      </c>
    </row>
    <row r="1642" spans="1:7" x14ac:dyDescent="0.25">
      <c r="A1642" t="str">
        <f t="shared" si="77"/>
        <v>Galvarino Población total</v>
      </c>
      <c r="B1642" t="s">
        <v>502</v>
      </c>
      <c r="C1642" t="s">
        <v>655</v>
      </c>
      <c r="D1642" t="s">
        <v>54</v>
      </c>
      <c r="E1642" s="2" t="s">
        <v>658</v>
      </c>
      <c r="F1642">
        <f t="shared" si="75"/>
        <v>7</v>
      </c>
      <c r="G1642" s="2">
        <f t="shared" si="76"/>
        <v>12568</v>
      </c>
    </row>
    <row r="1643" spans="1:7" x14ac:dyDescent="0.25">
      <c r="A1643" t="str">
        <f t="shared" si="77"/>
        <v>Galvarino Población  de 0 a 14 años</v>
      </c>
      <c r="B1643" t="s">
        <v>502</v>
      </c>
      <c r="C1643" t="s">
        <v>655</v>
      </c>
      <c r="D1643" t="s">
        <v>52</v>
      </c>
      <c r="E1643" s="2" t="s">
        <v>657</v>
      </c>
      <c r="F1643">
        <f t="shared" si="75"/>
        <v>6</v>
      </c>
      <c r="G1643" s="2">
        <f t="shared" si="76"/>
        <v>2554</v>
      </c>
    </row>
    <row r="1644" spans="1:7" x14ac:dyDescent="0.25">
      <c r="A1644" t="str">
        <f t="shared" si="77"/>
        <v>Galvarino Población  de 15 a 64 años</v>
      </c>
      <c r="B1644" t="s">
        <v>502</v>
      </c>
      <c r="C1644" t="s">
        <v>655</v>
      </c>
      <c r="D1644" t="s">
        <v>50</v>
      </c>
      <c r="E1644" s="2" t="s">
        <v>656</v>
      </c>
      <c r="F1644">
        <f t="shared" si="75"/>
        <v>6</v>
      </c>
      <c r="G1644" s="2">
        <f t="shared" si="76"/>
        <v>7793</v>
      </c>
    </row>
    <row r="1645" spans="1:7" x14ac:dyDescent="0.25">
      <c r="A1645" t="str">
        <f t="shared" si="77"/>
        <v>Galvarino Población de 65 años o mas</v>
      </c>
      <c r="B1645" t="s">
        <v>502</v>
      </c>
      <c r="C1645" t="s">
        <v>655</v>
      </c>
      <c r="D1645" t="s">
        <v>46</v>
      </c>
      <c r="E1645" s="2" t="s">
        <v>637</v>
      </c>
      <c r="F1645">
        <f t="shared" si="75"/>
        <v>6</v>
      </c>
      <c r="G1645" s="2">
        <f t="shared" si="76"/>
        <v>2221</v>
      </c>
    </row>
    <row r="1646" spans="1:7" x14ac:dyDescent="0.25">
      <c r="A1646" t="str">
        <f t="shared" si="77"/>
        <v>Perquenco Hombre</v>
      </c>
      <c r="B1646" t="s">
        <v>502</v>
      </c>
      <c r="C1646" t="s">
        <v>649</v>
      </c>
      <c r="D1646" t="s">
        <v>58</v>
      </c>
      <c r="E1646" s="2" t="s">
        <v>654</v>
      </c>
      <c r="F1646">
        <f t="shared" si="75"/>
        <v>6</v>
      </c>
      <c r="G1646" s="2">
        <f t="shared" si="76"/>
        <v>3576</v>
      </c>
    </row>
    <row r="1647" spans="1:7" x14ac:dyDescent="0.25">
      <c r="A1647" t="str">
        <f t="shared" si="77"/>
        <v>Perquenco Mujer</v>
      </c>
      <c r="B1647" t="s">
        <v>502</v>
      </c>
      <c r="C1647" t="s">
        <v>649</v>
      </c>
      <c r="D1647" t="s">
        <v>56</v>
      </c>
      <c r="E1647" s="2" t="s">
        <v>653</v>
      </c>
      <c r="F1647">
        <f t="shared" si="75"/>
        <v>6</v>
      </c>
      <c r="G1647" s="2">
        <f t="shared" si="76"/>
        <v>3693</v>
      </c>
    </row>
    <row r="1648" spans="1:7" x14ac:dyDescent="0.25">
      <c r="A1648" t="str">
        <f t="shared" si="77"/>
        <v>Perquenco Población total</v>
      </c>
      <c r="B1648" t="s">
        <v>502</v>
      </c>
      <c r="C1648" t="s">
        <v>649</v>
      </c>
      <c r="D1648" t="s">
        <v>54</v>
      </c>
      <c r="E1648" s="2" t="s">
        <v>652</v>
      </c>
      <c r="F1648">
        <f t="shared" si="75"/>
        <v>6</v>
      </c>
      <c r="G1648" s="2">
        <f t="shared" si="76"/>
        <v>7269</v>
      </c>
    </row>
    <row r="1649" spans="1:7" x14ac:dyDescent="0.25">
      <c r="A1649" t="str">
        <f t="shared" si="77"/>
        <v>Perquenco Población  de 0 a 14 años</v>
      </c>
      <c r="B1649" t="s">
        <v>502</v>
      </c>
      <c r="C1649" t="s">
        <v>649</v>
      </c>
      <c r="D1649" t="s">
        <v>52</v>
      </c>
      <c r="E1649" s="2" t="s">
        <v>651</v>
      </c>
      <c r="F1649">
        <f t="shared" si="75"/>
        <v>6</v>
      </c>
      <c r="G1649" s="2">
        <f t="shared" si="76"/>
        <v>1411</v>
      </c>
    </row>
    <row r="1650" spans="1:7" x14ac:dyDescent="0.25">
      <c r="A1650" t="str">
        <f t="shared" si="77"/>
        <v>Perquenco Población  de 15 a 64 años</v>
      </c>
      <c r="B1650" t="s">
        <v>502</v>
      </c>
      <c r="C1650" t="s">
        <v>649</v>
      </c>
      <c r="D1650" t="s">
        <v>50</v>
      </c>
      <c r="E1650" s="2" t="s">
        <v>650</v>
      </c>
      <c r="F1650">
        <f t="shared" si="75"/>
        <v>6</v>
      </c>
      <c r="G1650" s="2">
        <f t="shared" si="76"/>
        <v>4650</v>
      </c>
    </row>
    <row r="1651" spans="1:7" x14ac:dyDescent="0.25">
      <c r="A1651" t="str">
        <f t="shared" si="77"/>
        <v>Perquenco Población de 65 años o mas</v>
      </c>
      <c r="B1651" t="s">
        <v>502</v>
      </c>
      <c r="C1651" t="s">
        <v>649</v>
      </c>
      <c r="D1651" t="s">
        <v>46</v>
      </c>
      <c r="E1651" s="2" t="s">
        <v>648</v>
      </c>
      <c r="F1651">
        <f t="shared" si="75"/>
        <v>6</v>
      </c>
      <c r="G1651" s="2">
        <f t="shared" si="76"/>
        <v>1208</v>
      </c>
    </row>
    <row r="1652" spans="1:7" x14ac:dyDescent="0.25">
      <c r="A1652" t="str">
        <f t="shared" si="77"/>
        <v>Curacautín Hombre</v>
      </c>
      <c r="B1652" t="s">
        <v>502</v>
      </c>
      <c r="C1652" t="s">
        <v>642</v>
      </c>
      <c r="D1652" t="s">
        <v>58</v>
      </c>
      <c r="E1652" s="2" t="s">
        <v>647</v>
      </c>
      <c r="F1652">
        <f t="shared" si="75"/>
        <v>6</v>
      </c>
      <c r="G1652" s="2">
        <f t="shared" si="76"/>
        <v>8868</v>
      </c>
    </row>
    <row r="1653" spans="1:7" x14ac:dyDescent="0.25">
      <c r="A1653" t="str">
        <f t="shared" si="77"/>
        <v>Curacautín Mujer</v>
      </c>
      <c r="B1653" t="s">
        <v>502</v>
      </c>
      <c r="C1653" t="s">
        <v>642</v>
      </c>
      <c r="D1653" t="s">
        <v>56</v>
      </c>
      <c r="E1653" s="2" t="s">
        <v>646</v>
      </c>
      <c r="F1653">
        <f t="shared" si="75"/>
        <v>6</v>
      </c>
      <c r="G1653" s="2">
        <f t="shared" si="76"/>
        <v>9343</v>
      </c>
    </row>
    <row r="1654" spans="1:7" x14ac:dyDescent="0.25">
      <c r="A1654" t="str">
        <f t="shared" si="77"/>
        <v>Curacautín Población total</v>
      </c>
      <c r="B1654" t="s">
        <v>502</v>
      </c>
      <c r="C1654" t="s">
        <v>642</v>
      </c>
      <c r="D1654" t="s">
        <v>54</v>
      </c>
      <c r="E1654" s="2" t="s">
        <v>645</v>
      </c>
      <c r="F1654">
        <f t="shared" si="75"/>
        <v>7</v>
      </c>
      <c r="G1654" s="2">
        <f t="shared" si="76"/>
        <v>18211</v>
      </c>
    </row>
    <row r="1655" spans="1:7" x14ac:dyDescent="0.25">
      <c r="A1655" t="str">
        <f t="shared" si="77"/>
        <v>Curacautín Población  de 0 a 14 años</v>
      </c>
      <c r="B1655" t="s">
        <v>502</v>
      </c>
      <c r="C1655" t="s">
        <v>642</v>
      </c>
      <c r="D1655" t="s">
        <v>52</v>
      </c>
      <c r="E1655" s="2" t="s">
        <v>644</v>
      </c>
      <c r="F1655">
        <f t="shared" si="75"/>
        <v>6</v>
      </c>
      <c r="G1655" s="2">
        <f t="shared" si="76"/>
        <v>3273</v>
      </c>
    </row>
    <row r="1656" spans="1:7" x14ac:dyDescent="0.25">
      <c r="A1656" t="str">
        <f t="shared" si="77"/>
        <v>Curacautín Población  de 15 a 64 años</v>
      </c>
      <c r="B1656" t="s">
        <v>502</v>
      </c>
      <c r="C1656" t="s">
        <v>642</v>
      </c>
      <c r="D1656" t="s">
        <v>50</v>
      </c>
      <c r="E1656" s="2" t="s">
        <v>643</v>
      </c>
      <c r="F1656">
        <f t="shared" si="75"/>
        <v>7</v>
      </c>
      <c r="G1656" s="2">
        <f t="shared" si="76"/>
        <v>11332</v>
      </c>
    </row>
    <row r="1657" spans="1:7" x14ac:dyDescent="0.25">
      <c r="A1657" t="str">
        <f t="shared" si="77"/>
        <v>Curacautín Población de 65 años o mas</v>
      </c>
      <c r="B1657" t="s">
        <v>502</v>
      </c>
      <c r="C1657" t="s">
        <v>642</v>
      </c>
      <c r="D1657" t="s">
        <v>46</v>
      </c>
      <c r="E1657" s="2" t="s">
        <v>641</v>
      </c>
      <c r="F1657">
        <f t="shared" si="75"/>
        <v>6</v>
      </c>
      <c r="G1657" s="2">
        <f t="shared" si="76"/>
        <v>3606</v>
      </c>
    </row>
    <row r="1658" spans="1:7" x14ac:dyDescent="0.25">
      <c r="A1658" t="str">
        <f t="shared" si="77"/>
        <v>Lonquimay Hombre</v>
      </c>
      <c r="B1658" t="s">
        <v>502</v>
      </c>
      <c r="C1658" t="s">
        <v>635</v>
      </c>
      <c r="D1658" t="s">
        <v>58</v>
      </c>
      <c r="E1658" s="2" t="s">
        <v>640</v>
      </c>
      <c r="F1658">
        <f t="shared" si="75"/>
        <v>6</v>
      </c>
      <c r="G1658" s="2">
        <f t="shared" si="76"/>
        <v>5560</v>
      </c>
    </row>
    <row r="1659" spans="1:7" x14ac:dyDescent="0.25">
      <c r="A1659" t="str">
        <f t="shared" si="77"/>
        <v>Lonquimay Mujer</v>
      </c>
      <c r="B1659" t="s">
        <v>502</v>
      </c>
      <c r="C1659" t="s">
        <v>635</v>
      </c>
      <c r="D1659" t="s">
        <v>56</v>
      </c>
      <c r="E1659" s="2" t="s">
        <v>639</v>
      </c>
      <c r="F1659">
        <f t="shared" si="75"/>
        <v>6</v>
      </c>
      <c r="G1659" s="2">
        <f t="shared" si="76"/>
        <v>5549</v>
      </c>
    </row>
    <row r="1660" spans="1:7" x14ac:dyDescent="0.25">
      <c r="A1660" t="str">
        <f t="shared" si="77"/>
        <v>Lonquimay Población total</v>
      </c>
      <c r="B1660" t="s">
        <v>502</v>
      </c>
      <c r="C1660" t="s">
        <v>635</v>
      </c>
      <c r="D1660" t="s">
        <v>54</v>
      </c>
      <c r="E1660" s="2" t="s">
        <v>638</v>
      </c>
      <c r="F1660">
        <f t="shared" si="75"/>
        <v>7</v>
      </c>
      <c r="G1660" s="2">
        <f t="shared" si="76"/>
        <v>11109</v>
      </c>
    </row>
    <row r="1661" spans="1:7" x14ac:dyDescent="0.25">
      <c r="A1661" t="str">
        <f t="shared" si="77"/>
        <v>Lonquimay Población  de 0 a 14 años</v>
      </c>
      <c r="B1661" t="s">
        <v>502</v>
      </c>
      <c r="C1661" t="s">
        <v>635</v>
      </c>
      <c r="D1661" t="s">
        <v>52</v>
      </c>
      <c r="E1661" s="2" t="s">
        <v>637</v>
      </c>
      <c r="F1661">
        <f t="shared" si="75"/>
        <v>6</v>
      </c>
      <c r="G1661" s="2">
        <f t="shared" si="76"/>
        <v>2221</v>
      </c>
    </row>
    <row r="1662" spans="1:7" x14ac:dyDescent="0.25">
      <c r="A1662" t="str">
        <f t="shared" si="77"/>
        <v>Lonquimay Población  de 15 a 64 años</v>
      </c>
      <c r="B1662" t="s">
        <v>502</v>
      </c>
      <c r="C1662" t="s">
        <v>635</v>
      </c>
      <c r="D1662" t="s">
        <v>50</v>
      </c>
      <c r="E1662" s="2" t="s">
        <v>636</v>
      </c>
      <c r="F1662">
        <f t="shared" si="75"/>
        <v>6</v>
      </c>
      <c r="G1662" s="2">
        <f t="shared" si="76"/>
        <v>7135</v>
      </c>
    </row>
    <row r="1663" spans="1:7" x14ac:dyDescent="0.25">
      <c r="A1663" t="str">
        <f t="shared" si="77"/>
        <v>Lonquimay Población de 65 años o mas</v>
      </c>
      <c r="B1663" t="s">
        <v>502</v>
      </c>
      <c r="C1663" t="s">
        <v>635</v>
      </c>
      <c r="D1663" t="s">
        <v>46</v>
      </c>
      <c r="E1663" s="2" t="s">
        <v>634</v>
      </c>
      <c r="F1663">
        <f t="shared" si="75"/>
        <v>6</v>
      </c>
      <c r="G1663" s="2">
        <f t="shared" si="76"/>
        <v>1753</v>
      </c>
    </row>
    <row r="1664" spans="1:7" x14ac:dyDescent="0.25">
      <c r="A1664" t="str">
        <f t="shared" si="77"/>
        <v>Lautaro Hombre</v>
      </c>
      <c r="B1664" t="s">
        <v>502</v>
      </c>
      <c r="C1664" t="s">
        <v>628</v>
      </c>
      <c r="D1664" t="s">
        <v>58</v>
      </c>
      <c r="E1664" s="2" t="s">
        <v>633</v>
      </c>
      <c r="F1664">
        <f t="shared" si="75"/>
        <v>7</v>
      </c>
      <c r="G1664" s="2">
        <f t="shared" si="76"/>
        <v>20404</v>
      </c>
    </row>
    <row r="1665" spans="1:7" x14ac:dyDescent="0.25">
      <c r="A1665" t="str">
        <f t="shared" si="77"/>
        <v>Lautaro Mujer</v>
      </c>
      <c r="B1665" t="s">
        <v>502</v>
      </c>
      <c r="C1665" t="s">
        <v>628</v>
      </c>
      <c r="D1665" t="s">
        <v>56</v>
      </c>
      <c r="E1665" s="2" t="s">
        <v>632</v>
      </c>
      <c r="F1665">
        <f t="shared" si="75"/>
        <v>7</v>
      </c>
      <c r="G1665" s="2">
        <f t="shared" si="76"/>
        <v>21480</v>
      </c>
    </row>
    <row r="1666" spans="1:7" x14ac:dyDescent="0.25">
      <c r="A1666" t="str">
        <f t="shared" si="77"/>
        <v>Lautaro Población total</v>
      </c>
      <c r="B1666" t="s">
        <v>502</v>
      </c>
      <c r="C1666" t="s">
        <v>628</v>
      </c>
      <c r="D1666" t="s">
        <v>54</v>
      </c>
      <c r="E1666" s="2" t="s">
        <v>631</v>
      </c>
      <c r="F1666">
        <f t="shared" ref="F1666:F1729" si="78">+FIND(".",E1666)</f>
        <v>7</v>
      </c>
      <c r="G1666" s="2">
        <f t="shared" ref="G1666:G1729" si="79">+LEFT(E1666,(F1666-1))*1</f>
        <v>41884</v>
      </c>
    </row>
    <row r="1667" spans="1:7" x14ac:dyDescent="0.25">
      <c r="A1667" t="str">
        <f t="shared" ref="A1667:A1730" si="80">+C1667&amp;D1667</f>
        <v>Lautaro Población  de 0 a 14 años</v>
      </c>
      <c r="B1667" t="s">
        <v>502</v>
      </c>
      <c r="C1667" t="s">
        <v>628</v>
      </c>
      <c r="D1667" t="s">
        <v>52</v>
      </c>
      <c r="E1667" s="2" t="s">
        <v>630</v>
      </c>
      <c r="F1667">
        <f t="shared" si="78"/>
        <v>6</v>
      </c>
      <c r="G1667" s="2">
        <f t="shared" si="79"/>
        <v>8480</v>
      </c>
    </row>
    <row r="1668" spans="1:7" x14ac:dyDescent="0.25">
      <c r="A1668" t="str">
        <f t="shared" si="80"/>
        <v>Lautaro Población  de 15 a 64 años</v>
      </c>
      <c r="B1668" t="s">
        <v>502</v>
      </c>
      <c r="C1668" t="s">
        <v>628</v>
      </c>
      <c r="D1668" t="s">
        <v>50</v>
      </c>
      <c r="E1668" s="2" t="s">
        <v>629</v>
      </c>
      <c r="F1668">
        <f t="shared" si="78"/>
        <v>7</v>
      </c>
      <c r="G1668" s="2">
        <f t="shared" si="79"/>
        <v>27270</v>
      </c>
    </row>
    <row r="1669" spans="1:7" x14ac:dyDescent="0.25">
      <c r="A1669" t="str">
        <f t="shared" si="80"/>
        <v>Lautaro Población de 65 años o mas</v>
      </c>
      <c r="B1669" t="s">
        <v>502</v>
      </c>
      <c r="C1669" t="s">
        <v>628</v>
      </c>
      <c r="D1669" t="s">
        <v>46</v>
      </c>
      <c r="E1669" s="2" t="s">
        <v>627</v>
      </c>
      <c r="F1669">
        <f t="shared" si="78"/>
        <v>6</v>
      </c>
      <c r="G1669" s="2">
        <f t="shared" si="79"/>
        <v>6134</v>
      </c>
    </row>
    <row r="1670" spans="1:7" x14ac:dyDescent="0.25">
      <c r="A1670" t="str">
        <f t="shared" si="80"/>
        <v>Cholchol Hombre</v>
      </c>
      <c r="B1670" t="s">
        <v>502</v>
      </c>
      <c r="C1670" t="s">
        <v>621</v>
      </c>
      <c r="D1670" t="s">
        <v>58</v>
      </c>
      <c r="E1670" s="2" t="s">
        <v>626</v>
      </c>
      <c r="F1670">
        <f t="shared" si="78"/>
        <v>6</v>
      </c>
      <c r="G1670" s="2">
        <f t="shared" si="79"/>
        <v>6242</v>
      </c>
    </row>
    <row r="1671" spans="1:7" x14ac:dyDescent="0.25">
      <c r="A1671" t="str">
        <f t="shared" si="80"/>
        <v>Cholchol Mujer</v>
      </c>
      <c r="B1671" t="s">
        <v>502</v>
      </c>
      <c r="C1671" t="s">
        <v>621</v>
      </c>
      <c r="D1671" t="s">
        <v>56</v>
      </c>
      <c r="E1671" s="2" t="s">
        <v>625</v>
      </c>
      <c r="F1671">
        <f t="shared" si="78"/>
        <v>6</v>
      </c>
      <c r="G1671" s="2">
        <f t="shared" si="79"/>
        <v>6405</v>
      </c>
    </row>
    <row r="1672" spans="1:7" x14ac:dyDescent="0.25">
      <c r="A1672" t="str">
        <f t="shared" si="80"/>
        <v>Cholchol Población total</v>
      </c>
      <c r="B1672" t="s">
        <v>502</v>
      </c>
      <c r="C1672" t="s">
        <v>621</v>
      </c>
      <c r="D1672" t="s">
        <v>54</v>
      </c>
      <c r="E1672" s="2" t="s">
        <v>624</v>
      </c>
      <c r="F1672">
        <f t="shared" si="78"/>
        <v>7</v>
      </c>
      <c r="G1672" s="2">
        <f t="shared" si="79"/>
        <v>12647</v>
      </c>
    </row>
    <row r="1673" spans="1:7" x14ac:dyDescent="0.25">
      <c r="A1673" t="str">
        <f t="shared" si="80"/>
        <v>Cholchol Población  de 0 a 14 años</v>
      </c>
      <c r="B1673" t="s">
        <v>502</v>
      </c>
      <c r="C1673" t="s">
        <v>621</v>
      </c>
      <c r="D1673" t="s">
        <v>52</v>
      </c>
      <c r="E1673" s="2" t="s">
        <v>623</v>
      </c>
      <c r="F1673">
        <f t="shared" si="78"/>
        <v>6</v>
      </c>
      <c r="G1673" s="2">
        <f t="shared" si="79"/>
        <v>2616</v>
      </c>
    </row>
    <row r="1674" spans="1:7" x14ac:dyDescent="0.25">
      <c r="A1674" t="str">
        <f t="shared" si="80"/>
        <v>Cholchol Población  de 15 a 64 años</v>
      </c>
      <c r="B1674" t="s">
        <v>502</v>
      </c>
      <c r="C1674" t="s">
        <v>621</v>
      </c>
      <c r="D1674" t="s">
        <v>50</v>
      </c>
      <c r="E1674" s="2" t="s">
        <v>622</v>
      </c>
      <c r="F1674">
        <f t="shared" si="78"/>
        <v>6</v>
      </c>
      <c r="G1674" s="2">
        <f t="shared" si="79"/>
        <v>7800</v>
      </c>
    </row>
    <row r="1675" spans="1:7" x14ac:dyDescent="0.25">
      <c r="A1675" t="str">
        <f t="shared" si="80"/>
        <v>Cholchol Población de 65 años o mas</v>
      </c>
      <c r="B1675" t="s">
        <v>502</v>
      </c>
      <c r="C1675" t="s">
        <v>621</v>
      </c>
      <c r="D1675" t="s">
        <v>46</v>
      </c>
      <c r="E1675" s="2" t="s">
        <v>620</v>
      </c>
      <c r="F1675">
        <f t="shared" si="78"/>
        <v>6</v>
      </c>
      <c r="G1675" s="2">
        <f t="shared" si="79"/>
        <v>2231</v>
      </c>
    </row>
    <row r="1676" spans="1:7" x14ac:dyDescent="0.25">
      <c r="A1676" t="str">
        <f t="shared" si="80"/>
        <v>Vilcún Hombre</v>
      </c>
      <c r="B1676" t="s">
        <v>502</v>
      </c>
      <c r="C1676" t="s">
        <v>614</v>
      </c>
      <c r="D1676" t="s">
        <v>58</v>
      </c>
      <c r="E1676" s="2" t="s">
        <v>619</v>
      </c>
      <c r="F1676">
        <f t="shared" si="78"/>
        <v>7</v>
      </c>
      <c r="G1676" s="2">
        <f t="shared" si="79"/>
        <v>16005</v>
      </c>
    </row>
    <row r="1677" spans="1:7" x14ac:dyDescent="0.25">
      <c r="A1677" t="str">
        <f t="shared" si="80"/>
        <v>Vilcún Mujer</v>
      </c>
      <c r="B1677" t="s">
        <v>502</v>
      </c>
      <c r="C1677" t="s">
        <v>614</v>
      </c>
      <c r="D1677" t="s">
        <v>56</v>
      </c>
      <c r="E1677" s="2" t="s">
        <v>618</v>
      </c>
      <c r="F1677">
        <f t="shared" si="78"/>
        <v>7</v>
      </c>
      <c r="G1677" s="2">
        <f t="shared" si="79"/>
        <v>16737</v>
      </c>
    </row>
    <row r="1678" spans="1:7" x14ac:dyDescent="0.25">
      <c r="A1678" t="str">
        <f t="shared" si="80"/>
        <v>Vilcún Población total</v>
      </c>
      <c r="B1678" t="s">
        <v>502</v>
      </c>
      <c r="C1678" t="s">
        <v>614</v>
      </c>
      <c r="D1678" t="s">
        <v>54</v>
      </c>
      <c r="E1678" s="2" t="s">
        <v>617</v>
      </c>
      <c r="F1678">
        <f t="shared" si="78"/>
        <v>7</v>
      </c>
      <c r="G1678" s="2">
        <f t="shared" si="79"/>
        <v>32742</v>
      </c>
    </row>
    <row r="1679" spans="1:7" x14ac:dyDescent="0.25">
      <c r="A1679" t="str">
        <f t="shared" si="80"/>
        <v>Vilcún Población  de 0 a 14 años</v>
      </c>
      <c r="B1679" t="s">
        <v>502</v>
      </c>
      <c r="C1679" t="s">
        <v>614</v>
      </c>
      <c r="D1679" t="s">
        <v>52</v>
      </c>
      <c r="E1679" s="2" t="s">
        <v>616</v>
      </c>
      <c r="F1679">
        <f t="shared" si="78"/>
        <v>6</v>
      </c>
      <c r="G1679" s="2">
        <f t="shared" si="79"/>
        <v>6724</v>
      </c>
    </row>
    <row r="1680" spans="1:7" x14ac:dyDescent="0.25">
      <c r="A1680" t="str">
        <f t="shared" si="80"/>
        <v>Vilcún Población  de 15 a 64 años</v>
      </c>
      <c r="B1680" t="s">
        <v>502</v>
      </c>
      <c r="C1680" t="s">
        <v>614</v>
      </c>
      <c r="D1680" t="s">
        <v>50</v>
      </c>
      <c r="E1680" s="2" t="s">
        <v>615</v>
      </c>
      <c r="F1680">
        <f t="shared" si="78"/>
        <v>7</v>
      </c>
      <c r="G1680" s="2">
        <f t="shared" si="79"/>
        <v>21336</v>
      </c>
    </row>
    <row r="1681" spans="1:7" x14ac:dyDescent="0.25">
      <c r="A1681" t="str">
        <f t="shared" si="80"/>
        <v>Vilcún Población de 65 años o mas</v>
      </c>
      <c r="B1681" t="s">
        <v>502</v>
      </c>
      <c r="C1681" t="s">
        <v>614</v>
      </c>
      <c r="D1681" t="s">
        <v>46</v>
      </c>
      <c r="E1681" s="2" t="s">
        <v>613</v>
      </c>
      <c r="F1681">
        <f t="shared" si="78"/>
        <v>6</v>
      </c>
      <c r="G1681" s="2">
        <f t="shared" si="79"/>
        <v>4682</v>
      </c>
    </row>
    <row r="1682" spans="1:7" x14ac:dyDescent="0.25">
      <c r="A1682" t="str">
        <f t="shared" si="80"/>
        <v>Carahue Hombre</v>
      </c>
      <c r="B1682" t="s">
        <v>502</v>
      </c>
      <c r="C1682" t="s">
        <v>607</v>
      </c>
      <c r="D1682" t="s">
        <v>58</v>
      </c>
      <c r="E1682" s="2" t="s">
        <v>612</v>
      </c>
      <c r="F1682">
        <f t="shared" si="78"/>
        <v>7</v>
      </c>
      <c r="G1682" s="2">
        <f t="shared" si="79"/>
        <v>12637</v>
      </c>
    </row>
    <row r="1683" spans="1:7" x14ac:dyDescent="0.25">
      <c r="A1683" t="str">
        <f t="shared" si="80"/>
        <v>Carahue Mujer</v>
      </c>
      <c r="B1683" t="s">
        <v>502</v>
      </c>
      <c r="C1683" t="s">
        <v>607</v>
      </c>
      <c r="D1683" t="s">
        <v>56</v>
      </c>
      <c r="E1683" s="2" t="s">
        <v>611</v>
      </c>
      <c r="F1683">
        <f t="shared" si="78"/>
        <v>7</v>
      </c>
      <c r="G1683" s="2">
        <f t="shared" si="79"/>
        <v>12878</v>
      </c>
    </row>
    <row r="1684" spans="1:7" x14ac:dyDescent="0.25">
      <c r="A1684" t="str">
        <f t="shared" si="80"/>
        <v>Carahue Población total</v>
      </c>
      <c r="B1684" t="s">
        <v>502</v>
      </c>
      <c r="C1684" t="s">
        <v>607</v>
      </c>
      <c r="D1684" t="s">
        <v>54</v>
      </c>
      <c r="E1684" s="2" t="s">
        <v>610</v>
      </c>
      <c r="F1684">
        <f t="shared" si="78"/>
        <v>7</v>
      </c>
      <c r="G1684" s="2">
        <f t="shared" si="79"/>
        <v>25515</v>
      </c>
    </row>
    <row r="1685" spans="1:7" x14ac:dyDescent="0.25">
      <c r="A1685" t="str">
        <f t="shared" si="80"/>
        <v>Carahue Población  de 0 a 14 años</v>
      </c>
      <c r="B1685" t="s">
        <v>502</v>
      </c>
      <c r="C1685" t="s">
        <v>607</v>
      </c>
      <c r="D1685" t="s">
        <v>52</v>
      </c>
      <c r="E1685" s="2" t="s">
        <v>609</v>
      </c>
      <c r="F1685">
        <f t="shared" si="78"/>
        <v>6</v>
      </c>
      <c r="G1685" s="2">
        <f t="shared" si="79"/>
        <v>4925</v>
      </c>
    </row>
    <row r="1686" spans="1:7" x14ac:dyDescent="0.25">
      <c r="A1686" t="str">
        <f t="shared" si="80"/>
        <v>Carahue Población  de 15 a 64 años</v>
      </c>
      <c r="B1686" t="s">
        <v>502</v>
      </c>
      <c r="C1686" t="s">
        <v>607</v>
      </c>
      <c r="D1686" t="s">
        <v>50</v>
      </c>
      <c r="E1686" s="2" t="s">
        <v>608</v>
      </c>
      <c r="F1686">
        <f t="shared" si="78"/>
        <v>7</v>
      </c>
      <c r="G1686" s="2">
        <f t="shared" si="79"/>
        <v>15880</v>
      </c>
    </row>
    <row r="1687" spans="1:7" x14ac:dyDescent="0.25">
      <c r="A1687" t="str">
        <f t="shared" si="80"/>
        <v>Carahue Población de 65 años o mas</v>
      </c>
      <c r="B1687" t="s">
        <v>502</v>
      </c>
      <c r="C1687" t="s">
        <v>607</v>
      </c>
      <c r="D1687" t="s">
        <v>46</v>
      </c>
      <c r="E1687" s="2" t="s">
        <v>606</v>
      </c>
      <c r="F1687">
        <f t="shared" si="78"/>
        <v>6</v>
      </c>
      <c r="G1687" s="2">
        <f t="shared" si="79"/>
        <v>4710</v>
      </c>
    </row>
    <row r="1688" spans="1:7" x14ac:dyDescent="0.25">
      <c r="A1688" t="str">
        <f t="shared" si="80"/>
        <v>Temuco Hombre</v>
      </c>
      <c r="B1688" t="s">
        <v>502</v>
      </c>
      <c r="C1688" t="s">
        <v>600</v>
      </c>
      <c r="D1688" t="s">
        <v>58</v>
      </c>
      <c r="E1688" s="2" t="s">
        <v>605</v>
      </c>
      <c r="F1688">
        <f t="shared" si="78"/>
        <v>8</v>
      </c>
      <c r="G1688" s="2">
        <f t="shared" si="79"/>
        <v>149603</v>
      </c>
    </row>
    <row r="1689" spans="1:7" x14ac:dyDescent="0.25">
      <c r="A1689" t="str">
        <f t="shared" si="80"/>
        <v>Temuco Mujer</v>
      </c>
      <c r="B1689" t="s">
        <v>502</v>
      </c>
      <c r="C1689" t="s">
        <v>600</v>
      </c>
      <c r="D1689" t="s">
        <v>56</v>
      </c>
      <c r="E1689" s="2" t="s">
        <v>604</v>
      </c>
      <c r="F1689">
        <f t="shared" si="78"/>
        <v>8</v>
      </c>
      <c r="G1689" s="2">
        <f t="shared" si="79"/>
        <v>160093</v>
      </c>
    </row>
    <row r="1690" spans="1:7" x14ac:dyDescent="0.25">
      <c r="A1690" t="str">
        <f t="shared" si="80"/>
        <v>Temuco Población total</v>
      </c>
      <c r="B1690" t="s">
        <v>502</v>
      </c>
      <c r="C1690" t="s">
        <v>600</v>
      </c>
      <c r="D1690" t="s">
        <v>54</v>
      </c>
      <c r="E1690" s="2" t="s">
        <v>603</v>
      </c>
      <c r="F1690">
        <f t="shared" si="78"/>
        <v>8</v>
      </c>
      <c r="G1690" s="2">
        <f t="shared" si="79"/>
        <v>309696</v>
      </c>
    </row>
    <row r="1691" spans="1:7" x14ac:dyDescent="0.25">
      <c r="A1691" t="str">
        <f t="shared" si="80"/>
        <v>Temuco Población  de 0 a 14 años</v>
      </c>
      <c r="B1691" t="s">
        <v>502</v>
      </c>
      <c r="C1691" t="s">
        <v>600</v>
      </c>
      <c r="D1691" t="s">
        <v>52</v>
      </c>
      <c r="E1691" s="2" t="s">
        <v>602</v>
      </c>
      <c r="F1691">
        <f t="shared" si="78"/>
        <v>7</v>
      </c>
      <c r="G1691" s="2">
        <f t="shared" si="79"/>
        <v>55783</v>
      </c>
    </row>
    <row r="1692" spans="1:7" x14ac:dyDescent="0.25">
      <c r="A1692" t="str">
        <f t="shared" si="80"/>
        <v>Temuco Población  de 15 a 64 años</v>
      </c>
      <c r="B1692" t="s">
        <v>502</v>
      </c>
      <c r="C1692" t="s">
        <v>600</v>
      </c>
      <c r="D1692" t="s">
        <v>50</v>
      </c>
      <c r="E1692" s="2" t="s">
        <v>601</v>
      </c>
      <c r="F1692">
        <f t="shared" si="78"/>
        <v>8</v>
      </c>
      <c r="G1692" s="2">
        <f t="shared" si="79"/>
        <v>212401</v>
      </c>
    </row>
    <row r="1693" spans="1:7" x14ac:dyDescent="0.25">
      <c r="A1693" t="str">
        <f t="shared" si="80"/>
        <v>Temuco Población de 65 años o mas</v>
      </c>
      <c r="B1693" t="s">
        <v>502</v>
      </c>
      <c r="C1693" t="s">
        <v>600</v>
      </c>
      <c r="D1693" t="s">
        <v>46</v>
      </c>
      <c r="E1693" s="2" t="s">
        <v>599</v>
      </c>
      <c r="F1693">
        <f t="shared" si="78"/>
        <v>7</v>
      </c>
      <c r="G1693" s="2">
        <f t="shared" si="79"/>
        <v>41512</v>
      </c>
    </row>
    <row r="1694" spans="1:7" x14ac:dyDescent="0.25">
      <c r="A1694" t="str">
        <f t="shared" si="80"/>
        <v>Nueva Imperial Hombre</v>
      </c>
      <c r="B1694" t="s">
        <v>502</v>
      </c>
      <c r="C1694" t="s">
        <v>593</v>
      </c>
      <c r="D1694" t="s">
        <v>58</v>
      </c>
      <c r="E1694" s="2" t="s">
        <v>598</v>
      </c>
      <c r="F1694">
        <f t="shared" si="78"/>
        <v>7</v>
      </c>
      <c r="G1694" s="2">
        <f t="shared" si="79"/>
        <v>16683</v>
      </c>
    </row>
    <row r="1695" spans="1:7" x14ac:dyDescent="0.25">
      <c r="A1695" t="str">
        <f t="shared" si="80"/>
        <v>Nueva Imperial Mujer</v>
      </c>
      <c r="B1695" t="s">
        <v>502</v>
      </c>
      <c r="C1695" t="s">
        <v>593</v>
      </c>
      <c r="D1695" t="s">
        <v>56</v>
      </c>
      <c r="E1695" s="2" t="s">
        <v>597</v>
      </c>
      <c r="F1695">
        <f t="shared" si="78"/>
        <v>7</v>
      </c>
      <c r="G1695" s="2">
        <f t="shared" si="79"/>
        <v>17468</v>
      </c>
    </row>
    <row r="1696" spans="1:7" x14ac:dyDescent="0.25">
      <c r="A1696" t="str">
        <f t="shared" si="80"/>
        <v>Nueva Imperial Población total</v>
      </c>
      <c r="B1696" t="s">
        <v>502</v>
      </c>
      <c r="C1696" t="s">
        <v>593</v>
      </c>
      <c r="D1696" t="s">
        <v>54</v>
      </c>
      <c r="E1696" s="2" t="s">
        <v>596</v>
      </c>
      <c r="F1696">
        <f t="shared" si="78"/>
        <v>7</v>
      </c>
      <c r="G1696" s="2">
        <f t="shared" si="79"/>
        <v>34151</v>
      </c>
    </row>
    <row r="1697" spans="1:7" x14ac:dyDescent="0.25">
      <c r="A1697" t="str">
        <f t="shared" si="80"/>
        <v>Nueva Imperial Población  de 0 a 14 años</v>
      </c>
      <c r="B1697" t="s">
        <v>502</v>
      </c>
      <c r="C1697" t="s">
        <v>593</v>
      </c>
      <c r="D1697" t="s">
        <v>52</v>
      </c>
      <c r="E1697" s="2" t="s">
        <v>595</v>
      </c>
      <c r="F1697">
        <f t="shared" si="78"/>
        <v>6</v>
      </c>
      <c r="G1697" s="2">
        <f t="shared" si="79"/>
        <v>6706</v>
      </c>
    </row>
    <row r="1698" spans="1:7" x14ac:dyDescent="0.25">
      <c r="A1698" t="str">
        <f t="shared" si="80"/>
        <v>Nueva Imperial Población  de 15 a 64 años</v>
      </c>
      <c r="B1698" t="s">
        <v>502</v>
      </c>
      <c r="C1698" t="s">
        <v>593</v>
      </c>
      <c r="D1698" t="s">
        <v>50</v>
      </c>
      <c r="E1698" s="2" t="s">
        <v>594</v>
      </c>
      <c r="F1698">
        <f t="shared" si="78"/>
        <v>7</v>
      </c>
      <c r="G1698" s="2">
        <f t="shared" si="79"/>
        <v>21461</v>
      </c>
    </row>
    <row r="1699" spans="1:7" x14ac:dyDescent="0.25">
      <c r="A1699" t="str">
        <f t="shared" si="80"/>
        <v>Nueva Imperial Población de 65 años o mas</v>
      </c>
      <c r="B1699" t="s">
        <v>502</v>
      </c>
      <c r="C1699" t="s">
        <v>593</v>
      </c>
      <c r="D1699" t="s">
        <v>46</v>
      </c>
      <c r="E1699" s="2" t="s">
        <v>592</v>
      </c>
      <c r="F1699">
        <f t="shared" si="78"/>
        <v>6</v>
      </c>
      <c r="G1699" s="2">
        <f t="shared" si="79"/>
        <v>5984</v>
      </c>
    </row>
    <row r="1700" spans="1:7" x14ac:dyDescent="0.25">
      <c r="A1700" t="str">
        <f t="shared" si="80"/>
        <v>Padre Las Casas Hombre</v>
      </c>
      <c r="B1700" t="s">
        <v>502</v>
      </c>
      <c r="C1700" t="s">
        <v>586</v>
      </c>
      <c r="D1700" t="s">
        <v>58</v>
      </c>
      <c r="E1700" s="2" t="s">
        <v>591</v>
      </c>
      <c r="F1700">
        <f t="shared" si="78"/>
        <v>7</v>
      </c>
      <c r="G1700" s="2">
        <f t="shared" si="79"/>
        <v>41561</v>
      </c>
    </row>
    <row r="1701" spans="1:7" x14ac:dyDescent="0.25">
      <c r="A1701" t="str">
        <f t="shared" si="80"/>
        <v>Padre Las Casas Mujer</v>
      </c>
      <c r="B1701" t="s">
        <v>502</v>
      </c>
      <c r="C1701" t="s">
        <v>586</v>
      </c>
      <c r="D1701" t="s">
        <v>56</v>
      </c>
      <c r="E1701" s="2" t="s">
        <v>590</v>
      </c>
      <c r="F1701">
        <f t="shared" si="78"/>
        <v>7</v>
      </c>
      <c r="G1701" s="2">
        <f t="shared" si="79"/>
        <v>43812</v>
      </c>
    </row>
    <row r="1702" spans="1:7" x14ac:dyDescent="0.25">
      <c r="A1702" t="str">
        <f t="shared" si="80"/>
        <v>Padre Las Casas Población total</v>
      </c>
      <c r="B1702" t="s">
        <v>502</v>
      </c>
      <c r="C1702" t="s">
        <v>586</v>
      </c>
      <c r="D1702" t="s">
        <v>54</v>
      </c>
      <c r="E1702" s="2" t="s">
        <v>589</v>
      </c>
      <c r="F1702">
        <f t="shared" si="78"/>
        <v>7</v>
      </c>
      <c r="G1702" s="2">
        <f t="shared" si="79"/>
        <v>85373</v>
      </c>
    </row>
    <row r="1703" spans="1:7" x14ac:dyDescent="0.25">
      <c r="A1703" t="str">
        <f t="shared" si="80"/>
        <v>Padre Las Casas Población  de 0 a 14 años</v>
      </c>
      <c r="B1703" t="s">
        <v>502</v>
      </c>
      <c r="C1703" t="s">
        <v>586</v>
      </c>
      <c r="D1703" t="s">
        <v>52</v>
      </c>
      <c r="E1703" s="2" t="s">
        <v>588</v>
      </c>
      <c r="F1703">
        <f t="shared" si="78"/>
        <v>7</v>
      </c>
      <c r="G1703" s="2">
        <f t="shared" si="79"/>
        <v>17937</v>
      </c>
    </row>
    <row r="1704" spans="1:7" x14ac:dyDescent="0.25">
      <c r="A1704" t="str">
        <f t="shared" si="80"/>
        <v>Padre Las Casas Población  de 15 a 64 años</v>
      </c>
      <c r="B1704" t="s">
        <v>502</v>
      </c>
      <c r="C1704" t="s">
        <v>586</v>
      </c>
      <c r="D1704" t="s">
        <v>50</v>
      </c>
      <c r="E1704" s="2" t="s">
        <v>587</v>
      </c>
      <c r="F1704">
        <f t="shared" si="78"/>
        <v>7</v>
      </c>
      <c r="G1704" s="2">
        <f t="shared" si="79"/>
        <v>57044</v>
      </c>
    </row>
    <row r="1705" spans="1:7" x14ac:dyDescent="0.25">
      <c r="A1705" t="str">
        <f t="shared" si="80"/>
        <v>Padre Las Casas Población de 65 años o mas</v>
      </c>
      <c r="B1705" t="s">
        <v>502</v>
      </c>
      <c r="C1705" t="s">
        <v>586</v>
      </c>
      <c r="D1705" t="s">
        <v>46</v>
      </c>
      <c r="E1705" s="2" t="s">
        <v>585</v>
      </c>
      <c r="F1705">
        <f t="shared" si="78"/>
        <v>7</v>
      </c>
      <c r="G1705" s="2">
        <f t="shared" si="79"/>
        <v>10392</v>
      </c>
    </row>
    <row r="1706" spans="1:7" x14ac:dyDescent="0.25">
      <c r="A1706" t="str">
        <f t="shared" si="80"/>
        <v>Saavedra Hombre</v>
      </c>
      <c r="B1706" t="s">
        <v>502</v>
      </c>
      <c r="C1706" t="s">
        <v>579</v>
      </c>
      <c r="D1706" t="s">
        <v>58</v>
      </c>
      <c r="E1706" s="2" t="s">
        <v>584</v>
      </c>
      <c r="F1706">
        <f t="shared" si="78"/>
        <v>6</v>
      </c>
      <c r="G1706" s="2">
        <f t="shared" si="79"/>
        <v>6234</v>
      </c>
    </row>
    <row r="1707" spans="1:7" x14ac:dyDescent="0.25">
      <c r="A1707" t="str">
        <f t="shared" si="80"/>
        <v>Saavedra Mujer</v>
      </c>
      <c r="B1707" t="s">
        <v>502</v>
      </c>
      <c r="C1707" t="s">
        <v>579</v>
      </c>
      <c r="D1707" t="s">
        <v>56</v>
      </c>
      <c r="E1707" s="2" t="s">
        <v>583</v>
      </c>
      <c r="F1707">
        <f t="shared" si="78"/>
        <v>6</v>
      </c>
      <c r="G1707" s="2">
        <f t="shared" si="79"/>
        <v>6426</v>
      </c>
    </row>
    <row r="1708" spans="1:7" x14ac:dyDescent="0.25">
      <c r="A1708" t="str">
        <f t="shared" si="80"/>
        <v>Saavedra Población total</v>
      </c>
      <c r="B1708" t="s">
        <v>502</v>
      </c>
      <c r="C1708" t="s">
        <v>579</v>
      </c>
      <c r="D1708" t="s">
        <v>54</v>
      </c>
      <c r="E1708" s="2" t="s">
        <v>582</v>
      </c>
      <c r="F1708">
        <f t="shared" si="78"/>
        <v>7</v>
      </c>
      <c r="G1708" s="2">
        <f t="shared" si="79"/>
        <v>12660</v>
      </c>
    </row>
    <row r="1709" spans="1:7" x14ac:dyDescent="0.25">
      <c r="A1709" t="str">
        <f t="shared" si="80"/>
        <v>Saavedra Población  de 0 a 14 años</v>
      </c>
      <c r="B1709" t="s">
        <v>502</v>
      </c>
      <c r="C1709" t="s">
        <v>579</v>
      </c>
      <c r="D1709" t="s">
        <v>52</v>
      </c>
      <c r="E1709" s="2" t="s">
        <v>581</v>
      </c>
      <c r="F1709">
        <f t="shared" si="78"/>
        <v>6</v>
      </c>
      <c r="G1709" s="2">
        <f t="shared" si="79"/>
        <v>2458</v>
      </c>
    </row>
    <row r="1710" spans="1:7" x14ac:dyDescent="0.25">
      <c r="A1710" t="str">
        <f t="shared" si="80"/>
        <v>Saavedra Población  de 15 a 64 años</v>
      </c>
      <c r="B1710" t="s">
        <v>502</v>
      </c>
      <c r="C1710" t="s">
        <v>579</v>
      </c>
      <c r="D1710" t="s">
        <v>50</v>
      </c>
      <c r="E1710" s="2" t="s">
        <v>580</v>
      </c>
      <c r="F1710">
        <f t="shared" si="78"/>
        <v>6</v>
      </c>
      <c r="G1710" s="2">
        <f t="shared" si="79"/>
        <v>7679</v>
      </c>
    </row>
    <row r="1711" spans="1:7" x14ac:dyDescent="0.25">
      <c r="A1711" t="str">
        <f t="shared" si="80"/>
        <v>Saavedra Población de 65 años o mas</v>
      </c>
      <c r="B1711" t="s">
        <v>502</v>
      </c>
      <c r="C1711" t="s">
        <v>579</v>
      </c>
      <c r="D1711" t="s">
        <v>46</v>
      </c>
      <c r="E1711" s="2" t="s">
        <v>578</v>
      </c>
      <c r="F1711">
        <f t="shared" si="78"/>
        <v>6</v>
      </c>
      <c r="G1711" s="2">
        <f t="shared" si="79"/>
        <v>2523</v>
      </c>
    </row>
    <row r="1712" spans="1:7" x14ac:dyDescent="0.25">
      <c r="A1712" t="str">
        <f t="shared" si="80"/>
        <v>Melipeuco Hombre</v>
      </c>
      <c r="B1712" t="s">
        <v>502</v>
      </c>
      <c r="C1712" t="s">
        <v>572</v>
      </c>
      <c r="D1712" t="s">
        <v>58</v>
      </c>
      <c r="E1712" s="2" t="s">
        <v>577</v>
      </c>
      <c r="F1712">
        <f t="shared" si="78"/>
        <v>6</v>
      </c>
      <c r="G1712" s="2">
        <f t="shared" si="79"/>
        <v>3132</v>
      </c>
    </row>
    <row r="1713" spans="1:7" x14ac:dyDescent="0.25">
      <c r="A1713" t="str">
        <f t="shared" si="80"/>
        <v>Melipeuco Mujer</v>
      </c>
      <c r="B1713" t="s">
        <v>502</v>
      </c>
      <c r="C1713" t="s">
        <v>572</v>
      </c>
      <c r="D1713" t="s">
        <v>56</v>
      </c>
      <c r="E1713" s="2" t="s">
        <v>576</v>
      </c>
      <c r="F1713">
        <f t="shared" si="78"/>
        <v>6</v>
      </c>
      <c r="G1713" s="2">
        <f t="shared" si="79"/>
        <v>3187</v>
      </c>
    </row>
    <row r="1714" spans="1:7" x14ac:dyDescent="0.25">
      <c r="A1714" t="str">
        <f t="shared" si="80"/>
        <v>Melipeuco Población total</v>
      </c>
      <c r="B1714" t="s">
        <v>502</v>
      </c>
      <c r="C1714" t="s">
        <v>572</v>
      </c>
      <c r="D1714" t="s">
        <v>54</v>
      </c>
      <c r="E1714" s="2" t="s">
        <v>575</v>
      </c>
      <c r="F1714">
        <f t="shared" si="78"/>
        <v>6</v>
      </c>
      <c r="G1714" s="2">
        <f t="shared" si="79"/>
        <v>6319</v>
      </c>
    </row>
    <row r="1715" spans="1:7" x14ac:dyDescent="0.25">
      <c r="A1715" t="str">
        <f t="shared" si="80"/>
        <v>Melipeuco Población  de 0 a 14 años</v>
      </c>
      <c r="B1715" t="s">
        <v>502</v>
      </c>
      <c r="C1715" t="s">
        <v>572</v>
      </c>
      <c r="D1715" t="s">
        <v>52</v>
      </c>
      <c r="E1715" s="2" t="s">
        <v>574</v>
      </c>
      <c r="F1715">
        <f t="shared" si="78"/>
        <v>6</v>
      </c>
      <c r="G1715" s="2">
        <f t="shared" si="79"/>
        <v>1132</v>
      </c>
    </row>
    <row r="1716" spans="1:7" x14ac:dyDescent="0.25">
      <c r="A1716" t="str">
        <f t="shared" si="80"/>
        <v>Melipeuco Población  de 15 a 64 años</v>
      </c>
      <c r="B1716" t="s">
        <v>502</v>
      </c>
      <c r="C1716" t="s">
        <v>572</v>
      </c>
      <c r="D1716" t="s">
        <v>50</v>
      </c>
      <c r="E1716" s="2" t="s">
        <v>573</v>
      </c>
      <c r="F1716">
        <f t="shared" si="78"/>
        <v>6</v>
      </c>
      <c r="G1716" s="2">
        <f t="shared" si="79"/>
        <v>3830</v>
      </c>
    </row>
    <row r="1717" spans="1:7" x14ac:dyDescent="0.25">
      <c r="A1717" t="str">
        <f t="shared" si="80"/>
        <v>Melipeuco Población de 65 años o mas</v>
      </c>
      <c r="B1717" t="s">
        <v>502</v>
      </c>
      <c r="C1717" t="s">
        <v>572</v>
      </c>
      <c r="D1717" t="s">
        <v>46</v>
      </c>
      <c r="E1717" s="2" t="s">
        <v>571</v>
      </c>
      <c r="F1717">
        <f t="shared" si="78"/>
        <v>6</v>
      </c>
      <c r="G1717" s="2">
        <f t="shared" si="79"/>
        <v>1357</v>
      </c>
    </row>
    <row r="1718" spans="1:7" x14ac:dyDescent="0.25">
      <c r="A1718" t="str">
        <f t="shared" si="80"/>
        <v>Cunco Hombre</v>
      </c>
      <c r="B1718" t="s">
        <v>502</v>
      </c>
      <c r="C1718" t="s">
        <v>565</v>
      </c>
      <c r="D1718" t="s">
        <v>58</v>
      </c>
      <c r="E1718" s="2" t="s">
        <v>570</v>
      </c>
      <c r="F1718">
        <f t="shared" si="78"/>
        <v>6</v>
      </c>
      <c r="G1718" s="2">
        <f t="shared" si="79"/>
        <v>8973</v>
      </c>
    </row>
    <row r="1719" spans="1:7" x14ac:dyDescent="0.25">
      <c r="A1719" t="str">
        <f t="shared" si="80"/>
        <v>Cunco Mujer</v>
      </c>
      <c r="B1719" t="s">
        <v>502</v>
      </c>
      <c r="C1719" t="s">
        <v>565</v>
      </c>
      <c r="D1719" t="s">
        <v>56</v>
      </c>
      <c r="E1719" s="2" t="s">
        <v>569</v>
      </c>
      <c r="F1719">
        <f t="shared" si="78"/>
        <v>6</v>
      </c>
      <c r="G1719" s="2">
        <f t="shared" si="79"/>
        <v>9095</v>
      </c>
    </row>
    <row r="1720" spans="1:7" x14ac:dyDescent="0.25">
      <c r="A1720" t="str">
        <f t="shared" si="80"/>
        <v>Cunco Población total</v>
      </c>
      <c r="B1720" t="s">
        <v>502</v>
      </c>
      <c r="C1720" t="s">
        <v>565</v>
      </c>
      <c r="D1720" t="s">
        <v>54</v>
      </c>
      <c r="E1720" s="2" t="s">
        <v>568</v>
      </c>
      <c r="F1720">
        <f t="shared" si="78"/>
        <v>7</v>
      </c>
      <c r="G1720" s="2">
        <f t="shared" si="79"/>
        <v>18068</v>
      </c>
    </row>
    <row r="1721" spans="1:7" x14ac:dyDescent="0.25">
      <c r="A1721" t="str">
        <f t="shared" si="80"/>
        <v>Cunco Población  de 0 a 14 años</v>
      </c>
      <c r="B1721" t="s">
        <v>502</v>
      </c>
      <c r="C1721" t="s">
        <v>565</v>
      </c>
      <c r="D1721" t="s">
        <v>52</v>
      </c>
      <c r="E1721" s="2" t="s">
        <v>567</v>
      </c>
      <c r="F1721">
        <f t="shared" si="78"/>
        <v>6</v>
      </c>
      <c r="G1721" s="2">
        <f t="shared" si="79"/>
        <v>3139</v>
      </c>
    </row>
    <row r="1722" spans="1:7" x14ac:dyDescent="0.25">
      <c r="A1722" t="str">
        <f t="shared" si="80"/>
        <v>Cunco Población  de 15 a 64 años</v>
      </c>
      <c r="B1722" t="s">
        <v>502</v>
      </c>
      <c r="C1722" t="s">
        <v>565</v>
      </c>
      <c r="D1722" t="s">
        <v>50</v>
      </c>
      <c r="E1722" s="2" t="s">
        <v>566</v>
      </c>
      <c r="F1722">
        <f t="shared" si="78"/>
        <v>7</v>
      </c>
      <c r="G1722" s="2">
        <f t="shared" si="79"/>
        <v>11070</v>
      </c>
    </row>
    <row r="1723" spans="1:7" x14ac:dyDescent="0.25">
      <c r="A1723" t="str">
        <f t="shared" si="80"/>
        <v>Cunco Población de 65 años o mas</v>
      </c>
      <c r="B1723" t="s">
        <v>502</v>
      </c>
      <c r="C1723" t="s">
        <v>565</v>
      </c>
      <c r="D1723" t="s">
        <v>46</v>
      </c>
      <c r="E1723" s="2" t="s">
        <v>564</v>
      </c>
      <c r="F1723">
        <f t="shared" si="78"/>
        <v>6</v>
      </c>
      <c r="G1723" s="2">
        <f t="shared" si="79"/>
        <v>3859</v>
      </c>
    </row>
    <row r="1724" spans="1:7" x14ac:dyDescent="0.25">
      <c r="A1724" t="str">
        <f t="shared" si="80"/>
        <v>Freire Hombre</v>
      </c>
      <c r="B1724" t="s">
        <v>502</v>
      </c>
      <c r="C1724" t="s">
        <v>558</v>
      </c>
      <c r="D1724" t="s">
        <v>58</v>
      </c>
      <c r="E1724" s="2" t="s">
        <v>563</v>
      </c>
      <c r="F1724">
        <f t="shared" si="78"/>
        <v>7</v>
      </c>
      <c r="G1724" s="2">
        <f t="shared" si="79"/>
        <v>12669</v>
      </c>
    </row>
    <row r="1725" spans="1:7" x14ac:dyDescent="0.25">
      <c r="A1725" t="str">
        <f t="shared" si="80"/>
        <v>Freire Mujer</v>
      </c>
      <c r="B1725" t="s">
        <v>502</v>
      </c>
      <c r="C1725" t="s">
        <v>558</v>
      </c>
      <c r="D1725" t="s">
        <v>56</v>
      </c>
      <c r="E1725" s="2" t="s">
        <v>562</v>
      </c>
      <c r="F1725">
        <f t="shared" si="78"/>
        <v>7</v>
      </c>
      <c r="G1725" s="2">
        <f t="shared" si="79"/>
        <v>12819</v>
      </c>
    </row>
    <row r="1726" spans="1:7" x14ac:dyDescent="0.25">
      <c r="A1726" t="str">
        <f t="shared" si="80"/>
        <v>Freire Población total</v>
      </c>
      <c r="B1726" t="s">
        <v>502</v>
      </c>
      <c r="C1726" t="s">
        <v>558</v>
      </c>
      <c r="D1726" t="s">
        <v>54</v>
      </c>
      <c r="E1726" s="2" t="s">
        <v>561</v>
      </c>
      <c r="F1726">
        <f t="shared" si="78"/>
        <v>7</v>
      </c>
      <c r="G1726" s="2">
        <f t="shared" si="79"/>
        <v>25488</v>
      </c>
    </row>
    <row r="1727" spans="1:7" x14ac:dyDescent="0.25">
      <c r="A1727" t="str">
        <f t="shared" si="80"/>
        <v>Freire Población  de 0 a 14 años</v>
      </c>
      <c r="B1727" t="s">
        <v>502</v>
      </c>
      <c r="C1727" t="s">
        <v>558</v>
      </c>
      <c r="D1727" t="s">
        <v>52</v>
      </c>
      <c r="E1727" s="2" t="s">
        <v>560</v>
      </c>
      <c r="F1727">
        <f t="shared" si="78"/>
        <v>6</v>
      </c>
      <c r="G1727" s="2">
        <f t="shared" si="79"/>
        <v>4545</v>
      </c>
    </row>
    <row r="1728" spans="1:7" x14ac:dyDescent="0.25">
      <c r="A1728" t="str">
        <f t="shared" si="80"/>
        <v>Freire Población  de 15 a 64 años</v>
      </c>
      <c r="B1728" t="s">
        <v>502</v>
      </c>
      <c r="C1728" t="s">
        <v>558</v>
      </c>
      <c r="D1728" t="s">
        <v>50</v>
      </c>
      <c r="E1728" s="2" t="s">
        <v>559</v>
      </c>
      <c r="F1728">
        <f t="shared" si="78"/>
        <v>7</v>
      </c>
      <c r="G1728" s="2">
        <f t="shared" si="79"/>
        <v>16459</v>
      </c>
    </row>
    <row r="1729" spans="1:7" x14ac:dyDescent="0.25">
      <c r="A1729" t="str">
        <f t="shared" si="80"/>
        <v>Freire Población de 65 años o mas</v>
      </c>
      <c r="B1729" t="s">
        <v>502</v>
      </c>
      <c r="C1729" t="s">
        <v>558</v>
      </c>
      <c r="D1729" t="s">
        <v>46</v>
      </c>
      <c r="E1729" s="2" t="s">
        <v>557</v>
      </c>
      <c r="F1729">
        <f t="shared" si="78"/>
        <v>6</v>
      </c>
      <c r="G1729" s="2">
        <f t="shared" si="79"/>
        <v>4484</v>
      </c>
    </row>
    <row r="1730" spans="1:7" x14ac:dyDescent="0.25">
      <c r="A1730" t="str">
        <f t="shared" si="80"/>
        <v>Pitrufquén Hombre</v>
      </c>
      <c r="B1730" t="s">
        <v>502</v>
      </c>
      <c r="C1730" t="s">
        <v>551</v>
      </c>
      <c r="D1730" t="s">
        <v>58</v>
      </c>
      <c r="E1730" s="2" t="s">
        <v>556</v>
      </c>
      <c r="F1730">
        <f t="shared" ref="F1730:F1793" si="81">+FIND(".",E1730)</f>
        <v>7</v>
      </c>
      <c r="G1730" s="2">
        <f t="shared" ref="G1730:G1793" si="82">+LEFT(E1730,(F1730-1))*1</f>
        <v>12910</v>
      </c>
    </row>
    <row r="1731" spans="1:7" x14ac:dyDescent="0.25">
      <c r="A1731" t="str">
        <f t="shared" ref="A1731:A1794" si="83">+C1731&amp;D1731</f>
        <v>Pitrufquén Mujer</v>
      </c>
      <c r="B1731" t="s">
        <v>502</v>
      </c>
      <c r="C1731" t="s">
        <v>551</v>
      </c>
      <c r="D1731" t="s">
        <v>56</v>
      </c>
      <c r="E1731" s="2" t="s">
        <v>555</v>
      </c>
      <c r="F1731">
        <f t="shared" si="81"/>
        <v>7</v>
      </c>
      <c r="G1731" s="2">
        <f t="shared" si="82"/>
        <v>13707</v>
      </c>
    </row>
    <row r="1732" spans="1:7" x14ac:dyDescent="0.25">
      <c r="A1732" t="str">
        <f t="shared" si="83"/>
        <v>Pitrufquén Población total</v>
      </c>
      <c r="B1732" t="s">
        <v>502</v>
      </c>
      <c r="C1732" t="s">
        <v>551</v>
      </c>
      <c r="D1732" t="s">
        <v>54</v>
      </c>
      <c r="E1732" s="2" t="s">
        <v>554</v>
      </c>
      <c r="F1732">
        <f t="shared" si="81"/>
        <v>7</v>
      </c>
      <c r="G1732" s="2">
        <f t="shared" si="82"/>
        <v>26617</v>
      </c>
    </row>
    <row r="1733" spans="1:7" x14ac:dyDescent="0.25">
      <c r="A1733" t="str">
        <f t="shared" si="83"/>
        <v>Pitrufquén Población  de 0 a 14 años</v>
      </c>
      <c r="B1733" t="s">
        <v>502</v>
      </c>
      <c r="C1733" t="s">
        <v>551</v>
      </c>
      <c r="D1733" t="s">
        <v>52</v>
      </c>
      <c r="E1733" s="2" t="s">
        <v>553</v>
      </c>
      <c r="F1733">
        <f t="shared" si="81"/>
        <v>6</v>
      </c>
      <c r="G1733" s="2">
        <f t="shared" si="82"/>
        <v>4776</v>
      </c>
    </row>
    <row r="1734" spans="1:7" x14ac:dyDescent="0.25">
      <c r="A1734" t="str">
        <f t="shared" si="83"/>
        <v>Pitrufquén Población  de 15 a 64 años</v>
      </c>
      <c r="B1734" t="s">
        <v>502</v>
      </c>
      <c r="C1734" t="s">
        <v>551</v>
      </c>
      <c r="D1734" t="s">
        <v>50</v>
      </c>
      <c r="E1734" s="2" t="s">
        <v>552</v>
      </c>
      <c r="F1734">
        <f t="shared" si="81"/>
        <v>7</v>
      </c>
      <c r="G1734" s="2">
        <f t="shared" si="82"/>
        <v>16872</v>
      </c>
    </row>
    <row r="1735" spans="1:7" x14ac:dyDescent="0.25">
      <c r="A1735" t="str">
        <f t="shared" si="83"/>
        <v>Pitrufquén Población de 65 años o mas</v>
      </c>
      <c r="B1735" t="s">
        <v>502</v>
      </c>
      <c r="C1735" t="s">
        <v>551</v>
      </c>
      <c r="D1735" t="s">
        <v>46</v>
      </c>
      <c r="E1735" s="2" t="s">
        <v>550</v>
      </c>
      <c r="F1735">
        <f t="shared" si="81"/>
        <v>6</v>
      </c>
      <c r="G1735" s="2">
        <f t="shared" si="82"/>
        <v>4969</v>
      </c>
    </row>
    <row r="1736" spans="1:7" x14ac:dyDescent="0.25">
      <c r="A1736" t="str">
        <f t="shared" si="83"/>
        <v>Teodoro Schmidt Hombre</v>
      </c>
      <c r="B1736" t="s">
        <v>502</v>
      </c>
      <c r="C1736" t="s">
        <v>544</v>
      </c>
      <c r="D1736" t="s">
        <v>58</v>
      </c>
      <c r="E1736" s="2" t="s">
        <v>549</v>
      </c>
      <c r="F1736">
        <f t="shared" si="81"/>
        <v>6</v>
      </c>
      <c r="G1736" s="2">
        <f t="shared" si="82"/>
        <v>7802</v>
      </c>
    </row>
    <row r="1737" spans="1:7" x14ac:dyDescent="0.25">
      <c r="A1737" t="str">
        <f t="shared" si="83"/>
        <v>Teodoro Schmidt Mujer</v>
      </c>
      <c r="B1737" t="s">
        <v>502</v>
      </c>
      <c r="C1737" t="s">
        <v>544</v>
      </c>
      <c r="D1737" t="s">
        <v>56</v>
      </c>
      <c r="E1737" s="2" t="s">
        <v>548</v>
      </c>
      <c r="F1737">
        <f t="shared" si="81"/>
        <v>6</v>
      </c>
      <c r="G1737" s="2">
        <f t="shared" si="82"/>
        <v>7942</v>
      </c>
    </row>
    <row r="1738" spans="1:7" x14ac:dyDescent="0.25">
      <c r="A1738" t="str">
        <f t="shared" si="83"/>
        <v>Teodoro Schmidt Población total</v>
      </c>
      <c r="B1738" t="s">
        <v>502</v>
      </c>
      <c r="C1738" t="s">
        <v>544</v>
      </c>
      <c r="D1738" t="s">
        <v>54</v>
      </c>
      <c r="E1738" s="2" t="s">
        <v>547</v>
      </c>
      <c r="F1738">
        <f t="shared" si="81"/>
        <v>7</v>
      </c>
      <c r="G1738" s="2">
        <f t="shared" si="82"/>
        <v>15744</v>
      </c>
    </row>
    <row r="1739" spans="1:7" x14ac:dyDescent="0.25">
      <c r="A1739" t="str">
        <f t="shared" si="83"/>
        <v>Teodoro Schmidt Población  de 0 a 14 años</v>
      </c>
      <c r="B1739" t="s">
        <v>502</v>
      </c>
      <c r="C1739" t="s">
        <v>544</v>
      </c>
      <c r="D1739" t="s">
        <v>52</v>
      </c>
      <c r="E1739" s="2" t="s">
        <v>546</v>
      </c>
      <c r="F1739">
        <f t="shared" si="81"/>
        <v>6</v>
      </c>
      <c r="G1739" s="2">
        <f t="shared" si="82"/>
        <v>2825</v>
      </c>
    </row>
    <row r="1740" spans="1:7" x14ac:dyDescent="0.25">
      <c r="A1740" t="str">
        <f t="shared" si="83"/>
        <v>Teodoro Schmidt Población  de 15 a 64 años</v>
      </c>
      <c r="B1740" t="s">
        <v>502</v>
      </c>
      <c r="C1740" t="s">
        <v>544</v>
      </c>
      <c r="D1740" t="s">
        <v>50</v>
      </c>
      <c r="E1740" s="2" t="s">
        <v>545</v>
      </c>
      <c r="F1740">
        <f t="shared" si="81"/>
        <v>6</v>
      </c>
      <c r="G1740" s="2">
        <f t="shared" si="82"/>
        <v>9685</v>
      </c>
    </row>
    <row r="1741" spans="1:7" x14ac:dyDescent="0.25">
      <c r="A1741" t="str">
        <f t="shared" si="83"/>
        <v>Teodoro Schmidt Población de 65 años o mas</v>
      </c>
      <c r="B1741" t="s">
        <v>502</v>
      </c>
      <c r="C1741" t="s">
        <v>544</v>
      </c>
      <c r="D1741" t="s">
        <v>46</v>
      </c>
      <c r="E1741" s="2" t="s">
        <v>543</v>
      </c>
      <c r="F1741">
        <f t="shared" si="81"/>
        <v>6</v>
      </c>
      <c r="G1741" s="2">
        <f t="shared" si="82"/>
        <v>3234</v>
      </c>
    </row>
    <row r="1742" spans="1:7" x14ac:dyDescent="0.25">
      <c r="A1742" t="str">
        <f t="shared" si="83"/>
        <v>Gorbea Hombre</v>
      </c>
      <c r="B1742" t="s">
        <v>502</v>
      </c>
      <c r="C1742" t="s">
        <v>537</v>
      </c>
      <c r="D1742" t="s">
        <v>58</v>
      </c>
      <c r="E1742" s="2" t="s">
        <v>542</v>
      </c>
      <c r="F1742">
        <f t="shared" si="81"/>
        <v>6</v>
      </c>
      <c r="G1742" s="2">
        <f t="shared" si="82"/>
        <v>7359</v>
      </c>
    </row>
    <row r="1743" spans="1:7" x14ac:dyDescent="0.25">
      <c r="A1743" t="str">
        <f t="shared" si="83"/>
        <v>Gorbea Mujer</v>
      </c>
      <c r="B1743" t="s">
        <v>502</v>
      </c>
      <c r="C1743" t="s">
        <v>537</v>
      </c>
      <c r="D1743" t="s">
        <v>56</v>
      </c>
      <c r="E1743" s="2" t="s">
        <v>541</v>
      </c>
      <c r="F1743">
        <f t="shared" si="81"/>
        <v>6</v>
      </c>
      <c r="G1743" s="2">
        <f t="shared" si="82"/>
        <v>7717</v>
      </c>
    </row>
    <row r="1744" spans="1:7" x14ac:dyDescent="0.25">
      <c r="A1744" t="str">
        <f t="shared" si="83"/>
        <v>Gorbea Población total</v>
      </c>
      <c r="B1744" t="s">
        <v>502</v>
      </c>
      <c r="C1744" t="s">
        <v>537</v>
      </c>
      <c r="D1744" t="s">
        <v>54</v>
      </c>
      <c r="E1744" s="2" t="s">
        <v>540</v>
      </c>
      <c r="F1744">
        <f t="shared" si="81"/>
        <v>7</v>
      </c>
      <c r="G1744" s="2">
        <f t="shared" si="82"/>
        <v>15076</v>
      </c>
    </row>
    <row r="1745" spans="1:7" x14ac:dyDescent="0.25">
      <c r="A1745" t="str">
        <f t="shared" si="83"/>
        <v>Gorbea Población  de 0 a 14 años</v>
      </c>
      <c r="B1745" t="s">
        <v>502</v>
      </c>
      <c r="C1745" t="s">
        <v>537</v>
      </c>
      <c r="D1745" t="s">
        <v>52</v>
      </c>
      <c r="E1745" s="2" t="s">
        <v>539</v>
      </c>
      <c r="F1745">
        <f t="shared" si="81"/>
        <v>6</v>
      </c>
      <c r="G1745" s="2">
        <f t="shared" si="82"/>
        <v>2447</v>
      </c>
    </row>
    <row r="1746" spans="1:7" x14ac:dyDescent="0.25">
      <c r="A1746" t="str">
        <f t="shared" si="83"/>
        <v>Gorbea Población  de 15 a 64 años</v>
      </c>
      <c r="B1746" t="s">
        <v>502</v>
      </c>
      <c r="C1746" t="s">
        <v>537</v>
      </c>
      <c r="D1746" t="s">
        <v>50</v>
      </c>
      <c r="E1746" s="2" t="s">
        <v>538</v>
      </c>
      <c r="F1746">
        <f t="shared" si="81"/>
        <v>6</v>
      </c>
      <c r="G1746" s="2">
        <f t="shared" si="82"/>
        <v>9535</v>
      </c>
    </row>
    <row r="1747" spans="1:7" x14ac:dyDescent="0.25">
      <c r="A1747" t="str">
        <f t="shared" si="83"/>
        <v>Gorbea Población de 65 años o mas</v>
      </c>
      <c r="B1747" t="s">
        <v>502</v>
      </c>
      <c r="C1747" t="s">
        <v>537</v>
      </c>
      <c r="D1747" t="s">
        <v>46</v>
      </c>
      <c r="E1747" s="2" t="s">
        <v>536</v>
      </c>
      <c r="F1747">
        <f t="shared" si="81"/>
        <v>6</v>
      </c>
      <c r="G1747" s="2">
        <f t="shared" si="82"/>
        <v>3094</v>
      </c>
    </row>
    <row r="1748" spans="1:7" x14ac:dyDescent="0.25">
      <c r="A1748" t="str">
        <f t="shared" si="83"/>
        <v>Toltén Hombre</v>
      </c>
      <c r="B1748" t="s">
        <v>502</v>
      </c>
      <c r="C1748" t="s">
        <v>530</v>
      </c>
      <c r="D1748" t="s">
        <v>58</v>
      </c>
      <c r="E1748" s="2" t="s">
        <v>535</v>
      </c>
      <c r="F1748">
        <f t="shared" si="81"/>
        <v>6</v>
      </c>
      <c r="G1748" s="2">
        <f t="shared" si="82"/>
        <v>4949</v>
      </c>
    </row>
    <row r="1749" spans="1:7" x14ac:dyDescent="0.25">
      <c r="A1749" t="str">
        <f t="shared" si="83"/>
        <v>Toltén Mujer</v>
      </c>
      <c r="B1749" t="s">
        <v>502</v>
      </c>
      <c r="C1749" t="s">
        <v>530</v>
      </c>
      <c r="D1749" t="s">
        <v>56</v>
      </c>
      <c r="E1749" s="2" t="s">
        <v>534</v>
      </c>
      <c r="F1749">
        <f t="shared" si="81"/>
        <v>6</v>
      </c>
      <c r="G1749" s="2">
        <f t="shared" si="82"/>
        <v>4988</v>
      </c>
    </row>
    <row r="1750" spans="1:7" x14ac:dyDescent="0.25">
      <c r="A1750" t="str">
        <f t="shared" si="83"/>
        <v>Toltén Población total</v>
      </c>
      <c r="B1750" t="s">
        <v>502</v>
      </c>
      <c r="C1750" t="s">
        <v>530</v>
      </c>
      <c r="D1750" t="s">
        <v>54</v>
      </c>
      <c r="E1750" s="2" t="s">
        <v>533</v>
      </c>
      <c r="F1750">
        <f t="shared" si="81"/>
        <v>6</v>
      </c>
      <c r="G1750" s="2">
        <f t="shared" si="82"/>
        <v>9937</v>
      </c>
    </row>
    <row r="1751" spans="1:7" x14ac:dyDescent="0.25">
      <c r="A1751" t="str">
        <f t="shared" si="83"/>
        <v>Toltén Población  de 0 a 14 años</v>
      </c>
      <c r="B1751" t="s">
        <v>502</v>
      </c>
      <c r="C1751" t="s">
        <v>530</v>
      </c>
      <c r="D1751" t="s">
        <v>52</v>
      </c>
      <c r="E1751" s="2" t="s">
        <v>532</v>
      </c>
      <c r="F1751">
        <f t="shared" si="81"/>
        <v>6</v>
      </c>
      <c r="G1751" s="2">
        <f t="shared" si="82"/>
        <v>1831</v>
      </c>
    </row>
    <row r="1752" spans="1:7" x14ac:dyDescent="0.25">
      <c r="A1752" t="str">
        <f t="shared" si="83"/>
        <v>Toltén Población  de 15 a 64 años</v>
      </c>
      <c r="B1752" t="s">
        <v>502</v>
      </c>
      <c r="C1752" t="s">
        <v>530</v>
      </c>
      <c r="D1752" t="s">
        <v>50</v>
      </c>
      <c r="E1752" s="2" t="s">
        <v>531</v>
      </c>
      <c r="F1752">
        <f t="shared" si="81"/>
        <v>6</v>
      </c>
      <c r="G1752" s="2">
        <f t="shared" si="82"/>
        <v>6190</v>
      </c>
    </row>
    <row r="1753" spans="1:7" x14ac:dyDescent="0.25">
      <c r="A1753" t="str">
        <f t="shared" si="83"/>
        <v>Toltén Población de 65 años o mas</v>
      </c>
      <c r="B1753" t="s">
        <v>502</v>
      </c>
      <c r="C1753" t="s">
        <v>530</v>
      </c>
      <c r="D1753" t="s">
        <v>46</v>
      </c>
      <c r="E1753" s="2" t="s">
        <v>318</v>
      </c>
      <c r="F1753">
        <f t="shared" si="81"/>
        <v>6</v>
      </c>
      <c r="G1753" s="2">
        <f t="shared" si="82"/>
        <v>1916</v>
      </c>
    </row>
    <row r="1754" spans="1:7" x14ac:dyDescent="0.25">
      <c r="A1754" t="str">
        <f t="shared" si="83"/>
        <v>Pucón Hombre</v>
      </c>
      <c r="B1754" t="s">
        <v>502</v>
      </c>
      <c r="C1754" t="s">
        <v>524</v>
      </c>
      <c r="D1754" t="s">
        <v>58</v>
      </c>
      <c r="E1754" s="2" t="s">
        <v>529</v>
      </c>
      <c r="F1754">
        <f t="shared" si="81"/>
        <v>7</v>
      </c>
      <c r="G1754" s="2">
        <f t="shared" si="82"/>
        <v>15107</v>
      </c>
    </row>
    <row r="1755" spans="1:7" x14ac:dyDescent="0.25">
      <c r="A1755" t="str">
        <f t="shared" si="83"/>
        <v>Pucón Mujer</v>
      </c>
      <c r="B1755" t="s">
        <v>502</v>
      </c>
      <c r="C1755" t="s">
        <v>524</v>
      </c>
      <c r="D1755" t="s">
        <v>56</v>
      </c>
      <c r="E1755" s="2" t="s">
        <v>528</v>
      </c>
      <c r="F1755">
        <f t="shared" si="81"/>
        <v>7</v>
      </c>
      <c r="G1755" s="2">
        <f t="shared" si="82"/>
        <v>15605</v>
      </c>
    </row>
    <row r="1756" spans="1:7" x14ac:dyDescent="0.25">
      <c r="A1756" t="str">
        <f t="shared" si="83"/>
        <v>Pucón Población total</v>
      </c>
      <c r="B1756" t="s">
        <v>502</v>
      </c>
      <c r="C1756" t="s">
        <v>524</v>
      </c>
      <c r="D1756" t="s">
        <v>54</v>
      </c>
      <c r="E1756" s="2" t="s">
        <v>527</v>
      </c>
      <c r="F1756">
        <f t="shared" si="81"/>
        <v>7</v>
      </c>
      <c r="G1756" s="2">
        <f t="shared" si="82"/>
        <v>30712</v>
      </c>
    </row>
    <row r="1757" spans="1:7" x14ac:dyDescent="0.25">
      <c r="A1757" t="str">
        <f t="shared" si="83"/>
        <v>Pucón Población  de 0 a 14 años</v>
      </c>
      <c r="B1757" t="s">
        <v>502</v>
      </c>
      <c r="C1757" t="s">
        <v>524</v>
      </c>
      <c r="D1757" t="s">
        <v>52</v>
      </c>
      <c r="E1757" s="2" t="s">
        <v>526</v>
      </c>
      <c r="F1757">
        <f t="shared" si="81"/>
        <v>6</v>
      </c>
      <c r="G1757" s="2">
        <f t="shared" si="82"/>
        <v>6101</v>
      </c>
    </row>
    <row r="1758" spans="1:7" x14ac:dyDescent="0.25">
      <c r="A1758" t="str">
        <f t="shared" si="83"/>
        <v>Pucón Población  de 15 a 64 años</v>
      </c>
      <c r="B1758" t="s">
        <v>502</v>
      </c>
      <c r="C1758" t="s">
        <v>524</v>
      </c>
      <c r="D1758" t="s">
        <v>50</v>
      </c>
      <c r="E1758" s="2" t="s">
        <v>525</v>
      </c>
      <c r="F1758">
        <f t="shared" si="81"/>
        <v>7</v>
      </c>
      <c r="G1758" s="2">
        <f t="shared" si="82"/>
        <v>20539</v>
      </c>
    </row>
    <row r="1759" spans="1:7" x14ac:dyDescent="0.25">
      <c r="A1759" t="str">
        <f t="shared" si="83"/>
        <v>Pucón Población de 65 años o mas</v>
      </c>
      <c r="B1759" t="s">
        <v>502</v>
      </c>
      <c r="C1759" t="s">
        <v>524</v>
      </c>
      <c r="D1759" t="s">
        <v>46</v>
      </c>
      <c r="E1759" s="2" t="s">
        <v>523</v>
      </c>
      <c r="F1759">
        <f t="shared" si="81"/>
        <v>6</v>
      </c>
      <c r="G1759" s="2">
        <f t="shared" si="82"/>
        <v>4072</v>
      </c>
    </row>
    <row r="1760" spans="1:7" x14ac:dyDescent="0.25">
      <c r="A1760" t="str">
        <f t="shared" si="83"/>
        <v>Villarrica Hombre</v>
      </c>
      <c r="B1760" t="s">
        <v>502</v>
      </c>
      <c r="C1760" t="s">
        <v>517</v>
      </c>
      <c r="D1760" t="s">
        <v>58</v>
      </c>
      <c r="E1760" s="2" t="s">
        <v>522</v>
      </c>
      <c r="F1760">
        <f t="shared" si="81"/>
        <v>7</v>
      </c>
      <c r="G1760" s="2">
        <f t="shared" si="82"/>
        <v>29710</v>
      </c>
    </row>
    <row r="1761" spans="1:7" x14ac:dyDescent="0.25">
      <c r="A1761" t="str">
        <f t="shared" si="83"/>
        <v>Villarrica Mujer</v>
      </c>
      <c r="B1761" t="s">
        <v>502</v>
      </c>
      <c r="C1761" t="s">
        <v>517</v>
      </c>
      <c r="D1761" t="s">
        <v>56</v>
      </c>
      <c r="E1761" s="2" t="s">
        <v>521</v>
      </c>
      <c r="F1761">
        <f t="shared" si="81"/>
        <v>7</v>
      </c>
      <c r="G1761" s="2">
        <f t="shared" si="82"/>
        <v>30965</v>
      </c>
    </row>
    <row r="1762" spans="1:7" x14ac:dyDescent="0.25">
      <c r="A1762" t="str">
        <f t="shared" si="83"/>
        <v>Villarrica Población total</v>
      </c>
      <c r="B1762" t="s">
        <v>502</v>
      </c>
      <c r="C1762" t="s">
        <v>517</v>
      </c>
      <c r="D1762" t="s">
        <v>54</v>
      </c>
      <c r="E1762" s="2" t="s">
        <v>520</v>
      </c>
      <c r="F1762">
        <f t="shared" si="81"/>
        <v>7</v>
      </c>
      <c r="G1762" s="2">
        <f t="shared" si="82"/>
        <v>60675</v>
      </c>
    </row>
    <row r="1763" spans="1:7" x14ac:dyDescent="0.25">
      <c r="A1763" t="str">
        <f t="shared" si="83"/>
        <v>Villarrica Población  de 0 a 14 años</v>
      </c>
      <c r="B1763" t="s">
        <v>502</v>
      </c>
      <c r="C1763" t="s">
        <v>517</v>
      </c>
      <c r="D1763" t="s">
        <v>52</v>
      </c>
      <c r="E1763" s="2" t="s">
        <v>519</v>
      </c>
      <c r="F1763">
        <f t="shared" si="81"/>
        <v>7</v>
      </c>
      <c r="G1763" s="2">
        <f t="shared" si="82"/>
        <v>11900</v>
      </c>
    </row>
    <row r="1764" spans="1:7" x14ac:dyDescent="0.25">
      <c r="A1764" t="str">
        <f t="shared" si="83"/>
        <v>Villarrica Población  de 15 a 64 años</v>
      </c>
      <c r="B1764" t="s">
        <v>502</v>
      </c>
      <c r="C1764" t="s">
        <v>517</v>
      </c>
      <c r="D1764" t="s">
        <v>50</v>
      </c>
      <c r="E1764" s="2" t="s">
        <v>518</v>
      </c>
      <c r="F1764">
        <f t="shared" si="81"/>
        <v>7</v>
      </c>
      <c r="G1764" s="2">
        <f t="shared" si="82"/>
        <v>39731</v>
      </c>
    </row>
    <row r="1765" spans="1:7" x14ac:dyDescent="0.25">
      <c r="A1765" t="str">
        <f t="shared" si="83"/>
        <v>Villarrica Población de 65 años o mas</v>
      </c>
      <c r="B1765" t="s">
        <v>502</v>
      </c>
      <c r="C1765" t="s">
        <v>517</v>
      </c>
      <c r="D1765" t="s">
        <v>46</v>
      </c>
      <c r="E1765" s="2" t="s">
        <v>516</v>
      </c>
      <c r="F1765">
        <f t="shared" si="81"/>
        <v>6</v>
      </c>
      <c r="G1765" s="2">
        <f t="shared" si="82"/>
        <v>9044</v>
      </c>
    </row>
    <row r="1766" spans="1:7" x14ac:dyDescent="0.25">
      <c r="A1766" t="str">
        <f t="shared" si="83"/>
        <v>Curarrehue Hombre</v>
      </c>
      <c r="B1766" t="s">
        <v>502</v>
      </c>
      <c r="C1766" t="s">
        <v>510</v>
      </c>
      <c r="D1766" t="s">
        <v>58</v>
      </c>
      <c r="E1766" s="2" t="s">
        <v>515</v>
      </c>
      <c r="F1766">
        <f t="shared" si="81"/>
        <v>6</v>
      </c>
      <c r="G1766" s="2">
        <f t="shared" si="82"/>
        <v>3936</v>
      </c>
    </row>
    <row r="1767" spans="1:7" x14ac:dyDescent="0.25">
      <c r="A1767" t="str">
        <f t="shared" si="83"/>
        <v>Curarrehue Mujer</v>
      </c>
      <c r="B1767" t="s">
        <v>502</v>
      </c>
      <c r="C1767" t="s">
        <v>510</v>
      </c>
      <c r="D1767" t="s">
        <v>56</v>
      </c>
      <c r="E1767" s="2" t="s">
        <v>514</v>
      </c>
      <c r="F1767">
        <f t="shared" si="81"/>
        <v>6</v>
      </c>
      <c r="G1767" s="2">
        <f t="shared" si="82"/>
        <v>3937</v>
      </c>
    </row>
    <row r="1768" spans="1:7" x14ac:dyDescent="0.25">
      <c r="A1768" t="str">
        <f t="shared" si="83"/>
        <v>Curarrehue Población total</v>
      </c>
      <c r="B1768" t="s">
        <v>502</v>
      </c>
      <c r="C1768" t="s">
        <v>510</v>
      </c>
      <c r="D1768" t="s">
        <v>54</v>
      </c>
      <c r="E1768" s="2" t="s">
        <v>513</v>
      </c>
      <c r="F1768">
        <f t="shared" si="81"/>
        <v>6</v>
      </c>
      <c r="G1768" s="2">
        <f t="shared" si="82"/>
        <v>7873</v>
      </c>
    </row>
    <row r="1769" spans="1:7" x14ac:dyDescent="0.25">
      <c r="A1769" t="str">
        <f t="shared" si="83"/>
        <v>Curarrehue Población  de 0 a 14 años</v>
      </c>
      <c r="B1769" t="s">
        <v>502</v>
      </c>
      <c r="C1769" t="s">
        <v>510</v>
      </c>
      <c r="D1769" t="s">
        <v>52</v>
      </c>
      <c r="E1769" s="2" t="s">
        <v>512</v>
      </c>
      <c r="F1769">
        <f t="shared" si="81"/>
        <v>6</v>
      </c>
      <c r="G1769" s="2">
        <f t="shared" si="82"/>
        <v>1670</v>
      </c>
    </row>
    <row r="1770" spans="1:7" x14ac:dyDescent="0.25">
      <c r="A1770" t="str">
        <f t="shared" si="83"/>
        <v>Curarrehue Población  de 15 a 64 años</v>
      </c>
      <c r="B1770" t="s">
        <v>502</v>
      </c>
      <c r="C1770" t="s">
        <v>510</v>
      </c>
      <c r="D1770" t="s">
        <v>50</v>
      </c>
      <c r="E1770" s="2" t="s">
        <v>511</v>
      </c>
      <c r="F1770">
        <f t="shared" si="81"/>
        <v>6</v>
      </c>
      <c r="G1770" s="2">
        <f t="shared" si="82"/>
        <v>4968</v>
      </c>
    </row>
    <row r="1771" spans="1:7" x14ac:dyDescent="0.25">
      <c r="A1771" t="str">
        <f t="shared" si="83"/>
        <v>Curarrehue Población de 65 años o mas</v>
      </c>
      <c r="B1771" t="s">
        <v>502</v>
      </c>
      <c r="C1771" t="s">
        <v>510</v>
      </c>
      <c r="D1771" t="s">
        <v>46</v>
      </c>
      <c r="E1771" s="2" t="s">
        <v>509</v>
      </c>
      <c r="F1771">
        <f t="shared" si="81"/>
        <v>6</v>
      </c>
      <c r="G1771" s="2">
        <f t="shared" si="82"/>
        <v>1235</v>
      </c>
    </row>
    <row r="1772" spans="1:7" x14ac:dyDescent="0.25">
      <c r="A1772" t="str">
        <f t="shared" si="83"/>
        <v>Loncoche Hombre</v>
      </c>
      <c r="B1772" t="s">
        <v>502</v>
      </c>
      <c r="C1772" t="s">
        <v>503</v>
      </c>
      <c r="D1772" t="s">
        <v>58</v>
      </c>
      <c r="E1772" s="2" t="s">
        <v>508</v>
      </c>
      <c r="F1772">
        <f t="shared" si="81"/>
        <v>7</v>
      </c>
      <c r="G1772" s="2">
        <f t="shared" si="82"/>
        <v>12152</v>
      </c>
    </row>
    <row r="1773" spans="1:7" x14ac:dyDescent="0.25">
      <c r="A1773" t="str">
        <f t="shared" si="83"/>
        <v>Loncoche Mujer</v>
      </c>
      <c r="B1773" t="s">
        <v>502</v>
      </c>
      <c r="C1773" t="s">
        <v>503</v>
      </c>
      <c r="D1773" t="s">
        <v>56</v>
      </c>
      <c r="E1773" s="2" t="s">
        <v>507</v>
      </c>
      <c r="F1773">
        <f t="shared" si="81"/>
        <v>7</v>
      </c>
      <c r="G1773" s="2">
        <f t="shared" si="82"/>
        <v>12633</v>
      </c>
    </row>
    <row r="1774" spans="1:7" x14ac:dyDescent="0.25">
      <c r="A1774" t="str">
        <f t="shared" si="83"/>
        <v>Loncoche Población total</v>
      </c>
      <c r="B1774" t="s">
        <v>502</v>
      </c>
      <c r="C1774" t="s">
        <v>503</v>
      </c>
      <c r="D1774" t="s">
        <v>54</v>
      </c>
      <c r="E1774" s="2" t="s">
        <v>506</v>
      </c>
      <c r="F1774">
        <f t="shared" si="81"/>
        <v>7</v>
      </c>
      <c r="G1774" s="2">
        <f t="shared" si="82"/>
        <v>24785</v>
      </c>
    </row>
    <row r="1775" spans="1:7" x14ac:dyDescent="0.25">
      <c r="A1775" t="str">
        <f t="shared" si="83"/>
        <v>Loncoche Población  de 0 a 14 años</v>
      </c>
      <c r="B1775" t="s">
        <v>502</v>
      </c>
      <c r="C1775" t="s">
        <v>503</v>
      </c>
      <c r="D1775" t="s">
        <v>52</v>
      </c>
      <c r="E1775" s="2" t="s">
        <v>505</v>
      </c>
      <c r="F1775">
        <f t="shared" si="81"/>
        <v>6</v>
      </c>
      <c r="G1775" s="2">
        <f t="shared" si="82"/>
        <v>4732</v>
      </c>
    </row>
    <row r="1776" spans="1:7" x14ac:dyDescent="0.25">
      <c r="A1776" t="str">
        <f t="shared" si="83"/>
        <v>Loncoche Población  de 15 a 64 años</v>
      </c>
      <c r="B1776" t="s">
        <v>502</v>
      </c>
      <c r="C1776" t="s">
        <v>503</v>
      </c>
      <c r="D1776" t="s">
        <v>50</v>
      </c>
      <c r="E1776" s="2" t="s">
        <v>504</v>
      </c>
      <c r="F1776">
        <f t="shared" si="81"/>
        <v>7</v>
      </c>
      <c r="G1776" s="2">
        <f t="shared" si="82"/>
        <v>15557</v>
      </c>
    </row>
    <row r="1777" spans="1:7" x14ac:dyDescent="0.25">
      <c r="A1777" t="str">
        <f t="shared" si="83"/>
        <v>Loncoche Población de 65 años o mas</v>
      </c>
      <c r="B1777" t="s">
        <v>502</v>
      </c>
      <c r="C1777" t="s">
        <v>503</v>
      </c>
      <c r="D1777" t="s">
        <v>46</v>
      </c>
      <c r="E1777" s="2" t="s">
        <v>501</v>
      </c>
      <c r="F1777">
        <f t="shared" si="81"/>
        <v>6</v>
      </c>
      <c r="G1777" s="2">
        <f t="shared" si="82"/>
        <v>4496</v>
      </c>
    </row>
    <row r="1778" spans="1:7" x14ac:dyDescent="0.25">
      <c r="A1778" t="str">
        <f t="shared" si="83"/>
        <v>Región De Los Ríos Hombre</v>
      </c>
      <c r="B1778" t="s">
        <v>424</v>
      </c>
      <c r="C1778" t="s">
        <v>424</v>
      </c>
      <c r="D1778" t="s">
        <v>58</v>
      </c>
      <c r="E1778" s="2" t="s">
        <v>500</v>
      </c>
      <c r="F1778">
        <f t="shared" si="81"/>
        <v>8</v>
      </c>
      <c r="G1778" s="2">
        <f t="shared" si="82"/>
        <v>201540</v>
      </c>
    </row>
    <row r="1779" spans="1:7" x14ac:dyDescent="0.25">
      <c r="A1779" t="str">
        <f t="shared" si="83"/>
        <v>Región De Los Ríos Mujer</v>
      </c>
      <c r="B1779" t="s">
        <v>424</v>
      </c>
      <c r="C1779" t="s">
        <v>424</v>
      </c>
      <c r="D1779" t="s">
        <v>56</v>
      </c>
      <c r="E1779" s="2" t="s">
        <v>499</v>
      </c>
      <c r="F1779">
        <f t="shared" si="81"/>
        <v>8</v>
      </c>
      <c r="G1779" s="2">
        <f t="shared" si="82"/>
        <v>211246</v>
      </c>
    </row>
    <row r="1780" spans="1:7" x14ac:dyDescent="0.25">
      <c r="A1780" t="str">
        <f t="shared" si="83"/>
        <v>Región De Los Ríos Población total</v>
      </c>
      <c r="B1780" t="s">
        <v>424</v>
      </c>
      <c r="C1780" t="s">
        <v>424</v>
      </c>
      <c r="D1780" t="s">
        <v>54</v>
      </c>
      <c r="E1780" s="2" t="s">
        <v>498</v>
      </c>
      <c r="F1780">
        <f t="shared" si="81"/>
        <v>8</v>
      </c>
      <c r="G1780" s="2">
        <f t="shared" si="82"/>
        <v>412786</v>
      </c>
    </row>
    <row r="1781" spans="1:7" x14ac:dyDescent="0.25">
      <c r="A1781" t="str">
        <f t="shared" si="83"/>
        <v>Región De Los Ríos Población  de 0 a 14 años</v>
      </c>
      <c r="B1781" t="s">
        <v>424</v>
      </c>
      <c r="C1781" t="s">
        <v>424</v>
      </c>
      <c r="D1781" t="s">
        <v>52</v>
      </c>
      <c r="E1781" s="2" t="s">
        <v>497</v>
      </c>
      <c r="F1781">
        <f t="shared" si="81"/>
        <v>7</v>
      </c>
      <c r="G1781" s="2">
        <f t="shared" si="82"/>
        <v>73654</v>
      </c>
    </row>
    <row r="1782" spans="1:7" x14ac:dyDescent="0.25">
      <c r="A1782" t="str">
        <f t="shared" si="83"/>
        <v>Región De Los Ríos Población  de 15 a 64 años</v>
      </c>
      <c r="B1782" t="s">
        <v>424</v>
      </c>
      <c r="C1782" t="s">
        <v>424</v>
      </c>
      <c r="D1782" t="s">
        <v>50</v>
      </c>
      <c r="E1782" s="2" t="s">
        <v>496</v>
      </c>
      <c r="F1782">
        <f t="shared" si="81"/>
        <v>8</v>
      </c>
      <c r="G1782" s="2">
        <f t="shared" si="82"/>
        <v>275126</v>
      </c>
    </row>
    <row r="1783" spans="1:7" x14ac:dyDescent="0.25">
      <c r="A1783" t="str">
        <f t="shared" si="83"/>
        <v>Región De Los Ríos Población de 65 años o mas</v>
      </c>
      <c r="B1783" t="s">
        <v>424</v>
      </c>
      <c r="C1783" t="s">
        <v>424</v>
      </c>
      <c r="D1783" t="s">
        <v>46</v>
      </c>
      <c r="E1783" s="2" t="s">
        <v>495</v>
      </c>
      <c r="F1783">
        <f t="shared" si="81"/>
        <v>7</v>
      </c>
      <c r="G1783" s="2">
        <f t="shared" si="82"/>
        <v>64006</v>
      </c>
    </row>
    <row r="1784" spans="1:7" x14ac:dyDescent="0.25">
      <c r="A1784" t="str">
        <f t="shared" si="83"/>
        <v>Mariquina Hombre</v>
      </c>
      <c r="B1784" t="s">
        <v>424</v>
      </c>
      <c r="C1784" t="s">
        <v>2533</v>
      </c>
      <c r="D1784" t="s">
        <v>58</v>
      </c>
      <c r="E1784" s="2" t="s">
        <v>494</v>
      </c>
      <c r="F1784">
        <f t="shared" si="81"/>
        <v>7</v>
      </c>
      <c r="G1784" s="2">
        <f t="shared" si="82"/>
        <v>11762</v>
      </c>
    </row>
    <row r="1785" spans="1:7" x14ac:dyDescent="0.25">
      <c r="A1785" t="str">
        <f t="shared" si="83"/>
        <v>Mariquina Mujer</v>
      </c>
      <c r="B1785" t="s">
        <v>424</v>
      </c>
      <c r="C1785" t="s">
        <v>2533</v>
      </c>
      <c r="D1785" t="s">
        <v>56</v>
      </c>
      <c r="E1785" s="2" t="s">
        <v>493</v>
      </c>
      <c r="F1785">
        <f t="shared" si="81"/>
        <v>7</v>
      </c>
      <c r="G1785" s="2">
        <f t="shared" si="82"/>
        <v>12244</v>
      </c>
    </row>
    <row r="1786" spans="1:7" x14ac:dyDescent="0.25">
      <c r="A1786" t="str">
        <f t="shared" si="83"/>
        <v>Mariquina Población total</v>
      </c>
      <c r="B1786" t="s">
        <v>424</v>
      </c>
      <c r="C1786" t="s">
        <v>2533</v>
      </c>
      <c r="D1786" t="s">
        <v>54</v>
      </c>
      <c r="E1786" s="2" t="s">
        <v>492</v>
      </c>
      <c r="F1786">
        <f t="shared" si="81"/>
        <v>7</v>
      </c>
      <c r="G1786" s="2">
        <f t="shared" si="82"/>
        <v>24006</v>
      </c>
    </row>
    <row r="1787" spans="1:7" x14ac:dyDescent="0.25">
      <c r="A1787" t="str">
        <f t="shared" si="83"/>
        <v>Mariquina Población  de 0 a 14 años</v>
      </c>
      <c r="B1787" t="s">
        <v>424</v>
      </c>
      <c r="C1787" t="s">
        <v>2533</v>
      </c>
      <c r="D1787" t="s">
        <v>52</v>
      </c>
      <c r="E1787" s="2" t="s">
        <v>491</v>
      </c>
      <c r="F1787">
        <f t="shared" si="81"/>
        <v>6</v>
      </c>
      <c r="G1787" s="2">
        <f t="shared" si="82"/>
        <v>5030</v>
      </c>
    </row>
    <row r="1788" spans="1:7" x14ac:dyDescent="0.25">
      <c r="A1788" t="str">
        <f t="shared" si="83"/>
        <v>Mariquina Población  de 15 a 64 años</v>
      </c>
      <c r="B1788" t="s">
        <v>424</v>
      </c>
      <c r="C1788" t="s">
        <v>2533</v>
      </c>
      <c r="D1788" t="s">
        <v>50</v>
      </c>
      <c r="E1788" s="2" t="s">
        <v>490</v>
      </c>
      <c r="F1788">
        <f t="shared" si="81"/>
        <v>7</v>
      </c>
      <c r="G1788" s="2">
        <f t="shared" si="82"/>
        <v>15392</v>
      </c>
    </row>
    <row r="1789" spans="1:7" x14ac:dyDescent="0.25">
      <c r="A1789" t="str">
        <f t="shared" si="83"/>
        <v>Mariquina Población de 65 años o mas</v>
      </c>
      <c r="B1789" t="s">
        <v>424</v>
      </c>
      <c r="C1789" t="s">
        <v>2533</v>
      </c>
      <c r="D1789" t="s">
        <v>46</v>
      </c>
      <c r="E1789" s="2" t="s">
        <v>379</v>
      </c>
      <c r="F1789">
        <f t="shared" si="81"/>
        <v>6</v>
      </c>
      <c r="G1789" s="2">
        <f t="shared" si="82"/>
        <v>3584</v>
      </c>
    </row>
    <row r="1790" spans="1:7" x14ac:dyDescent="0.25">
      <c r="A1790" t="str">
        <f t="shared" si="83"/>
        <v>Lanco Hombre</v>
      </c>
      <c r="B1790" t="s">
        <v>424</v>
      </c>
      <c r="C1790" t="s">
        <v>2534</v>
      </c>
      <c r="D1790" t="s">
        <v>58</v>
      </c>
      <c r="E1790" s="2" t="s">
        <v>489</v>
      </c>
      <c r="F1790">
        <f t="shared" si="81"/>
        <v>6</v>
      </c>
      <c r="G1790" s="2">
        <f t="shared" si="82"/>
        <v>8815</v>
      </c>
    </row>
    <row r="1791" spans="1:7" x14ac:dyDescent="0.25">
      <c r="A1791" t="str">
        <f t="shared" si="83"/>
        <v>Lanco Mujer</v>
      </c>
      <c r="B1791" t="s">
        <v>424</v>
      </c>
      <c r="C1791" t="s">
        <v>2534</v>
      </c>
      <c r="D1791" t="s">
        <v>56</v>
      </c>
      <c r="E1791" s="2" t="s">
        <v>488</v>
      </c>
      <c r="F1791">
        <f t="shared" si="81"/>
        <v>6</v>
      </c>
      <c r="G1791" s="2">
        <f t="shared" si="82"/>
        <v>9235</v>
      </c>
    </row>
    <row r="1792" spans="1:7" x14ac:dyDescent="0.25">
      <c r="A1792" t="str">
        <f t="shared" si="83"/>
        <v>Lanco Población total</v>
      </c>
      <c r="B1792" t="s">
        <v>424</v>
      </c>
      <c r="C1792" t="s">
        <v>2534</v>
      </c>
      <c r="D1792" t="s">
        <v>54</v>
      </c>
      <c r="E1792" s="2" t="s">
        <v>487</v>
      </c>
      <c r="F1792">
        <f t="shared" si="81"/>
        <v>7</v>
      </c>
      <c r="G1792" s="2">
        <f t="shared" si="82"/>
        <v>18050</v>
      </c>
    </row>
    <row r="1793" spans="1:7" x14ac:dyDescent="0.25">
      <c r="A1793" t="str">
        <f t="shared" si="83"/>
        <v>Lanco Población  de 0 a 14 años</v>
      </c>
      <c r="B1793" t="s">
        <v>424</v>
      </c>
      <c r="C1793" t="s">
        <v>2534</v>
      </c>
      <c r="D1793" t="s">
        <v>52</v>
      </c>
      <c r="E1793" s="2" t="s">
        <v>486</v>
      </c>
      <c r="F1793">
        <f t="shared" si="81"/>
        <v>6</v>
      </c>
      <c r="G1793" s="2">
        <f t="shared" si="82"/>
        <v>3503</v>
      </c>
    </row>
    <row r="1794" spans="1:7" x14ac:dyDescent="0.25">
      <c r="A1794" t="str">
        <f t="shared" si="83"/>
        <v>Lanco Población  de 15 a 64 años</v>
      </c>
      <c r="B1794" t="s">
        <v>424</v>
      </c>
      <c r="C1794" t="s">
        <v>2534</v>
      </c>
      <c r="D1794" t="s">
        <v>50</v>
      </c>
      <c r="E1794" s="2" t="s">
        <v>485</v>
      </c>
      <c r="F1794">
        <f t="shared" ref="F1794:F1857" si="84">+FIND(".",E1794)</f>
        <v>7</v>
      </c>
      <c r="G1794" s="2">
        <f t="shared" ref="G1794:G1857" si="85">+LEFT(E1794,(F1794-1))*1</f>
        <v>11591</v>
      </c>
    </row>
    <row r="1795" spans="1:7" x14ac:dyDescent="0.25">
      <c r="A1795" t="str">
        <f t="shared" ref="A1795:A1858" si="86">+C1795&amp;D1795</f>
        <v>Lanco Población de 65 años o mas</v>
      </c>
      <c r="B1795" t="s">
        <v>424</v>
      </c>
      <c r="C1795" t="s">
        <v>2534</v>
      </c>
      <c r="D1795" t="s">
        <v>46</v>
      </c>
      <c r="E1795" s="2" t="s">
        <v>484</v>
      </c>
      <c r="F1795">
        <f t="shared" si="84"/>
        <v>6</v>
      </c>
      <c r="G1795" s="2">
        <f t="shared" si="85"/>
        <v>2956</v>
      </c>
    </row>
    <row r="1796" spans="1:7" x14ac:dyDescent="0.25">
      <c r="A1796" t="str">
        <f t="shared" si="86"/>
        <v>Panguipulli Hombre</v>
      </c>
      <c r="B1796" t="s">
        <v>424</v>
      </c>
      <c r="C1796" t="s">
        <v>2535</v>
      </c>
      <c r="D1796" t="s">
        <v>58</v>
      </c>
      <c r="E1796" s="2" t="s">
        <v>483</v>
      </c>
      <c r="F1796">
        <f t="shared" si="84"/>
        <v>7</v>
      </c>
      <c r="G1796" s="2">
        <f t="shared" si="85"/>
        <v>17872</v>
      </c>
    </row>
    <row r="1797" spans="1:7" x14ac:dyDescent="0.25">
      <c r="A1797" t="str">
        <f t="shared" si="86"/>
        <v>Panguipulli Mujer</v>
      </c>
      <c r="B1797" t="s">
        <v>424</v>
      </c>
      <c r="C1797" t="s">
        <v>2535</v>
      </c>
      <c r="D1797" t="s">
        <v>56</v>
      </c>
      <c r="E1797" s="2" t="s">
        <v>482</v>
      </c>
      <c r="F1797">
        <f t="shared" si="84"/>
        <v>7</v>
      </c>
      <c r="G1797" s="2">
        <f t="shared" si="85"/>
        <v>18348</v>
      </c>
    </row>
    <row r="1798" spans="1:7" x14ac:dyDescent="0.25">
      <c r="A1798" t="str">
        <f t="shared" si="86"/>
        <v>Panguipulli Población total</v>
      </c>
      <c r="B1798" t="s">
        <v>424</v>
      </c>
      <c r="C1798" t="s">
        <v>2535</v>
      </c>
      <c r="D1798" t="s">
        <v>54</v>
      </c>
      <c r="E1798" s="2" t="s">
        <v>481</v>
      </c>
      <c r="F1798">
        <f t="shared" si="84"/>
        <v>7</v>
      </c>
      <c r="G1798" s="2">
        <f t="shared" si="85"/>
        <v>36220</v>
      </c>
    </row>
    <row r="1799" spans="1:7" x14ac:dyDescent="0.25">
      <c r="A1799" t="str">
        <f t="shared" si="86"/>
        <v>Panguipulli Población  de 0 a 14 años</v>
      </c>
      <c r="B1799" t="s">
        <v>424</v>
      </c>
      <c r="C1799" t="s">
        <v>2535</v>
      </c>
      <c r="D1799" t="s">
        <v>52</v>
      </c>
      <c r="E1799" s="2" t="s">
        <v>480</v>
      </c>
      <c r="F1799">
        <f t="shared" si="84"/>
        <v>6</v>
      </c>
      <c r="G1799" s="2">
        <f t="shared" si="85"/>
        <v>6871</v>
      </c>
    </row>
    <row r="1800" spans="1:7" x14ac:dyDescent="0.25">
      <c r="A1800" t="str">
        <f t="shared" si="86"/>
        <v>Panguipulli Población  de 15 a 64 años</v>
      </c>
      <c r="B1800" t="s">
        <v>424</v>
      </c>
      <c r="C1800" t="s">
        <v>2535</v>
      </c>
      <c r="D1800" t="s">
        <v>50</v>
      </c>
      <c r="E1800" s="2" t="s">
        <v>479</v>
      </c>
      <c r="F1800">
        <f t="shared" si="84"/>
        <v>7</v>
      </c>
      <c r="G1800" s="2">
        <f t="shared" si="85"/>
        <v>23607</v>
      </c>
    </row>
    <row r="1801" spans="1:7" x14ac:dyDescent="0.25">
      <c r="A1801" t="str">
        <f t="shared" si="86"/>
        <v>Panguipulli Población de 65 años o mas</v>
      </c>
      <c r="B1801" t="s">
        <v>424</v>
      </c>
      <c r="C1801" t="s">
        <v>2535</v>
      </c>
      <c r="D1801" t="s">
        <v>46</v>
      </c>
      <c r="E1801" s="2" t="s">
        <v>478</v>
      </c>
      <c r="F1801">
        <f t="shared" si="84"/>
        <v>6</v>
      </c>
      <c r="G1801" s="2">
        <f t="shared" si="85"/>
        <v>5742</v>
      </c>
    </row>
    <row r="1802" spans="1:7" x14ac:dyDescent="0.25">
      <c r="A1802" t="str">
        <f t="shared" si="86"/>
        <v>Máfil Hombre</v>
      </c>
      <c r="B1802" t="s">
        <v>424</v>
      </c>
      <c r="C1802" t="s">
        <v>2536</v>
      </c>
      <c r="D1802" t="s">
        <v>58</v>
      </c>
      <c r="E1802" s="2" t="s">
        <v>477</v>
      </c>
      <c r="F1802">
        <f t="shared" si="84"/>
        <v>6</v>
      </c>
      <c r="G1802" s="2">
        <f t="shared" si="85"/>
        <v>3627</v>
      </c>
    </row>
    <row r="1803" spans="1:7" x14ac:dyDescent="0.25">
      <c r="A1803" t="str">
        <f t="shared" si="86"/>
        <v>Máfil Mujer</v>
      </c>
      <c r="B1803" t="s">
        <v>424</v>
      </c>
      <c r="C1803" t="s">
        <v>2536</v>
      </c>
      <c r="D1803" t="s">
        <v>56</v>
      </c>
      <c r="E1803" s="2" t="s">
        <v>476</v>
      </c>
      <c r="F1803">
        <f t="shared" si="84"/>
        <v>6</v>
      </c>
      <c r="G1803" s="2">
        <f t="shared" si="85"/>
        <v>3748</v>
      </c>
    </row>
    <row r="1804" spans="1:7" x14ac:dyDescent="0.25">
      <c r="A1804" t="str">
        <f t="shared" si="86"/>
        <v>Máfil Población total</v>
      </c>
      <c r="B1804" t="s">
        <v>424</v>
      </c>
      <c r="C1804" t="s">
        <v>2536</v>
      </c>
      <c r="D1804" t="s">
        <v>54</v>
      </c>
      <c r="E1804" s="2" t="s">
        <v>475</v>
      </c>
      <c r="F1804">
        <f t="shared" si="84"/>
        <v>6</v>
      </c>
      <c r="G1804" s="2">
        <f t="shared" si="85"/>
        <v>7375</v>
      </c>
    </row>
    <row r="1805" spans="1:7" x14ac:dyDescent="0.25">
      <c r="A1805" t="str">
        <f t="shared" si="86"/>
        <v>Máfil Población  de 0 a 14 años</v>
      </c>
      <c r="B1805" t="s">
        <v>424</v>
      </c>
      <c r="C1805" t="s">
        <v>2536</v>
      </c>
      <c r="D1805" t="s">
        <v>52</v>
      </c>
      <c r="E1805" s="2" t="s">
        <v>474</v>
      </c>
      <c r="F1805">
        <f t="shared" si="84"/>
        <v>6</v>
      </c>
      <c r="G1805" s="2">
        <f t="shared" si="85"/>
        <v>1399</v>
      </c>
    </row>
    <row r="1806" spans="1:7" x14ac:dyDescent="0.25">
      <c r="A1806" t="str">
        <f t="shared" si="86"/>
        <v>Máfil Población  de 15 a 64 años</v>
      </c>
      <c r="B1806" t="s">
        <v>424</v>
      </c>
      <c r="C1806" t="s">
        <v>2536</v>
      </c>
      <c r="D1806" t="s">
        <v>50</v>
      </c>
      <c r="E1806" s="2" t="s">
        <v>473</v>
      </c>
      <c r="F1806">
        <f t="shared" si="84"/>
        <v>6</v>
      </c>
      <c r="G1806" s="2">
        <f t="shared" si="85"/>
        <v>4697</v>
      </c>
    </row>
    <row r="1807" spans="1:7" x14ac:dyDescent="0.25">
      <c r="A1807" t="str">
        <f t="shared" si="86"/>
        <v>Máfil Población de 65 años o mas</v>
      </c>
      <c r="B1807" t="s">
        <v>424</v>
      </c>
      <c r="C1807" t="s">
        <v>2536</v>
      </c>
      <c r="D1807" t="s">
        <v>46</v>
      </c>
      <c r="E1807" s="2" t="s">
        <v>472</v>
      </c>
      <c r="F1807">
        <f t="shared" si="84"/>
        <v>6</v>
      </c>
      <c r="G1807" s="2">
        <f t="shared" si="85"/>
        <v>1279</v>
      </c>
    </row>
    <row r="1808" spans="1:7" x14ac:dyDescent="0.25">
      <c r="A1808" t="str">
        <f t="shared" si="86"/>
        <v>Valdivia Hombre</v>
      </c>
      <c r="B1808" t="s">
        <v>424</v>
      </c>
      <c r="C1808" t="s">
        <v>2537</v>
      </c>
      <c r="D1808" t="s">
        <v>58</v>
      </c>
      <c r="E1808" s="2" t="s">
        <v>471</v>
      </c>
      <c r="F1808">
        <f t="shared" si="84"/>
        <v>7</v>
      </c>
      <c r="G1808" s="2">
        <f t="shared" si="85"/>
        <v>88028</v>
      </c>
    </row>
    <row r="1809" spans="1:7" x14ac:dyDescent="0.25">
      <c r="A1809" t="str">
        <f t="shared" si="86"/>
        <v>Valdivia Mujer</v>
      </c>
      <c r="B1809" t="s">
        <v>424</v>
      </c>
      <c r="C1809" t="s">
        <v>2537</v>
      </c>
      <c r="D1809" t="s">
        <v>56</v>
      </c>
      <c r="E1809" s="2" t="s">
        <v>470</v>
      </c>
      <c r="F1809">
        <f t="shared" si="84"/>
        <v>7</v>
      </c>
      <c r="G1809" s="2">
        <f t="shared" si="85"/>
        <v>94058</v>
      </c>
    </row>
    <row r="1810" spans="1:7" x14ac:dyDescent="0.25">
      <c r="A1810" t="str">
        <f t="shared" si="86"/>
        <v>Valdivia Población total</v>
      </c>
      <c r="B1810" t="s">
        <v>424</v>
      </c>
      <c r="C1810" t="s">
        <v>2537</v>
      </c>
      <c r="D1810" t="s">
        <v>54</v>
      </c>
      <c r="E1810" s="2" t="s">
        <v>469</v>
      </c>
      <c r="F1810">
        <f t="shared" si="84"/>
        <v>8</v>
      </c>
      <c r="G1810" s="2">
        <f t="shared" si="85"/>
        <v>182086</v>
      </c>
    </row>
    <row r="1811" spans="1:7" x14ac:dyDescent="0.25">
      <c r="A1811" t="str">
        <f t="shared" si="86"/>
        <v>Valdivia Población  de 0 a 14 años</v>
      </c>
      <c r="B1811" t="s">
        <v>424</v>
      </c>
      <c r="C1811" t="s">
        <v>2537</v>
      </c>
      <c r="D1811" t="s">
        <v>52</v>
      </c>
      <c r="E1811" s="2" t="s">
        <v>468</v>
      </c>
      <c r="F1811">
        <f t="shared" si="84"/>
        <v>7</v>
      </c>
      <c r="G1811" s="2">
        <f t="shared" si="85"/>
        <v>30588</v>
      </c>
    </row>
    <row r="1812" spans="1:7" x14ac:dyDescent="0.25">
      <c r="A1812" t="str">
        <f t="shared" si="86"/>
        <v>Valdivia Población  de 15 a 64 años</v>
      </c>
      <c r="B1812" t="s">
        <v>424</v>
      </c>
      <c r="C1812" t="s">
        <v>2537</v>
      </c>
      <c r="D1812" t="s">
        <v>50</v>
      </c>
      <c r="E1812" s="2" t="s">
        <v>467</v>
      </c>
      <c r="F1812">
        <f t="shared" si="84"/>
        <v>8</v>
      </c>
      <c r="G1812" s="2">
        <f t="shared" si="85"/>
        <v>126057</v>
      </c>
    </row>
    <row r="1813" spans="1:7" x14ac:dyDescent="0.25">
      <c r="A1813" t="str">
        <f t="shared" si="86"/>
        <v>Valdivia Población de 65 años o mas</v>
      </c>
      <c r="B1813" t="s">
        <v>424</v>
      </c>
      <c r="C1813" t="s">
        <v>2537</v>
      </c>
      <c r="D1813" t="s">
        <v>46</v>
      </c>
      <c r="E1813" s="2" t="s">
        <v>466</v>
      </c>
      <c r="F1813">
        <f t="shared" si="84"/>
        <v>7</v>
      </c>
      <c r="G1813" s="2">
        <f t="shared" si="85"/>
        <v>25441</v>
      </c>
    </row>
    <row r="1814" spans="1:7" x14ac:dyDescent="0.25">
      <c r="A1814" t="str">
        <f t="shared" si="86"/>
        <v>Los Lagos Hombre</v>
      </c>
      <c r="B1814" t="s">
        <v>424</v>
      </c>
      <c r="C1814" t="s">
        <v>2538</v>
      </c>
      <c r="D1814" t="s">
        <v>58</v>
      </c>
      <c r="E1814" s="2" t="s">
        <v>465</v>
      </c>
      <c r="F1814">
        <f t="shared" si="84"/>
        <v>7</v>
      </c>
      <c r="G1814" s="2">
        <f t="shared" si="85"/>
        <v>10148</v>
      </c>
    </row>
    <row r="1815" spans="1:7" x14ac:dyDescent="0.25">
      <c r="A1815" t="str">
        <f t="shared" si="86"/>
        <v>Los Lagos Mujer</v>
      </c>
      <c r="B1815" t="s">
        <v>424</v>
      </c>
      <c r="C1815" t="s">
        <v>2538</v>
      </c>
      <c r="D1815" t="s">
        <v>56</v>
      </c>
      <c r="E1815" s="2" t="s">
        <v>464</v>
      </c>
      <c r="F1815">
        <f t="shared" si="84"/>
        <v>7</v>
      </c>
      <c r="G1815" s="2">
        <f t="shared" si="85"/>
        <v>10372</v>
      </c>
    </row>
    <row r="1816" spans="1:7" x14ac:dyDescent="0.25">
      <c r="A1816" t="str">
        <f t="shared" si="86"/>
        <v>Los Lagos Población total</v>
      </c>
      <c r="B1816" t="s">
        <v>424</v>
      </c>
      <c r="C1816" t="s">
        <v>2538</v>
      </c>
      <c r="D1816" t="s">
        <v>54</v>
      </c>
      <c r="E1816" s="2" t="s">
        <v>463</v>
      </c>
      <c r="F1816">
        <f t="shared" si="84"/>
        <v>7</v>
      </c>
      <c r="G1816" s="2">
        <f t="shared" si="85"/>
        <v>20520</v>
      </c>
    </row>
    <row r="1817" spans="1:7" x14ac:dyDescent="0.25">
      <c r="A1817" t="str">
        <f t="shared" si="86"/>
        <v>Los Lagos Población  de 0 a 14 años</v>
      </c>
      <c r="B1817" t="s">
        <v>424</v>
      </c>
      <c r="C1817" t="s">
        <v>2538</v>
      </c>
      <c r="D1817" t="s">
        <v>52</v>
      </c>
      <c r="E1817" s="2" t="s">
        <v>462</v>
      </c>
      <c r="F1817">
        <f t="shared" si="84"/>
        <v>6</v>
      </c>
      <c r="G1817" s="2">
        <f t="shared" si="85"/>
        <v>3837</v>
      </c>
    </row>
    <row r="1818" spans="1:7" x14ac:dyDescent="0.25">
      <c r="A1818" t="str">
        <f t="shared" si="86"/>
        <v>Los Lagos Población  de 15 a 64 años</v>
      </c>
      <c r="B1818" t="s">
        <v>424</v>
      </c>
      <c r="C1818" t="s">
        <v>2538</v>
      </c>
      <c r="D1818" t="s">
        <v>50</v>
      </c>
      <c r="E1818" s="2" t="s">
        <v>461</v>
      </c>
      <c r="F1818">
        <f t="shared" si="84"/>
        <v>7</v>
      </c>
      <c r="G1818" s="2">
        <f t="shared" si="85"/>
        <v>13400</v>
      </c>
    </row>
    <row r="1819" spans="1:7" x14ac:dyDescent="0.25">
      <c r="A1819" t="str">
        <f t="shared" si="86"/>
        <v>Los Lagos Población de 65 años o mas</v>
      </c>
      <c r="B1819" t="s">
        <v>424</v>
      </c>
      <c r="C1819" t="s">
        <v>2538</v>
      </c>
      <c r="D1819" t="s">
        <v>46</v>
      </c>
      <c r="E1819" s="2" t="s">
        <v>460</v>
      </c>
      <c r="F1819">
        <f t="shared" si="84"/>
        <v>6</v>
      </c>
      <c r="G1819" s="2">
        <f t="shared" si="85"/>
        <v>3283</v>
      </c>
    </row>
    <row r="1820" spans="1:7" x14ac:dyDescent="0.25">
      <c r="A1820" t="str">
        <f t="shared" si="86"/>
        <v>Corral Hombre</v>
      </c>
      <c r="B1820" t="s">
        <v>424</v>
      </c>
      <c r="C1820" t="s">
        <v>2539</v>
      </c>
      <c r="D1820" t="s">
        <v>58</v>
      </c>
      <c r="E1820" s="2" t="s">
        <v>459</v>
      </c>
      <c r="F1820">
        <f t="shared" si="84"/>
        <v>6</v>
      </c>
      <c r="G1820" s="2">
        <f t="shared" si="85"/>
        <v>2688</v>
      </c>
    </row>
    <row r="1821" spans="1:7" x14ac:dyDescent="0.25">
      <c r="A1821" t="str">
        <f t="shared" si="86"/>
        <v>Corral Mujer</v>
      </c>
      <c r="B1821" t="s">
        <v>424</v>
      </c>
      <c r="C1821" t="s">
        <v>2539</v>
      </c>
      <c r="D1821" t="s">
        <v>56</v>
      </c>
      <c r="E1821" s="2" t="s">
        <v>458</v>
      </c>
      <c r="F1821">
        <f t="shared" si="84"/>
        <v>6</v>
      </c>
      <c r="G1821" s="2">
        <f t="shared" si="85"/>
        <v>2736</v>
      </c>
    </row>
    <row r="1822" spans="1:7" x14ac:dyDescent="0.25">
      <c r="A1822" t="str">
        <f t="shared" si="86"/>
        <v>Corral Población total</v>
      </c>
      <c r="B1822" t="s">
        <v>424</v>
      </c>
      <c r="C1822" t="s">
        <v>2539</v>
      </c>
      <c r="D1822" t="s">
        <v>54</v>
      </c>
      <c r="E1822" s="2" t="s">
        <v>457</v>
      </c>
      <c r="F1822">
        <f t="shared" si="84"/>
        <v>6</v>
      </c>
      <c r="G1822" s="2">
        <f t="shared" si="85"/>
        <v>5424</v>
      </c>
    </row>
    <row r="1823" spans="1:7" x14ac:dyDescent="0.25">
      <c r="A1823" t="str">
        <f t="shared" si="86"/>
        <v>Corral Población  de 0 a 14 años</v>
      </c>
      <c r="B1823" t="s">
        <v>424</v>
      </c>
      <c r="C1823" t="s">
        <v>2539</v>
      </c>
      <c r="D1823" t="s">
        <v>52</v>
      </c>
      <c r="E1823" s="2" t="s">
        <v>456</v>
      </c>
      <c r="F1823">
        <f t="shared" si="84"/>
        <v>5</v>
      </c>
      <c r="G1823" s="2">
        <f t="shared" si="85"/>
        <v>896</v>
      </c>
    </row>
    <row r="1824" spans="1:7" x14ac:dyDescent="0.25">
      <c r="A1824" t="str">
        <f t="shared" si="86"/>
        <v>Corral Población  de 15 a 64 años</v>
      </c>
      <c r="B1824" t="s">
        <v>424</v>
      </c>
      <c r="C1824" t="s">
        <v>2539</v>
      </c>
      <c r="D1824" t="s">
        <v>50</v>
      </c>
      <c r="E1824" s="2" t="s">
        <v>455</v>
      </c>
      <c r="F1824">
        <f t="shared" si="84"/>
        <v>6</v>
      </c>
      <c r="G1824" s="2">
        <f t="shared" si="85"/>
        <v>3484</v>
      </c>
    </row>
    <row r="1825" spans="1:7" x14ac:dyDescent="0.25">
      <c r="A1825" t="str">
        <f t="shared" si="86"/>
        <v>Corral Población de 65 años o mas</v>
      </c>
      <c r="B1825" t="s">
        <v>424</v>
      </c>
      <c r="C1825" t="s">
        <v>2539</v>
      </c>
      <c r="D1825" t="s">
        <v>46</v>
      </c>
      <c r="E1825" s="2" t="s">
        <v>454</v>
      </c>
      <c r="F1825">
        <f t="shared" si="84"/>
        <v>6</v>
      </c>
      <c r="G1825" s="2">
        <f t="shared" si="85"/>
        <v>1044</v>
      </c>
    </row>
    <row r="1826" spans="1:7" x14ac:dyDescent="0.25">
      <c r="A1826" t="str">
        <f t="shared" si="86"/>
        <v>Paillaco Hombre</v>
      </c>
      <c r="B1826" t="s">
        <v>424</v>
      </c>
      <c r="C1826" t="s">
        <v>2540</v>
      </c>
      <c r="D1826" t="s">
        <v>58</v>
      </c>
      <c r="E1826" s="2" t="s">
        <v>453</v>
      </c>
      <c r="F1826">
        <f t="shared" si="84"/>
        <v>7</v>
      </c>
      <c r="G1826" s="2">
        <f t="shared" si="85"/>
        <v>10275</v>
      </c>
    </row>
    <row r="1827" spans="1:7" x14ac:dyDescent="0.25">
      <c r="A1827" t="str">
        <f t="shared" si="86"/>
        <v>Paillaco Mujer</v>
      </c>
      <c r="B1827" t="s">
        <v>424</v>
      </c>
      <c r="C1827" t="s">
        <v>2540</v>
      </c>
      <c r="D1827" t="s">
        <v>56</v>
      </c>
      <c r="E1827" s="2" t="s">
        <v>452</v>
      </c>
      <c r="F1827">
        <f t="shared" si="84"/>
        <v>7</v>
      </c>
      <c r="G1827" s="2">
        <f t="shared" si="85"/>
        <v>10667</v>
      </c>
    </row>
    <row r="1828" spans="1:7" x14ac:dyDescent="0.25">
      <c r="A1828" t="str">
        <f t="shared" si="86"/>
        <v>Paillaco Población total</v>
      </c>
      <c r="B1828" t="s">
        <v>424</v>
      </c>
      <c r="C1828" t="s">
        <v>2540</v>
      </c>
      <c r="D1828" t="s">
        <v>54</v>
      </c>
      <c r="E1828" s="2" t="s">
        <v>451</v>
      </c>
      <c r="F1828">
        <f t="shared" si="84"/>
        <v>7</v>
      </c>
      <c r="G1828" s="2">
        <f t="shared" si="85"/>
        <v>20942</v>
      </c>
    </row>
    <row r="1829" spans="1:7" x14ac:dyDescent="0.25">
      <c r="A1829" t="str">
        <f t="shared" si="86"/>
        <v>Paillaco Población  de 0 a 14 años</v>
      </c>
      <c r="B1829" t="s">
        <v>424</v>
      </c>
      <c r="C1829" t="s">
        <v>2540</v>
      </c>
      <c r="D1829" t="s">
        <v>52</v>
      </c>
      <c r="E1829" s="2" t="s">
        <v>450</v>
      </c>
      <c r="F1829">
        <f t="shared" si="84"/>
        <v>6</v>
      </c>
      <c r="G1829" s="2">
        <f t="shared" si="85"/>
        <v>3856</v>
      </c>
    </row>
    <row r="1830" spans="1:7" x14ac:dyDescent="0.25">
      <c r="A1830" t="str">
        <f t="shared" si="86"/>
        <v>Paillaco Población  de 15 a 64 años</v>
      </c>
      <c r="B1830" t="s">
        <v>424</v>
      </c>
      <c r="C1830" t="s">
        <v>2540</v>
      </c>
      <c r="D1830" t="s">
        <v>50</v>
      </c>
      <c r="E1830" s="2" t="s">
        <v>449</v>
      </c>
      <c r="F1830">
        <f t="shared" si="84"/>
        <v>7</v>
      </c>
      <c r="G1830" s="2">
        <f t="shared" si="85"/>
        <v>13516</v>
      </c>
    </row>
    <row r="1831" spans="1:7" x14ac:dyDescent="0.25">
      <c r="A1831" t="str">
        <f t="shared" si="86"/>
        <v>Paillaco Población de 65 años o mas</v>
      </c>
      <c r="B1831" t="s">
        <v>424</v>
      </c>
      <c r="C1831" t="s">
        <v>2540</v>
      </c>
      <c r="D1831" t="s">
        <v>46</v>
      </c>
      <c r="E1831" s="2" t="s">
        <v>448</v>
      </c>
      <c r="F1831">
        <f t="shared" si="84"/>
        <v>6</v>
      </c>
      <c r="G1831" s="2">
        <f t="shared" si="85"/>
        <v>3570</v>
      </c>
    </row>
    <row r="1832" spans="1:7" x14ac:dyDescent="0.25">
      <c r="A1832" t="str">
        <f t="shared" si="86"/>
        <v>Futrono Hombre</v>
      </c>
      <c r="B1832" t="s">
        <v>424</v>
      </c>
      <c r="C1832" t="s">
        <v>2541</v>
      </c>
      <c r="D1832" t="s">
        <v>58</v>
      </c>
      <c r="E1832" s="2" t="s">
        <v>447</v>
      </c>
      <c r="F1832">
        <f t="shared" si="84"/>
        <v>6</v>
      </c>
      <c r="G1832" s="2">
        <f t="shared" si="85"/>
        <v>7478</v>
      </c>
    </row>
    <row r="1833" spans="1:7" x14ac:dyDescent="0.25">
      <c r="A1833" t="str">
        <f t="shared" si="86"/>
        <v>Futrono Mujer</v>
      </c>
      <c r="B1833" t="s">
        <v>424</v>
      </c>
      <c r="C1833" t="s">
        <v>2541</v>
      </c>
      <c r="D1833" t="s">
        <v>56</v>
      </c>
      <c r="E1833" s="2" t="s">
        <v>446</v>
      </c>
      <c r="F1833">
        <f t="shared" si="84"/>
        <v>6</v>
      </c>
      <c r="G1833" s="2">
        <f t="shared" si="85"/>
        <v>7710</v>
      </c>
    </row>
    <row r="1834" spans="1:7" x14ac:dyDescent="0.25">
      <c r="A1834" t="str">
        <f t="shared" si="86"/>
        <v>Futrono Población total</v>
      </c>
      <c r="B1834" t="s">
        <v>424</v>
      </c>
      <c r="C1834" t="s">
        <v>2541</v>
      </c>
      <c r="D1834" t="s">
        <v>54</v>
      </c>
      <c r="E1834" s="2" t="s">
        <v>445</v>
      </c>
      <c r="F1834">
        <f t="shared" si="84"/>
        <v>7</v>
      </c>
      <c r="G1834" s="2">
        <f t="shared" si="85"/>
        <v>15188</v>
      </c>
    </row>
    <row r="1835" spans="1:7" x14ac:dyDescent="0.25">
      <c r="A1835" t="str">
        <f t="shared" si="86"/>
        <v>Futrono Población  de 0 a 14 años</v>
      </c>
      <c r="B1835" t="s">
        <v>424</v>
      </c>
      <c r="C1835" t="s">
        <v>2541</v>
      </c>
      <c r="D1835" t="s">
        <v>52</v>
      </c>
      <c r="E1835" s="2" t="s">
        <v>444</v>
      </c>
      <c r="F1835">
        <f t="shared" si="84"/>
        <v>6</v>
      </c>
      <c r="G1835" s="2">
        <f t="shared" si="85"/>
        <v>3026</v>
      </c>
    </row>
    <row r="1836" spans="1:7" x14ac:dyDescent="0.25">
      <c r="A1836" t="str">
        <f t="shared" si="86"/>
        <v>Futrono Población  de 15 a 64 años</v>
      </c>
      <c r="B1836" t="s">
        <v>424</v>
      </c>
      <c r="C1836" t="s">
        <v>2541</v>
      </c>
      <c r="D1836" t="s">
        <v>50</v>
      </c>
      <c r="E1836" s="2" t="s">
        <v>443</v>
      </c>
      <c r="F1836">
        <f t="shared" si="84"/>
        <v>6</v>
      </c>
      <c r="G1836" s="2">
        <f t="shared" si="85"/>
        <v>9876</v>
      </c>
    </row>
    <row r="1837" spans="1:7" x14ac:dyDescent="0.25">
      <c r="A1837" t="str">
        <f t="shared" si="86"/>
        <v>Futrono Población de 65 años o mas</v>
      </c>
      <c r="B1837" t="s">
        <v>424</v>
      </c>
      <c r="C1837" t="s">
        <v>2541</v>
      </c>
      <c r="D1837" t="s">
        <v>46</v>
      </c>
      <c r="E1837" s="2" t="s">
        <v>442</v>
      </c>
      <c r="F1837">
        <f t="shared" si="84"/>
        <v>6</v>
      </c>
      <c r="G1837" s="2">
        <f t="shared" si="85"/>
        <v>2286</v>
      </c>
    </row>
    <row r="1838" spans="1:7" x14ac:dyDescent="0.25">
      <c r="A1838" t="str">
        <f t="shared" si="86"/>
        <v>La Unión Hombre</v>
      </c>
      <c r="B1838" t="s">
        <v>424</v>
      </c>
      <c r="C1838" t="s">
        <v>2542</v>
      </c>
      <c r="D1838" t="s">
        <v>58</v>
      </c>
      <c r="E1838" s="2" t="s">
        <v>441</v>
      </c>
      <c r="F1838">
        <f t="shared" si="84"/>
        <v>7</v>
      </c>
      <c r="G1838" s="2">
        <f t="shared" si="85"/>
        <v>19469</v>
      </c>
    </row>
    <row r="1839" spans="1:7" x14ac:dyDescent="0.25">
      <c r="A1839" t="str">
        <f t="shared" si="86"/>
        <v>La Unión Mujer</v>
      </c>
      <c r="B1839" t="s">
        <v>424</v>
      </c>
      <c r="C1839" t="s">
        <v>2542</v>
      </c>
      <c r="D1839" t="s">
        <v>56</v>
      </c>
      <c r="E1839" s="2" t="s">
        <v>440</v>
      </c>
      <c r="F1839">
        <f t="shared" si="84"/>
        <v>7</v>
      </c>
      <c r="G1839" s="2">
        <f t="shared" si="85"/>
        <v>20236</v>
      </c>
    </row>
    <row r="1840" spans="1:7" x14ac:dyDescent="0.25">
      <c r="A1840" t="str">
        <f t="shared" si="86"/>
        <v>La Unión Población total</v>
      </c>
      <c r="B1840" t="s">
        <v>424</v>
      </c>
      <c r="C1840" t="s">
        <v>2542</v>
      </c>
      <c r="D1840" t="s">
        <v>54</v>
      </c>
      <c r="E1840" s="2" t="s">
        <v>439</v>
      </c>
      <c r="F1840">
        <f t="shared" si="84"/>
        <v>7</v>
      </c>
      <c r="G1840" s="2">
        <f t="shared" si="85"/>
        <v>39705</v>
      </c>
    </row>
    <row r="1841" spans="1:7" x14ac:dyDescent="0.25">
      <c r="A1841" t="str">
        <f t="shared" si="86"/>
        <v>La Unión Población  de 0 a 14 años</v>
      </c>
      <c r="B1841" t="s">
        <v>424</v>
      </c>
      <c r="C1841" t="s">
        <v>2542</v>
      </c>
      <c r="D1841" t="s">
        <v>52</v>
      </c>
      <c r="E1841" s="2" t="s">
        <v>438</v>
      </c>
      <c r="F1841">
        <f t="shared" si="84"/>
        <v>6</v>
      </c>
      <c r="G1841" s="2">
        <f t="shared" si="85"/>
        <v>7132</v>
      </c>
    </row>
    <row r="1842" spans="1:7" x14ac:dyDescent="0.25">
      <c r="A1842" t="str">
        <f t="shared" si="86"/>
        <v>La Unión Población  de 15 a 64 años</v>
      </c>
      <c r="B1842" t="s">
        <v>424</v>
      </c>
      <c r="C1842" t="s">
        <v>2542</v>
      </c>
      <c r="D1842" t="s">
        <v>50</v>
      </c>
      <c r="E1842" s="2" t="s">
        <v>437</v>
      </c>
      <c r="F1842">
        <f t="shared" si="84"/>
        <v>7</v>
      </c>
      <c r="G1842" s="2">
        <f t="shared" si="85"/>
        <v>25655</v>
      </c>
    </row>
    <row r="1843" spans="1:7" x14ac:dyDescent="0.25">
      <c r="A1843" t="str">
        <f t="shared" si="86"/>
        <v>La Unión Población de 65 años o mas</v>
      </c>
      <c r="B1843" t="s">
        <v>424</v>
      </c>
      <c r="C1843" t="s">
        <v>2542</v>
      </c>
      <c r="D1843" t="s">
        <v>46</v>
      </c>
      <c r="E1843" s="2" t="s">
        <v>436</v>
      </c>
      <c r="F1843">
        <f t="shared" si="84"/>
        <v>6</v>
      </c>
      <c r="G1843" s="2">
        <f t="shared" si="85"/>
        <v>6918</v>
      </c>
    </row>
    <row r="1844" spans="1:7" x14ac:dyDescent="0.25">
      <c r="A1844" t="str">
        <f t="shared" si="86"/>
        <v>Lago Ranco Hombre</v>
      </c>
      <c r="B1844" t="s">
        <v>424</v>
      </c>
      <c r="C1844" t="s">
        <v>2543</v>
      </c>
      <c r="D1844" t="s">
        <v>58</v>
      </c>
      <c r="E1844" s="2" t="s">
        <v>435</v>
      </c>
      <c r="F1844">
        <f t="shared" si="84"/>
        <v>6</v>
      </c>
      <c r="G1844" s="2">
        <f t="shared" si="85"/>
        <v>5126</v>
      </c>
    </row>
    <row r="1845" spans="1:7" x14ac:dyDescent="0.25">
      <c r="A1845" t="str">
        <f t="shared" si="86"/>
        <v>Lago Ranco Mujer</v>
      </c>
      <c r="B1845" t="s">
        <v>424</v>
      </c>
      <c r="C1845" t="s">
        <v>2543</v>
      </c>
      <c r="D1845" t="s">
        <v>56</v>
      </c>
      <c r="E1845" s="2" t="s">
        <v>434</v>
      </c>
      <c r="F1845">
        <f t="shared" si="84"/>
        <v>6</v>
      </c>
      <c r="G1845" s="2">
        <f t="shared" si="85"/>
        <v>5146</v>
      </c>
    </row>
    <row r="1846" spans="1:7" x14ac:dyDescent="0.25">
      <c r="A1846" t="str">
        <f t="shared" si="86"/>
        <v>Lago Ranco Población total</v>
      </c>
      <c r="B1846" t="s">
        <v>424</v>
      </c>
      <c r="C1846" t="s">
        <v>2543</v>
      </c>
      <c r="D1846" t="s">
        <v>54</v>
      </c>
      <c r="E1846" s="2" t="s">
        <v>433</v>
      </c>
      <c r="F1846">
        <f t="shared" si="84"/>
        <v>7</v>
      </c>
      <c r="G1846" s="2">
        <f t="shared" si="85"/>
        <v>10272</v>
      </c>
    </row>
    <row r="1847" spans="1:7" x14ac:dyDescent="0.25">
      <c r="A1847" t="str">
        <f t="shared" si="86"/>
        <v>Lago Ranco Población  de 0 a 14 años</v>
      </c>
      <c r="B1847" t="s">
        <v>424</v>
      </c>
      <c r="C1847" t="s">
        <v>2543</v>
      </c>
      <c r="D1847" t="s">
        <v>52</v>
      </c>
      <c r="E1847" s="2" t="s">
        <v>432</v>
      </c>
      <c r="F1847">
        <f t="shared" si="84"/>
        <v>6</v>
      </c>
      <c r="G1847" s="2">
        <f t="shared" si="85"/>
        <v>1870</v>
      </c>
    </row>
    <row r="1848" spans="1:7" x14ac:dyDescent="0.25">
      <c r="A1848" t="str">
        <f t="shared" si="86"/>
        <v>Lago Ranco Población  de 15 a 64 años</v>
      </c>
      <c r="B1848" t="s">
        <v>424</v>
      </c>
      <c r="C1848" t="s">
        <v>2543</v>
      </c>
      <c r="D1848" t="s">
        <v>50</v>
      </c>
      <c r="E1848" s="2" t="s">
        <v>431</v>
      </c>
      <c r="F1848">
        <f t="shared" si="84"/>
        <v>6</v>
      </c>
      <c r="G1848" s="2">
        <f t="shared" si="85"/>
        <v>6525</v>
      </c>
    </row>
    <row r="1849" spans="1:7" x14ac:dyDescent="0.25">
      <c r="A1849" t="str">
        <f t="shared" si="86"/>
        <v>Lago Ranco Población de 65 años o mas</v>
      </c>
      <c r="B1849" t="s">
        <v>424</v>
      </c>
      <c r="C1849" t="s">
        <v>2543</v>
      </c>
      <c r="D1849" t="s">
        <v>46</v>
      </c>
      <c r="E1849" s="2" t="s">
        <v>430</v>
      </c>
      <c r="F1849">
        <f t="shared" si="84"/>
        <v>6</v>
      </c>
      <c r="G1849" s="2">
        <f t="shared" si="85"/>
        <v>1877</v>
      </c>
    </row>
    <row r="1850" spans="1:7" x14ac:dyDescent="0.25">
      <c r="A1850" t="str">
        <f t="shared" si="86"/>
        <v>Río Bueno Hombre</v>
      </c>
      <c r="B1850" t="s">
        <v>424</v>
      </c>
      <c r="C1850" t="s">
        <v>2544</v>
      </c>
      <c r="D1850" t="s">
        <v>58</v>
      </c>
      <c r="E1850" s="2" t="s">
        <v>429</v>
      </c>
      <c r="F1850">
        <f t="shared" si="84"/>
        <v>7</v>
      </c>
      <c r="G1850" s="2">
        <f t="shared" si="85"/>
        <v>16252</v>
      </c>
    </row>
    <row r="1851" spans="1:7" x14ac:dyDescent="0.25">
      <c r="A1851" t="str">
        <f t="shared" si="86"/>
        <v>Río Bueno Mujer</v>
      </c>
      <c r="B1851" t="s">
        <v>424</v>
      </c>
      <c r="C1851" t="s">
        <v>2544</v>
      </c>
      <c r="D1851" t="s">
        <v>56</v>
      </c>
      <c r="E1851" s="2" t="s">
        <v>428</v>
      </c>
      <c r="F1851">
        <f t="shared" si="84"/>
        <v>7</v>
      </c>
      <c r="G1851" s="2">
        <f t="shared" si="85"/>
        <v>16746</v>
      </c>
    </row>
    <row r="1852" spans="1:7" x14ac:dyDescent="0.25">
      <c r="A1852" t="str">
        <f t="shared" si="86"/>
        <v>Río Bueno Población total</v>
      </c>
      <c r="B1852" t="s">
        <v>424</v>
      </c>
      <c r="C1852" t="s">
        <v>2544</v>
      </c>
      <c r="D1852" t="s">
        <v>54</v>
      </c>
      <c r="E1852" s="2" t="s">
        <v>427</v>
      </c>
      <c r="F1852">
        <f t="shared" si="84"/>
        <v>7</v>
      </c>
      <c r="G1852" s="2">
        <f t="shared" si="85"/>
        <v>32998</v>
      </c>
    </row>
    <row r="1853" spans="1:7" x14ac:dyDescent="0.25">
      <c r="A1853" t="str">
        <f t="shared" si="86"/>
        <v>Río Bueno Población  de 0 a 14 años</v>
      </c>
      <c r="B1853" t="s">
        <v>424</v>
      </c>
      <c r="C1853" t="s">
        <v>2544</v>
      </c>
      <c r="D1853" t="s">
        <v>52</v>
      </c>
      <c r="E1853" s="2" t="s">
        <v>426</v>
      </c>
      <c r="F1853">
        <f t="shared" si="84"/>
        <v>6</v>
      </c>
      <c r="G1853" s="2">
        <f t="shared" si="85"/>
        <v>5646</v>
      </c>
    </row>
    <row r="1854" spans="1:7" x14ac:dyDescent="0.25">
      <c r="A1854" t="str">
        <f t="shared" si="86"/>
        <v>Río Bueno Población  de 15 a 64 años</v>
      </c>
      <c r="B1854" t="s">
        <v>424</v>
      </c>
      <c r="C1854" t="s">
        <v>2544</v>
      </c>
      <c r="D1854" t="s">
        <v>50</v>
      </c>
      <c r="E1854" s="2" t="s">
        <v>425</v>
      </c>
      <c r="F1854">
        <f t="shared" si="84"/>
        <v>7</v>
      </c>
      <c r="G1854" s="2">
        <f t="shared" si="85"/>
        <v>21326</v>
      </c>
    </row>
    <row r="1855" spans="1:7" x14ac:dyDescent="0.25">
      <c r="A1855" t="str">
        <f t="shared" si="86"/>
        <v>Río Bueno Población de 65 años o mas</v>
      </c>
      <c r="B1855" t="s">
        <v>424</v>
      </c>
      <c r="C1855" t="s">
        <v>2544</v>
      </c>
      <c r="D1855" t="s">
        <v>46</v>
      </c>
      <c r="E1855" s="2" t="s">
        <v>423</v>
      </c>
      <c r="F1855">
        <f t="shared" si="84"/>
        <v>6</v>
      </c>
      <c r="G1855" s="2">
        <f t="shared" si="85"/>
        <v>6026</v>
      </c>
    </row>
    <row r="1856" spans="1:7" x14ac:dyDescent="0.25">
      <c r="A1856" t="str">
        <f t="shared" si="86"/>
        <v>Región De Los Lagos Hombre</v>
      </c>
      <c r="B1856" t="s">
        <v>211</v>
      </c>
      <c r="C1856" t="s">
        <v>211</v>
      </c>
      <c r="D1856" t="s">
        <v>58</v>
      </c>
      <c r="E1856" s="2" t="s">
        <v>422</v>
      </c>
      <c r="F1856">
        <f t="shared" si="84"/>
        <v>8</v>
      </c>
      <c r="G1856" s="2">
        <f t="shared" si="85"/>
        <v>453413</v>
      </c>
    </row>
    <row r="1857" spans="1:7" x14ac:dyDescent="0.25">
      <c r="A1857" t="str">
        <f t="shared" si="86"/>
        <v>Región De Los Lagos Mujer</v>
      </c>
      <c r="B1857" t="s">
        <v>211</v>
      </c>
      <c r="C1857" t="s">
        <v>211</v>
      </c>
      <c r="D1857" t="s">
        <v>56</v>
      </c>
      <c r="E1857" s="2" t="s">
        <v>421</v>
      </c>
      <c r="F1857">
        <f t="shared" si="84"/>
        <v>8</v>
      </c>
      <c r="G1857" s="2">
        <f t="shared" si="85"/>
        <v>458758</v>
      </c>
    </row>
    <row r="1858" spans="1:7" x14ac:dyDescent="0.25">
      <c r="A1858" t="str">
        <f t="shared" si="86"/>
        <v>Región De Los Lagos Población total</v>
      </c>
      <c r="B1858" t="s">
        <v>211</v>
      </c>
      <c r="C1858" t="s">
        <v>211</v>
      </c>
      <c r="D1858" t="s">
        <v>54</v>
      </c>
      <c r="E1858" s="2" t="s">
        <v>420</v>
      </c>
      <c r="F1858">
        <f t="shared" ref="F1858:F1921" si="87">+FIND(".",E1858)</f>
        <v>8</v>
      </c>
      <c r="G1858" s="2">
        <f t="shared" ref="G1858:G1921" si="88">+LEFT(E1858,(F1858-1))*1</f>
        <v>912171</v>
      </c>
    </row>
    <row r="1859" spans="1:7" x14ac:dyDescent="0.25">
      <c r="A1859" t="str">
        <f t="shared" ref="A1859:A1922" si="89">+C1859&amp;D1859</f>
        <v>Región De Los Lagos Población  de 0 a 14 años</v>
      </c>
      <c r="B1859" t="s">
        <v>211</v>
      </c>
      <c r="C1859" t="s">
        <v>211</v>
      </c>
      <c r="D1859" t="s">
        <v>52</v>
      </c>
      <c r="E1859" s="2" t="s">
        <v>419</v>
      </c>
      <c r="F1859">
        <f t="shared" si="87"/>
        <v>8</v>
      </c>
      <c r="G1859" s="2">
        <f t="shared" si="88"/>
        <v>165246</v>
      </c>
    </row>
    <row r="1860" spans="1:7" x14ac:dyDescent="0.25">
      <c r="A1860" t="str">
        <f t="shared" si="89"/>
        <v>Región De Los Lagos Población  de 15 a 64 años</v>
      </c>
      <c r="B1860" t="s">
        <v>211</v>
      </c>
      <c r="C1860" t="s">
        <v>211</v>
      </c>
      <c r="D1860" t="s">
        <v>50</v>
      </c>
      <c r="E1860" s="2" t="s">
        <v>418</v>
      </c>
      <c r="F1860">
        <f t="shared" si="87"/>
        <v>8</v>
      </c>
      <c r="G1860" s="2">
        <f t="shared" si="88"/>
        <v>619349</v>
      </c>
    </row>
    <row r="1861" spans="1:7" x14ac:dyDescent="0.25">
      <c r="A1861" t="str">
        <f t="shared" si="89"/>
        <v>Región De Los Lagos Población de 65 años o mas</v>
      </c>
      <c r="B1861" t="s">
        <v>211</v>
      </c>
      <c r="C1861" t="s">
        <v>211</v>
      </c>
      <c r="D1861" t="s">
        <v>46</v>
      </c>
      <c r="E1861" s="2" t="s">
        <v>417</v>
      </c>
      <c r="F1861">
        <f t="shared" si="87"/>
        <v>8</v>
      </c>
      <c r="G1861" s="2">
        <f t="shared" si="88"/>
        <v>127576</v>
      </c>
    </row>
    <row r="1862" spans="1:7" x14ac:dyDescent="0.25">
      <c r="A1862" t="str">
        <f t="shared" si="89"/>
        <v>San Pablo Hombre</v>
      </c>
      <c r="B1862" t="s">
        <v>211</v>
      </c>
      <c r="C1862" t="s">
        <v>411</v>
      </c>
      <c r="D1862" t="s">
        <v>58</v>
      </c>
      <c r="E1862" s="2" t="s">
        <v>416</v>
      </c>
      <c r="F1862">
        <f t="shared" si="87"/>
        <v>6</v>
      </c>
      <c r="G1862" s="2">
        <f t="shared" si="88"/>
        <v>5269</v>
      </c>
    </row>
    <row r="1863" spans="1:7" x14ac:dyDescent="0.25">
      <c r="A1863" t="str">
        <f t="shared" si="89"/>
        <v>San Pablo Mujer</v>
      </c>
      <c r="B1863" t="s">
        <v>211</v>
      </c>
      <c r="C1863" t="s">
        <v>411</v>
      </c>
      <c r="D1863" t="s">
        <v>56</v>
      </c>
      <c r="E1863" s="2" t="s">
        <v>415</v>
      </c>
      <c r="F1863">
        <f t="shared" si="87"/>
        <v>6</v>
      </c>
      <c r="G1863" s="2">
        <f t="shared" si="88"/>
        <v>5268</v>
      </c>
    </row>
    <row r="1864" spans="1:7" x14ac:dyDescent="0.25">
      <c r="A1864" t="str">
        <f t="shared" si="89"/>
        <v>San Pablo Población total</v>
      </c>
      <c r="B1864" t="s">
        <v>211</v>
      </c>
      <c r="C1864" t="s">
        <v>411</v>
      </c>
      <c r="D1864" t="s">
        <v>54</v>
      </c>
      <c r="E1864" s="2" t="s">
        <v>414</v>
      </c>
      <c r="F1864">
        <f t="shared" si="87"/>
        <v>7</v>
      </c>
      <c r="G1864" s="2">
        <f t="shared" si="88"/>
        <v>10537</v>
      </c>
    </row>
    <row r="1865" spans="1:7" x14ac:dyDescent="0.25">
      <c r="A1865" t="str">
        <f t="shared" si="89"/>
        <v>San Pablo Población  de 0 a 14 años</v>
      </c>
      <c r="B1865" t="s">
        <v>211</v>
      </c>
      <c r="C1865" t="s">
        <v>411</v>
      </c>
      <c r="D1865" t="s">
        <v>52</v>
      </c>
      <c r="E1865" s="2" t="s">
        <v>413</v>
      </c>
      <c r="F1865">
        <f t="shared" si="87"/>
        <v>6</v>
      </c>
      <c r="G1865" s="2">
        <f t="shared" si="88"/>
        <v>1654</v>
      </c>
    </row>
    <row r="1866" spans="1:7" x14ac:dyDescent="0.25">
      <c r="A1866" t="str">
        <f t="shared" si="89"/>
        <v>San Pablo Población  de 15 a 64 años</v>
      </c>
      <c r="B1866" t="s">
        <v>211</v>
      </c>
      <c r="C1866" t="s">
        <v>411</v>
      </c>
      <c r="D1866" t="s">
        <v>50</v>
      </c>
      <c r="E1866" s="2" t="s">
        <v>412</v>
      </c>
      <c r="F1866">
        <f t="shared" si="87"/>
        <v>6</v>
      </c>
      <c r="G1866" s="2">
        <f t="shared" si="88"/>
        <v>6679</v>
      </c>
    </row>
    <row r="1867" spans="1:7" x14ac:dyDescent="0.25">
      <c r="A1867" t="str">
        <f t="shared" si="89"/>
        <v>San Pablo Población de 65 años o mas</v>
      </c>
      <c r="B1867" t="s">
        <v>211</v>
      </c>
      <c r="C1867" t="s">
        <v>411</v>
      </c>
      <c r="D1867" t="s">
        <v>46</v>
      </c>
      <c r="E1867" s="2" t="s">
        <v>410</v>
      </c>
      <c r="F1867">
        <f t="shared" si="87"/>
        <v>6</v>
      </c>
      <c r="G1867" s="2">
        <f t="shared" si="88"/>
        <v>2204</v>
      </c>
    </row>
    <row r="1868" spans="1:7" x14ac:dyDescent="0.25">
      <c r="A1868" t="str">
        <f t="shared" si="89"/>
        <v>Osorno Hombre</v>
      </c>
      <c r="B1868" t="s">
        <v>211</v>
      </c>
      <c r="C1868" t="s">
        <v>404</v>
      </c>
      <c r="D1868" t="s">
        <v>58</v>
      </c>
      <c r="E1868" s="2" t="s">
        <v>409</v>
      </c>
      <c r="F1868">
        <f t="shared" si="87"/>
        <v>7</v>
      </c>
      <c r="G1868" s="2">
        <f t="shared" si="88"/>
        <v>86473</v>
      </c>
    </row>
    <row r="1869" spans="1:7" x14ac:dyDescent="0.25">
      <c r="A1869" t="str">
        <f t="shared" si="89"/>
        <v>Osorno Mujer</v>
      </c>
      <c r="B1869" t="s">
        <v>211</v>
      </c>
      <c r="C1869" t="s">
        <v>404</v>
      </c>
      <c r="D1869" t="s">
        <v>56</v>
      </c>
      <c r="E1869" s="2" t="s">
        <v>408</v>
      </c>
      <c r="F1869">
        <f t="shared" si="87"/>
        <v>7</v>
      </c>
      <c r="G1869" s="2">
        <f t="shared" si="88"/>
        <v>89831</v>
      </c>
    </row>
    <row r="1870" spans="1:7" x14ac:dyDescent="0.25">
      <c r="A1870" t="str">
        <f t="shared" si="89"/>
        <v>Osorno Población total</v>
      </c>
      <c r="B1870" t="s">
        <v>211</v>
      </c>
      <c r="C1870" t="s">
        <v>404</v>
      </c>
      <c r="D1870" t="s">
        <v>54</v>
      </c>
      <c r="E1870" s="2" t="s">
        <v>407</v>
      </c>
      <c r="F1870">
        <f t="shared" si="87"/>
        <v>8</v>
      </c>
      <c r="G1870" s="2">
        <f t="shared" si="88"/>
        <v>176304</v>
      </c>
    </row>
    <row r="1871" spans="1:7" x14ac:dyDescent="0.25">
      <c r="A1871" t="str">
        <f t="shared" si="89"/>
        <v>Osorno Población  de 0 a 14 años</v>
      </c>
      <c r="B1871" t="s">
        <v>211</v>
      </c>
      <c r="C1871" t="s">
        <v>404</v>
      </c>
      <c r="D1871" t="s">
        <v>52</v>
      </c>
      <c r="E1871" s="2" t="s">
        <v>406</v>
      </c>
      <c r="F1871">
        <f t="shared" si="87"/>
        <v>7</v>
      </c>
      <c r="G1871" s="2">
        <f t="shared" si="88"/>
        <v>31022</v>
      </c>
    </row>
    <row r="1872" spans="1:7" x14ac:dyDescent="0.25">
      <c r="A1872" t="str">
        <f t="shared" si="89"/>
        <v>Osorno Población  de 15 a 64 años</v>
      </c>
      <c r="B1872" t="s">
        <v>211</v>
      </c>
      <c r="C1872" t="s">
        <v>404</v>
      </c>
      <c r="D1872" t="s">
        <v>50</v>
      </c>
      <c r="E1872" s="2" t="s">
        <v>405</v>
      </c>
      <c r="F1872">
        <f t="shared" si="87"/>
        <v>8</v>
      </c>
      <c r="G1872" s="2">
        <f t="shared" si="88"/>
        <v>119379</v>
      </c>
    </row>
    <row r="1873" spans="1:7" x14ac:dyDescent="0.25">
      <c r="A1873" t="str">
        <f t="shared" si="89"/>
        <v>Osorno Población de 65 años o mas</v>
      </c>
      <c r="B1873" t="s">
        <v>211</v>
      </c>
      <c r="C1873" t="s">
        <v>404</v>
      </c>
      <c r="D1873" t="s">
        <v>46</v>
      </c>
      <c r="E1873" s="2" t="s">
        <v>403</v>
      </c>
      <c r="F1873">
        <f t="shared" si="87"/>
        <v>7</v>
      </c>
      <c r="G1873" s="2">
        <f t="shared" si="88"/>
        <v>25903</v>
      </c>
    </row>
    <row r="1874" spans="1:7" x14ac:dyDescent="0.25">
      <c r="A1874" t="str">
        <f t="shared" si="89"/>
        <v>San Juan De La Costa Hombre</v>
      </c>
      <c r="B1874" t="s">
        <v>211</v>
      </c>
      <c r="C1874" t="s">
        <v>397</v>
      </c>
      <c r="D1874" t="s">
        <v>58</v>
      </c>
      <c r="E1874" s="2" t="s">
        <v>402</v>
      </c>
      <c r="F1874">
        <f t="shared" si="87"/>
        <v>6</v>
      </c>
      <c r="G1874" s="2">
        <f t="shared" si="88"/>
        <v>3815</v>
      </c>
    </row>
    <row r="1875" spans="1:7" x14ac:dyDescent="0.25">
      <c r="A1875" t="str">
        <f t="shared" si="89"/>
        <v>San Juan De La Costa Mujer</v>
      </c>
      <c r="B1875" t="s">
        <v>211</v>
      </c>
      <c r="C1875" t="s">
        <v>397</v>
      </c>
      <c r="D1875" t="s">
        <v>56</v>
      </c>
      <c r="E1875" s="2" t="s">
        <v>401</v>
      </c>
      <c r="F1875">
        <f t="shared" si="87"/>
        <v>6</v>
      </c>
      <c r="G1875" s="2">
        <f t="shared" si="88"/>
        <v>3609</v>
      </c>
    </row>
    <row r="1876" spans="1:7" x14ac:dyDescent="0.25">
      <c r="A1876" t="str">
        <f t="shared" si="89"/>
        <v>San Juan De La Costa Población total</v>
      </c>
      <c r="B1876" t="s">
        <v>211</v>
      </c>
      <c r="C1876" t="s">
        <v>397</v>
      </c>
      <c r="D1876" t="s">
        <v>54</v>
      </c>
      <c r="E1876" s="2" t="s">
        <v>400</v>
      </c>
      <c r="F1876">
        <f t="shared" si="87"/>
        <v>6</v>
      </c>
      <c r="G1876" s="2">
        <f t="shared" si="88"/>
        <v>7424</v>
      </c>
    </row>
    <row r="1877" spans="1:7" x14ac:dyDescent="0.25">
      <c r="A1877" t="str">
        <f t="shared" si="89"/>
        <v>San Juan De La Costa Población  de 0 a 14 años</v>
      </c>
      <c r="B1877" t="s">
        <v>211</v>
      </c>
      <c r="C1877" t="s">
        <v>397</v>
      </c>
      <c r="D1877" t="s">
        <v>52</v>
      </c>
      <c r="E1877" s="2" t="s">
        <v>399</v>
      </c>
      <c r="F1877">
        <f t="shared" si="87"/>
        <v>6</v>
      </c>
      <c r="G1877" s="2">
        <f t="shared" si="88"/>
        <v>1074</v>
      </c>
    </row>
    <row r="1878" spans="1:7" x14ac:dyDescent="0.25">
      <c r="A1878" t="str">
        <f t="shared" si="89"/>
        <v>San Juan De La Costa Población  de 15 a 64 años</v>
      </c>
      <c r="B1878" t="s">
        <v>211</v>
      </c>
      <c r="C1878" t="s">
        <v>397</v>
      </c>
      <c r="D1878" t="s">
        <v>50</v>
      </c>
      <c r="E1878" s="2" t="s">
        <v>398</v>
      </c>
      <c r="F1878">
        <f t="shared" si="87"/>
        <v>6</v>
      </c>
      <c r="G1878" s="2">
        <f t="shared" si="88"/>
        <v>4670</v>
      </c>
    </row>
    <row r="1879" spans="1:7" x14ac:dyDescent="0.25">
      <c r="A1879" t="str">
        <f t="shared" si="89"/>
        <v>San Juan De La Costa Población de 65 años o mas</v>
      </c>
      <c r="B1879" t="s">
        <v>211</v>
      </c>
      <c r="C1879" t="s">
        <v>397</v>
      </c>
      <c r="D1879" t="s">
        <v>46</v>
      </c>
      <c r="E1879" s="2" t="s">
        <v>396</v>
      </c>
      <c r="F1879">
        <f t="shared" si="87"/>
        <v>6</v>
      </c>
      <c r="G1879" s="2">
        <f t="shared" si="88"/>
        <v>1680</v>
      </c>
    </row>
    <row r="1880" spans="1:7" x14ac:dyDescent="0.25">
      <c r="A1880" t="str">
        <f t="shared" si="89"/>
        <v>Puyehue Hombre</v>
      </c>
      <c r="B1880" t="s">
        <v>211</v>
      </c>
      <c r="C1880" t="s">
        <v>390</v>
      </c>
      <c r="D1880" t="s">
        <v>58</v>
      </c>
      <c r="E1880" s="2" t="s">
        <v>395</v>
      </c>
      <c r="F1880">
        <f t="shared" si="87"/>
        <v>6</v>
      </c>
      <c r="G1880" s="2">
        <f t="shared" si="88"/>
        <v>5935</v>
      </c>
    </row>
    <row r="1881" spans="1:7" x14ac:dyDescent="0.25">
      <c r="A1881" t="str">
        <f t="shared" si="89"/>
        <v>Puyehue Mujer</v>
      </c>
      <c r="B1881" t="s">
        <v>211</v>
      </c>
      <c r="C1881" t="s">
        <v>390</v>
      </c>
      <c r="D1881" t="s">
        <v>56</v>
      </c>
      <c r="E1881" s="2" t="s">
        <v>394</v>
      </c>
      <c r="F1881">
        <f t="shared" si="87"/>
        <v>6</v>
      </c>
      <c r="G1881" s="2">
        <f t="shared" si="88"/>
        <v>5883</v>
      </c>
    </row>
    <row r="1882" spans="1:7" x14ac:dyDescent="0.25">
      <c r="A1882" t="str">
        <f t="shared" si="89"/>
        <v>Puyehue Población total</v>
      </c>
      <c r="B1882" t="s">
        <v>211</v>
      </c>
      <c r="C1882" t="s">
        <v>390</v>
      </c>
      <c r="D1882" t="s">
        <v>54</v>
      </c>
      <c r="E1882" s="2" t="s">
        <v>393</v>
      </c>
      <c r="F1882">
        <f t="shared" si="87"/>
        <v>7</v>
      </c>
      <c r="G1882" s="2">
        <f t="shared" si="88"/>
        <v>11818</v>
      </c>
    </row>
    <row r="1883" spans="1:7" x14ac:dyDescent="0.25">
      <c r="A1883" t="str">
        <f t="shared" si="89"/>
        <v>Puyehue Población  de 0 a 14 años</v>
      </c>
      <c r="B1883" t="s">
        <v>211</v>
      </c>
      <c r="C1883" t="s">
        <v>390</v>
      </c>
      <c r="D1883" t="s">
        <v>52</v>
      </c>
      <c r="E1883" s="2" t="s">
        <v>392</v>
      </c>
      <c r="F1883">
        <f t="shared" si="87"/>
        <v>6</v>
      </c>
      <c r="G1883" s="2">
        <f t="shared" si="88"/>
        <v>1949</v>
      </c>
    </row>
    <row r="1884" spans="1:7" x14ac:dyDescent="0.25">
      <c r="A1884" t="str">
        <f t="shared" si="89"/>
        <v>Puyehue Población  de 15 a 64 años</v>
      </c>
      <c r="B1884" t="s">
        <v>211</v>
      </c>
      <c r="C1884" t="s">
        <v>390</v>
      </c>
      <c r="D1884" t="s">
        <v>50</v>
      </c>
      <c r="E1884" s="2" t="s">
        <v>391</v>
      </c>
      <c r="F1884">
        <f t="shared" si="87"/>
        <v>6</v>
      </c>
      <c r="G1884" s="2">
        <f t="shared" si="88"/>
        <v>7771</v>
      </c>
    </row>
    <row r="1885" spans="1:7" x14ac:dyDescent="0.25">
      <c r="A1885" t="str">
        <f t="shared" si="89"/>
        <v>Puyehue Población de 65 años o mas</v>
      </c>
      <c r="B1885" t="s">
        <v>211</v>
      </c>
      <c r="C1885" t="s">
        <v>390</v>
      </c>
      <c r="D1885" t="s">
        <v>46</v>
      </c>
      <c r="E1885" s="2" t="s">
        <v>277</v>
      </c>
      <c r="F1885">
        <f t="shared" si="87"/>
        <v>6</v>
      </c>
      <c r="G1885" s="2">
        <f t="shared" si="88"/>
        <v>2098</v>
      </c>
    </row>
    <row r="1886" spans="1:7" x14ac:dyDescent="0.25">
      <c r="A1886" t="str">
        <f t="shared" si="89"/>
        <v>Río Negro Hombre</v>
      </c>
      <c r="B1886" t="s">
        <v>211</v>
      </c>
      <c r="C1886" t="s">
        <v>384</v>
      </c>
      <c r="D1886" t="s">
        <v>58</v>
      </c>
      <c r="E1886" s="2" t="s">
        <v>389</v>
      </c>
      <c r="F1886">
        <f t="shared" si="87"/>
        <v>6</v>
      </c>
      <c r="G1886" s="2">
        <f t="shared" si="88"/>
        <v>7055</v>
      </c>
    </row>
    <row r="1887" spans="1:7" x14ac:dyDescent="0.25">
      <c r="A1887" t="str">
        <f t="shared" si="89"/>
        <v>Río Negro Mujer</v>
      </c>
      <c r="B1887" t="s">
        <v>211</v>
      </c>
      <c r="C1887" t="s">
        <v>384</v>
      </c>
      <c r="D1887" t="s">
        <v>56</v>
      </c>
      <c r="E1887" s="2" t="s">
        <v>388</v>
      </c>
      <c r="F1887">
        <f t="shared" si="87"/>
        <v>6</v>
      </c>
      <c r="G1887" s="2">
        <f t="shared" si="88"/>
        <v>7030</v>
      </c>
    </row>
    <row r="1888" spans="1:7" x14ac:dyDescent="0.25">
      <c r="A1888" t="str">
        <f t="shared" si="89"/>
        <v>Río Negro Población total</v>
      </c>
      <c r="B1888" t="s">
        <v>211</v>
      </c>
      <c r="C1888" t="s">
        <v>384</v>
      </c>
      <c r="D1888" t="s">
        <v>54</v>
      </c>
      <c r="E1888" s="2" t="s">
        <v>387</v>
      </c>
      <c r="F1888">
        <f t="shared" si="87"/>
        <v>7</v>
      </c>
      <c r="G1888" s="2">
        <f t="shared" si="88"/>
        <v>14085</v>
      </c>
    </row>
    <row r="1889" spans="1:7" x14ac:dyDescent="0.25">
      <c r="A1889" t="str">
        <f t="shared" si="89"/>
        <v>Río Negro Población  de 0 a 14 años</v>
      </c>
      <c r="B1889" t="s">
        <v>211</v>
      </c>
      <c r="C1889" t="s">
        <v>384</v>
      </c>
      <c r="D1889" t="s">
        <v>52</v>
      </c>
      <c r="E1889" s="2" t="s">
        <v>386</v>
      </c>
      <c r="F1889">
        <f t="shared" si="87"/>
        <v>6</v>
      </c>
      <c r="G1889" s="2">
        <f t="shared" si="88"/>
        <v>2284</v>
      </c>
    </row>
    <row r="1890" spans="1:7" x14ac:dyDescent="0.25">
      <c r="A1890" t="str">
        <f t="shared" si="89"/>
        <v>Río Negro Población  de 15 a 64 años</v>
      </c>
      <c r="B1890" t="s">
        <v>211</v>
      </c>
      <c r="C1890" t="s">
        <v>384</v>
      </c>
      <c r="D1890" t="s">
        <v>50</v>
      </c>
      <c r="E1890" s="2" t="s">
        <v>385</v>
      </c>
      <c r="F1890">
        <f t="shared" si="87"/>
        <v>6</v>
      </c>
      <c r="G1890" s="2">
        <f t="shared" si="88"/>
        <v>9045</v>
      </c>
    </row>
    <row r="1891" spans="1:7" x14ac:dyDescent="0.25">
      <c r="A1891" t="str">
        <f t="shared" si="89"/>
        <v>Río Negro Población de 65 años o mas</v>
      </c>
      <c r="B1891" t="s">
        <v>211</v>
      </c>
      <c r="C1891" t="s">
        <v>384</v>
      </c>
      <c r="D1891" t="s">
        <v>46</v>
      </c>
      <c r="E1891" s="2" t="s">
        <v>383</v>
      </c>
      <c r="F1891">
        <f t="shared" si="87"/>
        <v>6</v>
      </c>
      <c r="G1891" s="2">
        <f t="shared" si="88"/>
        <v>2756</v>
      </c>
    </row>
    <row r="1892" spans="1:7" x14ac:dyDescent="0.25">
      <c r="A1892" t="str">
        <f t="shared" si="89"/>
        <v>Purranque Hombre</v>
      </c>
      <c r="B1892" t="s">
        <v>211</v>
      </c>
      <c r="C1892" t="s">
        <v>377</v>
      </c>
      <c r="D1892" t="s">
        <v>58</v>
      </c>
      <c r="E1892" s="2" t="s">
        <v>382</v>
      </c>
      <c r="F1892">
        <f t="shared" si="87"/>
        <v>7</v>
      </c>
      <c r="G1892" s="2">
        <f t="shared" si="88"/>
        <v>10412</v>
      </c>
    </row>
    <row r="1893" spans="1:7" x14ac:dyDescent="0.25">
      <c r="A1893" t="str">
        <f t="shared" si="89"/>
        <v>Purranque Mujer</v>
      </c>
      <c r="B1893" t="s">
        <v>211</v>
      </c>
      <c r="C1893" t="s">
        <v>377</v>
      </c>
      <c r="D1893" t="s">
        <v>56</v>
      </c>
      <c r="E1893" s="2" t="s">
        <v>381</v>
      </c>
      <c r="F1893">
        <f t="shared" si="87"/>
        <v>7</v>
      </c>
      <c r="G1893" s="2">
        <f t="shared" si="88"/>
        <v>10556</v>
      </c>
    </row>
    <row r="1894" spans="1:7" x14ac:dyDescent="0.25">
      <c r="A1894" t="str">
        <f t="shared" si="89"/>
        <v>Purranque Población total</v>
      </c>
      <c r="B1894" t="s">
        <v>211</v>
      </c>
      <c r="C1894" t="s">
        <v>377</v>
      </c>
      <c r="D1894" t="s">
        <v>54</v>
      </c>
      <c r="E1894" s="2" t="s">
        <v>380</v>
      </c>
      <c r="F1894">
        <f t="shared" si="87"/>
        <v>7</v>
      </c>
      <c r="G1894" s="2">
        <f t="shared" si="88"/>
        <v>20968</v>
      </c>
    </row>
    <row r="1895" spans="1:7" x14ac:dyDescent="0.25">
      <c r="A1895" t="str">
        <f t="shared" si="89"/>
        <v>Purranque Población  de 0 a 14 años</v>
      </c>
      <c r="B1895" t="s">
        <v>211</v>
      </c>
      <c r="C1895" t="s">
        <v>377</v>
      </c>
      <c r="D1895" t="s">
        <v>52</v>
      </c>
      <c r="E1895" s="2" t="s">
        <v>379</v>
      </c>
      <c r="F1895">
        <f t="shared" si="87"/>
        <v>6</v>
      </c>
      <c r="G1895" s="2">
        <f t="shared" si="88"/>
        <v>3584</v>
      </c>
    </row>
    <row r="1896" spans="1:7" x14ac:dyDescent="0.25">
      <c r="A1896" t="str">
        <f t="shared" si="89"/>
        <v>Purranque Población  de 15 a 64 años</v>
      </c>
      <c r="B1896" t="s">
        <v>211</v>
      </c>
      <c r="C1896" t="s">
        <v>377</v>
      </c>
      <c r="D1896" t="s">
        <v>50</v>
      </c>
      <c r="E1896" s="2" t="s">
        <v>378</v>
      </c>
      <c r="F1896">
        <f t="shared" si="87"/>
        <v>7</v>
      </c>
      <c r="G1896" s="2">
        <f t="shared" si="88"/>
        <v>13457</v>
      </c>
    </row>
    <row r="1897" spans="1:7" x14ac:dyDescent="0.25">
      <c r="A1897" t="str">
        <f t="shared" si="89"/>
        <v>Purranque Población de 65 años o mas</v>
      </c>
      <c r="B1897" t="s">
        <v>211</v>
      </c>
      <c r="C1897" t="s">
        <v>377</v>
      </c>
      <c r="D1897" t="s">
        <v>46</v>
      </c>
      <c r="E1897" s="2" t="s">
        <v>376</v>
      </c>
      <c r="F1897">
        <f t="shared" si="87"/>
        <v>6</v>
      </c>
      <c r="G1897" s="2">
        <f t="shared" si="88"/>
        <v>3927</v>
      </c>
    </row>
    <row r="1898" spans="1:7" x14ac:dyDescent="0.25">
      <c r="A1898" t="str">
        <f t="shared" si="89"/>
        <v>Puerto Octay Hombre</v>
      </c>
      <c r="B1898" t="s">
        <v>211</v>
      </c>
      <c r="C1898" t="s">
        <v>370</v>
      </c>
      <c r="D1898" t="s">
        <v>58</v>
      </c>
      <c r="E1898" s="2" t="s">
        <v>375</v>
      </c>
      <c r="F1898">
        <f t="shared" si="87"/>
        <v>6</v>
      </c>
      <c r="G1898" s="2">
        <f t="shared" si="88"/>
        <v>4603</v>
      </c>
    </row>
    <row r="1899" spans="1:7" x14ac:dyDescent="0.25">
      <c r="A1899" t="str">
        <f t="shared" si="89"/>
        <v>Puerto Octay Mujer</v>
      </c>
      <c r="B1899" t="s">
        <v>211</v>
      </c>
      <c r="C1899" t="s">
        <v>370</v>
      </c>
      <c r="D1899" t="s">
        <v>56</v>
      </c>
      <c r="E1899" s="2" t="s">
        <v>374</v>
      </c>
      <c r="F1899">
        <f t="shared" si="87"/>
        <v>6</v>
      </c>
      <c r="G1899" s="2">
        <f t="shared" si="88"/>
        <v>4453</v>
      </c>
    </row>
    <row r="1900" spans="1:7" x14ac:dyDescent="0.25">
      <c r="A1900" t="str">
        <f t="shared" si="89"/>
        <v>Puerto Octay Población total</v>
      </c>
      <c r="B1900" t="s">
        <v>211</v>
      </c>
      <c r="C1900" t="s">
        <v>370</v>
      </c>
      <c r="D1900" t="s">
        <v>54</v>
      </c>
      <c r="E1900" s="2" t="s">
        <v>373</v>
      </c>
      <c r="F1900">
        <f t="shared" si="87"/>
        <v>6</v>
      </c>
      <c r="G1900" s="2">
        <f t="shared" si="88"/>
        <v>9056</v>
      </c>
    </row>
    <row r="1901" spans="1:7" x14ac:dyDescent="0.25">
      <c r="A1901" t="str">
        <f t="shared" si="89"/>
        <v>Puerto Octay Población  de 0 a 14 años</v>
      </c>
      <c r="B1901" t="s">
        <v>211</v>
      </c>
      <c r="C1901" t="s">
        <v>370</v>
      </c>
      <c r="D1901" t="s">
        <v>52</v>
      </c>
      <c r="E1901" s="2" t="s">
        <v>372</v>
      </c>
      <c r="F1901">
        <f t="shared" si="87"/>
        <v>6</v>
      </c>
      <c r="G1901" s="2">
        <f t="shared" si="88"/>
        <v>1514</v>
      </c>
    </row>
    <row r="1902" spans="1:7" x14ac:dyDescent="0.25">
      <c r="A1902" t="str">
        <f t="shared" si="89"/>
        <v>Puerto Octay Población  de 15 a 64 años</v>
      </c>
      <c r="B1902" t="s">
        <v>211</v>
      </c>
      <c r="C1902" t="s">
        <v>370</v>
      </c>
      <c r="D1902" t="s">
        <v>50</v>
      </c>
      <c r="E1902" s="2" t="s">
        <v>371</v>
      </c>
      <c r="F1902">
        <f t="shared" si="87"/>
        <v>6</v>
      </c>
      <c r="G1902" s="2">
        <f t="shared" si="88"/>
        <v>6120</v>
      </c>
    </row>
    <row r="1903" spans="1:7" x14ac:dyDescent="0.25">
      <c r="A1903" t="str">
        <f t="shared" si="89"/>
        <v>Puerto Octay Población de 65 años o mas</v>
      </c>
      <c r="B1903" t="s">
        <v>211</v>
      </c>
      <c r="C1903" t="s">
        <v>370</v>
      </c>
      <c r="D1903" t="s">
        <v>46</v>
      </c>
      <c r="E1903" s="2" t="s">
        <v>369</v>
      </c>
      <c r="F1903">
        <f t="shared" si="87"/>
        <v>6</v>
      </c>
      <c r="G1903" s="2">
        <f t="shared" si="88"/>
        <v>1422</v>
      </c>
    </row>
    <row r="1904" spans="1:7" x14ac:dyDescent="0.25">
      <c r="A1904" t="str">
        <f t="shared" si="89"/>
        <v>Frutillar Hombre</v>
      </c>
      <c r="B1904" t="s">
        <v>211</v>
      </c>
      <c r="C1904" t="s">
        <v>363</v>
      </c>
      <c r="D1904" t="s">
        <v>58</v>
      </c>
      <c r="E1904" s="2" t="s">
        <v>368</v>
      </c>
      <c r="F1904">
        <f t="shared" si="87"/>
        <v>7</v>
      </c>
      <c r="G1904" s="2">
        <f t="shared" si="88"/>
        <v>10384</v>
      </c>
    </row>
    <row r="1905" spans="1:7" x14ac:dyDescent="0.25">
      <c r="A1905" t="str">
        <f t="shared" si="89"/>
        <v>Frutillar Mujer</v>
      </c>
      <c r="B1905" t="s">
        <v>211</v>
      </c>
      <c r="C1905" t="s">
        <v>363</v>
      </c>
      <c r="D1905" t="s">
        <v>56</v>
      </c>
      <c r="E1905" s="2" t="s">
        <v>367</v>
      </c>
      <c r="F1905">
        <f t="shared" si="87"/>
        <v>7</v>
      </c>
      <c r="G1905" s="2">
        <f t="shared" si="88"/>
        <v>10433</v>
      </c>
    </row>
    <row r="1906" spans="1:7" x14ac:dyDescent="0.25">
      <c r="A1906" t="str">
        <f t="shared" si="89"/>
        <v>Frutillar Población total</v>
      </c>
      <c r="B1906" t="s">
        <v>211</v>
      </c>
      <c r="C1906" t="s">
        <v>363</v>
      </c>
      <c r="D1906" t="s">
        <v>54</v>
      </c>
      <c r="E1906" s="2" t="s">
        <v>366</v>
      </c>
      <c r="F1906">
        <f t="shared" si="87"/>
        <v>7</v>
      </c>
      <c r="G1906" s="2">
        <f t="shared" si="88"/>
        <v>20817</v>
      </c>
    </row>
    <row r="1907" spans="1:7" x14ac:dyDescent="0.25">
      <c r="A1907" t="str">
        <f t="shared" si="89"/>
        <v>Frutillar Población  de 0 a 14 años</v>
      </c>
      <c r="B1907" t="s">
        <v>211</v>
      </c>
      <c r="C1907" t="s">
        <v>363</v>
      </c>
      <c r="D1907" t="s">
        <v>52</v>
      </c>
      <c r="E1907" s="2" t="s">
        <v>365</v>
      </c>
      <c r="F1907">
        <f t="shared" si="87"/>
        <v>6</v>
      </c>
      <c r="G1907" s="2">
        <f t="shared" si="88"/>
        <v>3757</v>
      </c>
    </row>
    <row r="1908" spans="1:7" x14ac:dyDescent="0.25">
      <c r="A1908" t="str">
        <f t="shared" si="89"/>
        <v>Frutillar Población  de 15 a 64 años</v>
      </c>
      <c r="B1908" t="s">
        <v>211</v>
      </c>
      <c r="C1908" t="s">
        <v>363</v>
      </c>
      <c r="D1908" t="s">
        <v>50</v>
      </c>
      <c r="E1908" s="2" t="s">
        <v>364</v>
      </c>
      <c r="F1908">
        <f t="shared" si="87"/>
        <v>7</v>
      </c>
      <c r="G1908" s="2">
        <f t="shared" si="88"/>
        <v>13978</v>
      </c>
    </row>
    <row r="1909" spans="1:7" x14ac:dyDescent="0.25">
      <c r="A1909" t="str">
        <f t="shared" si="89"/>
        <v>Frutillar Población de 65 años o mas</v>
      </c>
      <c r="B1909" t="s">
        <v>211</v>
      </c>
      <c r="C1909" t="s">
        <v>363</v>
      </c>
      <c r="D1909" t="s">
        <v>46</v>
      </c>
      <c r="E1909" s="2" t="s">
        <v>362</v>
      </c>
      <c r="F1909">
        <f t="shared" si="87"/>
        <v>6</v>
      </c>
      <c r="G1909" s="2">
        <f t="shared" si="88"/>
        <v>3082</v>
      </c>
    </row>
    <row r="1910" spans="1:7" x14ac:dyDescent="0.25">
      <c r="A1910" t="str">
        <f t="shared" si="89"/>
        <v>Fresia Hombre</v>
      </c>
      <c r="B1910" t="s">
        <v>211</v>
      </c>
      <c r="C1910" t="s">
        <v>356</v>
      </c>
      <c r="D1910" t="s">
        <v>58</v>
      </c>
      <c r="E1910" s="2" t="s">
        <v>361</v>
      </c>
      <c r="F1910">
        <f t="shared" si="87"/>
        <v>6</v>
      </c>
      <c r="G1910" s="2">
        <f t="shared" si="88"/>
        <v>6311</v>
      </c>
    </row>
    <row r="1911" spans="1:7" x14ac:dyDescent="0.25">
      <c r="A1911" t="str">
        <f t="shared" si="89"/>
        <v>Fresia Mujer</v>
      </c>
      <c r="B1911" t="s">
        <v>211</v>
      </c>
      <c r="C1911" t="s">
        <v>356</v>
      </c>
      <c r="D1911" t="s">
        <v>56</v>
      </c>
      <c r="E1911" s="2" t="s">
        <v>360</v>
      </c>
      <c r="F1911">
        <f t="shared" si="87"/>
        <v>6</v>
      </c>
      <c r="G1911" s="2">
        <f t="shared" si="88"/>
        <v>6260</v>
      </c>
    </row>
    <row r="1912" spans="1:7" x14ac:dyDescent="0.25">
      <c r="A1912" t="str">
        <f t="shared" si="89"/>
        <v>Fresia Población total</v>
      </c>
      <c r="B1912" t="s">
        <v>211</v>
      </c>
      <c r="C1912" t="s">
        <v>356</v>
      </c>
      <c r="D1912" t="s">
        <v>54</v>
      </c>
      <c r="E1912" s="2" t="s">
        <v>359</v>
      </c>
      <c r="F1912">
        <f t="shared" si="87"/>
        <v>7</v>
      </c>
      <c r="G1912" s="2">
        <f t="shared" si="88"/>
        <v>12571</v>
      </c>
    </row>
    <row r="1913" spans="1:7" x14ac:dyDescent="0.25">
      <c r="A1913" t="str">
        <f t="shared" si="89"/>
        <v>Fresia Población  de 0 a 14 años</v>
      </c>
      <c r="B1913" t="s">
        <v>211</v>
      </c>
      <c r="C1913" t="s">
        <v>356</v>
      </c>
      <c r="D1913" t="s">
        <v>52</v>
      </c>
      <c r="E1913" s="2" t="s">
        <v>358</v>
      </c>
      <c r="F1913">
        <f t="shared" si="87"/>
        <v>6</v>
      </c>
      <c r="G1913" s="2">
        <f t="shared" si="88"/>
        <v>2009</v>
      </c>
    </row>
    <row r="1914" spans="1:7" x14ac:dyDescent="0.25">
      <c r="A1914" t="str">
        <f t="shared" si="89"/>
        <v>Fresia Población  de 15 a 64 años</v>
      </c>
      <c r="B1914" t="s">
        <v>211</v>
      </c>
      <c r="C1914" t="s">
        <v>356</v>
      </c>
      <c r="D1914" t="s">
        <v>50</v>
      </c>
      <c r="E1914" s="2" t="s">
        <v>357</v>
      </c>
      <c r="F1914">
        <f t="shared" si="87"/>
        <v>6</v>
      </c>
      <c r="G1914" s="2">
        <f t="shared" si="88"/>
        <v>8220</v>
      </c>
    </row>
    <row r="1915" spans="1:7" x14ac:dyDescent="0.25">
      <c r="A1915" t="str">
        <f t="shared" si="89"/>
        <v>Fresia Población de 65 años o mas</v>
      </c>
      <c r="B1915" t="s">
        <v>211</v>
      </c>
      <c r="C1915" t="s">
        <v>356</v>
      </c>
      <c r="D1915" t="s">
        <v>46</v>
      </c>
      <c r="E1915" s="2" t="s">
        <v>355</v>
      </c>
      <c r="F1915">
        <f t="shared" si="87"/>
        <v>6</v>
      </c>
      <c r="G1915" s="2">
        <f t="shared" si="88"/>
        <v>2342</v>
      </c>
    </row>
    <row r="1916" spans="1:7" x14ac:dyDescent="0.25">
      <c r="A1916" t="str">
        <f t="shared" si="89"/>
        <v>Llanquihue Hombre</v>
      </c>
      <c r="B1916" t="s">
        <v>211</v>
      </c>
      <c r="C1916" t="s">
        <v>349</v>
      </c>
      <c r="D1916" t="s">
        <v>58</v>
      </c>
      <c r="E1916" s="2" t="s">
        <v>354</v>
      </c>
      <c r="F1916">
        <f t="shared" si="87"/>
        <v>6</v>
      </c>
      <c r="G1916" s="2">
        <f t="shared" si="88"/>
        <v>9365</v>
      </c>
    </row>
    <row r="1917" spans="1:7" x14ac:dyDescent="0.25">
      <c r="A1917" t="str">
        <f t="shared" si="89"/>
        <v>Llanquihue Mujer</v>
      </c>
      <c r="B1917" t="s">
        <v>211</v>
      </c>
      <c r="C1917" t="s">
        <v>349</v>
      </c>
      <c r="D1917" t="s">
        <v>56</v>
      </c>
      <c r="E1917" s="2" t="s">
        <v>353</v>
      </c>
      <c r="F1917">
        <f t="shared" si="87"/>
        <v>6</v>
      </c>
      <c r="G1917" s="2">
        <f t="shared" si="88"/>
        <v>9498</v>
      </c>
    </row>
    <row r="1918" spans="1:7" x14ac:dyDescent="0.25">
      <c r="A1918" t="str">
        <f t="shared" si="89"/>
        <v>Llanquihue Población total</v>
      </c>
      <c r="B1918" t="s">
        <v>211</v>
      </c>
      <c r="C1918" t="s">
        <v>349</v>
      </c>
      <c r="D1918" t="s">
        <v>54</v>
      </c>
      <c r="E1918" s="2" t="s">
        <v>352</v>
      </c>
      <c r="F1918">
        <f t="shared" si="87"/>
        <v>7</v>
      </c>
      <c r="G1918" s="2">
        <f t="shared" si="88"/>
        <v>18863</v>
      </c>
    </row>
    <row r="1919" spans="1:7" x14ac:dyDescent="0.25">
      <c r="A1919" t="str">
        <f t="shared" si="89"/>
        <v>Llanquihue Población  de 0 a 14 años</v>
      </c>
      <c r="B1919" t="s">
        <v>211</v>
      </c>
      <c r="C1919" t="s">
        <v>349</v>
      </c>
      <c r="D1919" t="s">
        <v>52</v>
      </c>
      <c r="E1919" s="2" t="s">
        <v>351</v>
      </c>
      <c r="F1919">
        <f t="shared" si="87"/>
        <v>6</v>
      </c>
      <c r="G1919" s="2">
        <f t="shared" si="88"/>
        <v>3286</v>
      </c>
    </row>
    <row r="1920" spans="1:7" x14ac:dyDescent="0.25">
      <c r="A1920" t="str">
        <f t="shared" si="89"/>
        <v>Llanquihue Población  de 15 a 64 años</v>
      </c>
      <c r="B1920" t="s">
        <v>211</v>
      </c>
      <c r="C1920" t="s">
        <v>349</v>
      </c>
      <c r="D1920" t="s">
        <v>50</v>
      </c>
      <c r="E1920" s="2" t="s">
        <v>350</v>
      </c>
      <c r="F1920">
        <f t="shared" si="87"/>
        <v>7</v>
      </c>
      <c r="G1920" s="2">
        <f t="shared" si="88"/>
        <v>12786</v>
      </c>
    </row>
    <row r="1921" spans="1:7" x14ac:dyDescent="0.25">
      <c r="A1921" t="str">
        <f t="shared" si="89"/>
        <v>Llanquihue Población de 65 años o mas</v>
      </c>
      <c r="B1921" t="s">
        <v>211</v>
      </c>
      <c r="C1921" t="s">
        <v>349</v>
      </c>
      <c r="D1921" t="s">
        <v>46</v>
      </c>
      <c r="E1921" s="2" t="s">
        <v>348</v>
      </c>
      <c r="F1921">
        <f t="shared" si="87"/>
        <v>6</v>
      </c>
      <c r="G1921" s="2">
        <f t="shared" si="88"/>
        <v>2791</v>
      </c>
    </row>
    <row r="1922" spans="1:7" x14ac:dyDescent="0.25">
      <c r="A1922" t="str">
        <f t="shared" si="89"/>
        <v>Puerto Varas Hombre</v>
      </c>
      <c r="B1922" t="s">
        <v>211</v>
      </c>
      <c r="C1922" t="s">
        <v>342</v>
      </c>
      <c r="D1922" t="s">
        <v>58</v>
      </c>
      <c r="E1922" s="2" t="s">
        <v>347</v>
      </c>
      <c r="F1922">
        <f t="shared" ref="F1922:F1985" si="90">+FIND(".",E1922)</f>
        <v>7</v>
      </c>
      <c r="G1922" s="2">
        <f t="shared" ref="G1922:G1985" si="91">+LEFT(E1922,(F1922-1))*1</f>
        <v>25415</v>
      </c>
    </row>
    <row r="1923" spans="1:7" x14ac:dyDescent="0.25">
      <c r="A1923" t="str">
        <f t="shared" ref="A1923:A1986" si="92">+C1923&amp;D1923</f>
        <v>Puerto Varas Mujer</v>
      </c>
      <c r="B1923" t="s">
        <v>211</v>
      </c>
      <c r="C1923" t="s">
        <v>342</v>
      </c>
      <c r="D1923" t="s">
        <v>56</v>
      </c>
      <c r="E1923" s="2" t="s">
        <v>346</v>
      </c>
      <c r="F1923">
        <f t="shared" si="90"/>
        <v>7</v>
      </c>
      <c r="G1923" s="2">
        <f t="shared" si="91"/>
        <v>25901</v>
      </c>
    </row>
    <row r="1924" spans="1:7" x14ac:dyDescent="0.25">
      <c r="A1924" t="str">
        <f t="shared" si="92"/>
        <v>Puerto Varas Población total</v>
      </c>
      <c r="B1924" t="s">
        <v>211</v>
      </c>
      <c r="C1924" t="s">
        <v>342</v>
      </c>
      <c r="D1924" t="s">
        <v>54</v>
      </c>
      <c r="E1924" s="2" t="s">
        <v>345</v>
      </c>
      <c r="F1924">
        <f t="shared" si="90"/>
        <v>7</v>
      </c>
      <c r="G1924" s="2">
        <f t="shared" si="91"/>
        <v>51316</v>
      </c>
    </row>
    <row r="1925" spans="1:7" x14ac:dyDescent="0.25">
      <c r="A1925" t="str">
        <f t="shared" si="92"/>
        <v>Puerto Varas Población  de 0 a 14 años</v>
      </c>
      <c r="B1925" t="s">
        <v>211</v>
      </c>
      <c r="C1925" t="s">
        <v>342</v>
      </c>
      <c r="D1925" t="s">
        <v>52</v>
      </c>
      <c r="E1925" s="2" t="s">
        <v>344</v>
      </c>
      <c r="F1925">
        <f t="shared" si="90"/>
        <v>6</v>
      </c>
      <c r="G1925" s="2">
        <f t="shared" si="91"/>
        <v>9967</v>
      </c>
    </row>
    <row r="1926" spans="1:7" x14ac:dyDescent="0.25">
      <c r="A1926" t="str">
        <f t="shared" si="92"/>
        <v>Puerto Varas Población  de 15 a 64 años</v>
      </c>
      <c r="B1926" t="s">
        <v>211</v>
      </c>
      <c r="C1926" t="s">
        <v>342</v>
      </c>
      <c r="D1926" t="s">
        <v>50</v>
      </c>
      <c r="E1926" s="2" t="s">
        <v>343</v>
      </c>
      <c r="F1926">
        <f t="shared" si="90"/>
        <v>7</v>
      </c>
      <c r="G1926" s="2">
        <f t="shared" si="91"/>
        <v>35029</v>
      </c>
    </row>
    <row r="1927" spans="1:7" x14ac:dyDescent="0.25">
      <c r="A1927" t="str">
        <f t="shared" si="92"/>
        <v>Puerto Varas Población de 65 años o mas</v>
      </c>
      <c r="B1927" t="s">
        <v>211</v>
      </c>
      <c r="C1927" t="s">
        <v>342</v>
      </c>
      <c r="D1927" t="s">
        <v>46</v>
      </c>
      <c r="E1927" s="2" t="s">
        <v>341</v>
      </c>
      <c r="F1927">
        <f t="shared" si="90"/>
        <v>6</v>
      </c>
      <c r="G1927" s="2">
        <f t="shared" si="91"/>
        <v>6320</v>
      </c>
    </row>
    <row r="1928" spans="1:7" x14ac:dyDescent="0.25">
      <c r="A1928" t="str">
        <f t="shared" si="92"/>
        <v>Los Muermos Hombre</v>
      </c>
      <c r="B1928" t="s">
        <v>211</v>
      </c>
      <c r="C1928" t="s">
        <v>335</v>
      </c>
      <c r="D1928" t="s">
        <v>58</v>
      </c>
      <c r="E1928" s="2" t="s">
        <v>340</v>
      </c>
      <c r="F1928">
        <f t="shared" si="90"/>
        <v>6</v>
      </c>
      <c r="G1928" s="2">
        <f t="shared" si="91"/>
        <v>8996</v>
      </c>
    </row>
    <row r="1929" spans="1:7" x14ac:dyDescent="0.25">
      <c r="A1929" t="str">
        <f t="shared" si="92"/>
        <v>Los Muermos Mujer</v>
      </c>
      <c r="B1929" t="s">
        <v>211</v>
      </c>
      <c r="C1929" t="s">
        <v>335</v>
      </c>
      <c r="D1929" t="s">
        <v>56</v>
      </c>
      <c r="E1929" s="2" t="s">
        <v>339</v>
      </c>
      <c r="F1929">
        <f t="shared" si="90"/>
        <v>6</v>
      </c>
      <c r="G1929" s="2">
        <f t="shared" si="91"/>
        <v>8836</v>
      </c>
    </row>
    <row r="1930" spans="1:7" x14ac:dyDescent="0.25">
      <c r="A1930" t="str">
        <f t="shared" si="92"/>
        <v>Los Muermos Población total</v>
      </c>
      <c r="B1930" t="s">
        <v>211</v>
      </c>
      <c r="C1930" t="s">
        <v>335</v>
      </c>
      <c r="D1930" t="s">
        <v>54</v>
      </c>
      <c r="E1930" s="2" t="s">
        <v>338</v>
      </c>
      <c r="F1930">
        <f t="shared" si="90"/>
        <v>7</v>
      </c>
      <c r="G1930" s="2">
        <f t="shared" si="91"/>
        <v>17832</v>
      </c>
    </row>
    <row r="1931" spans="1:7" x14ac:dyDescent="0.25">
      <c r="A1931" t="str">
        <f t="shared" si="92"/>
        <v>Los Muermos Población  de 0 a 14 años</v>
      </c>
      <c r="B1931" t="s">
        <v>211</v>
      </c>
      <c r="C1931" t="s">
        <v>335</v>
      </c>
      <c r="D1931" t="s">
        <v>52</v>
      </c>
      <c r="E1931" s="2" t="s">
        <v>337</v>
      </c>
      <c r="F1931">
        <f t="shared" si="90"/>
        <v>6</v>
      </c>
      <c r="G1931" s="2">
        <f t="shared" si="91"/>
        <v>3017</v>
      </c>
    </row>
    <row r="1932" spans="1:7" x14ac:dyDescent="0.25">
      <c r="A1932" t="str">
        <f t="shared" si="92"/>
        <v>Los Muermos Población  de 15 a 64 años</v>
      </c>
      <c r="B1932" t="s">
        <v>211</v>
      </c>
      <c r="C1932" t="s">
        <v>335</v>
      </c>
      <c r="D1932" t="s">
        <v>50</v>
      </c>
      <c r="E1932" s="2" t="s">
        <v>336</v>
      </c>
      <c r="F1932">
        <f t="shared" si="90"/>
        <v>7</v>
      </c>
      <c r="G1932" s="2">
        <f t="shared" si="91"/>
        <v>11516</v>
      </c>
    </row>
    <row r="1933" spans="1:7" x14ac:dyDescent="0.25">
      <c r="A1933" t="str">
        <f t="shared" si="92"/>
        <v>Los Muermos Población de 65 años o mas</v>
      </c>
      <c r="B1933" t="s">
        <v>211</v>
      </c>
      <c r="C1933" t="s">
        <v>335</v>
      </c>
      <c r="D1933" t="s">
        <v>46</v>
      </c>
      <c r="E1933" s="2" t="s">
        <v>334</v>
      </c>
      <c r="F1933">
        <f t="shared" si="90"/>
        <v>6</v>
      </c>
      <c r="G1933" s="2">
        <f t="shared" si="91"/>
        <v>3299</v>
      </c>
    </row>
    <row r="1934" spans="1:7" x14ac:dyDescent="0.25">
      <c r="A1934" t="str">
        <f t="shared" si="92"/>
        <v>Puerto Montt Hombre</v>
      </c>
      <c r="B1934" t="s">
        <v>211</v>
      </c>
      <c r="C1934" t="s">
        <v>328</v>
      </c>
      <c r="D1934" t="s">
        <v>58</v>
      </c>
      <c r="E1934" s="2" t="s">
        <v>333</v>
      </c>
      <c r="F1934">
        <f t="shared" si="90"/>
        <v>8</v>
      </c>
      <c r="G1934" s="2">
        <f t="shared" si="91"/>
        <v>139459</v>
      </c>
    </row>
    <row r="1935" spans="1:7" x14ac:dyDescent="0.25">
      <c r="A1935" t="str">
        <f t="shared" si="92"/>
        <v>Puerto Montt Mujer</v>
      </c>
      <c r="B1935" t="s">
        <v>211</v>
      </c>
      <c r="C1935" t="s">
        <v>328</v>
      </c>
      <c r="D1935" t="s">
        <v>56</v>
      </c>
      <c r="E1935" s="2" t="s">
        <v>332</v>
      </c>
      <c r="F1935">
        <f t="shared" si="90"/>
        <v>8</v>
      </c>
      <c r="G1935" s="2">
        <f t="shared" si="91"/>
        <v>141496</v>
      </c>
    </row>
    <row r="1936" spans="1:7" x14ac:dyDescent="0.25">
      <c r="A1936" t="str">
        <f t="shared" si="92"/>
        <v>Puerto Montt Población total</v>
      </c>
      <c r="B1936" t="s">
        <v>211</v>
      </c>
      <c r="C1936" t="s">
        <v>328</v>
      </c>
      <c r="D1936" t="s">
        <v>54</v>
      </c>
      <c r="E1936" s="2" t="s">
        <v>331</v>
      </c>
      <c r="F1936">
        <f t="shared" si="90"/>
        <v>8</v>
      </c>
      <c r="G1936" s="2">
        <f t="shared" si="91"/>
        <v>280955</v>
      </c>
    </row>
    <row r="1937" spans="1:7" x14ac:dyDescent="0.25">
      <c r="A1937" t="str">
        <f t="shared" si="92"/>
        <v>Puerto Montt Población  de 0 a 14 años</v>
      </c>
      <c r="B1937" t="s">
        <v>211</v>
      </c>
      <c r="C1937" t="s">
        <v>328</v>
      </c>
      <c r="D1937" t="s">
        <v>52</v>
      </c>
      <c r="E1937" s="2" t="s">
        <v>330</v>
      </c>
      <c r="F1937">
        <f t="shared" si="90"/>
        <v>7</v>
      </c>
      <c r="G1937" s="2">
        <f t="shared" si="91"/>
        <v>53888</v>
      </c>
    </row>
    <row r="1938" spans="1:7" x14ac:dyDescent="0.25">
      <c r="A1938" t="str">
        <f t="shared" si="92"/>
        <v>Puerto Montt Población  de 15 a 64 años</v>
      </c>
      <c r="B1938" t="s">
        <v>211</v>
      </c>
      <c r="C1938" t="s">
        <v>328</v>
      </c>
      <c r="D1938" t="s">
        <v>50</v>
      </c>
      <c r="E1938" s="2" t="s">
        <v>329</v>
      </c>
      <c r="F1938">
        <f t="shared" si="90"/>
        <v>8</v>
      </c>
      <c r="G1938" s="2">
        <f t="shared" si="91"/>
        <v>196816</v>
      </c>
    </row>
    <row r="1939" spans="1:7" x14ac:dyDescent="0.25">
      <c r="A1939" t="str">
        <f t="shared" si="92"/>
        <v>Puerto Montt Población de 65 años o mas</v>
      </c>
      <c r="B1939" t="s">
        <v>211</v>
      </c>
      <c r="C1939" t="s">
        <v>328</v>
      </c>
      <c r="D1939" t="s">
        <v>46</v>
      </c>
      <c r="E1939" s="2" t="s">
        <v>327</v>
      </c>
      <c r="F1939">
        <f t="shared" si="90"/>
        <v>7</v>
      </c>
      <c r="G1939" s="2">
        <f t="shared" si="91"/>
        <v>30251</v>
      </c>
    </row>
    <row r="1940" spans="1:7" x14ac:dyDescent="0.25">
      <c r="A1940" t="str">
        <f t="shared" si="92"/>
        <v>Maullín Hombre</v>
      </c>
      <c r="B1940" t="s">
        <v>211</v>
      </c>
      <c r="C1940" t="s">
        <v>321</v>
      </c>
      <c r="D1940" t="s">
        <v>58</v>
      </c>
      <c r="E1940" s="2" t="s">
        <v>326</v>
      </c>
      <c r="F1940">
        <f t="shared" si="90"/>
        <v>6</v>
      </c>
      <c r="G1940" s="2">
        <f t="shared" si="91"/>
        <v>7451</v>
      </c>
    </row>
    <row r="1941" spans="1:7" x14ac:dyDescent="0.25">
      <c r="A1941" t="str">
        <f t="shared" si="92"/>
        <v>Maullín Mujer</v>
      </c>
      <c r="B1941" t="s">
        <v>211</v>
      </c>
      <c r="C1941" t="s">
        <v>321</v>
      </c>
      <c r="D1941" t="s">
        <v>56</v>
      </c>
      <c r="E1941" s="2" t="s">
        <v>325</v>
      </c>
      <c r="F1941">
        <f t="shared" si="90"/>
        <v>6</v>
      </c>
      <c r="G1941" s="2">
        <f t="shared" si="91"/>
        <v>7284</v>
      </c>
    </row>
    <row r="1942" spans="1:7" x14ac:dyDescent="0.25">
      <c r="A1942" t="str">
        <f t="shared" si="92"/>
        <v>Maullín Población total</v>
      </c>
      <c r="B1942" t="s">
        <v>211</v>
      </c>
      <c r="C1942" t="s">
        <v>321</v>
      </c>
      <c r="D1942" t="s">
        <v>54</v>
      </c>
      <c r="E1942" s="2" t="s">
        <v>324</v>
      </c>
      <c r="F1942">
        <f t="shared" si="90"/>
        <v>7</v>
      </c>
      <c r="G1942" s="2">
        <f t="shared" si="91"/>
        <v>14735</v>
      </c>
    </row>
    <row r="1943" spans="1:7" x14ac:dyDescent="0.25">
      <c r="A1943" t="str">
        <f t="shared" si="92"/>
        <v>Maullín Población  de 0 a 14 años</v>
      </c>
      <c r="B1943" t="s">
        <v>211</v>
      </c>
      <c r="C1943" t="s">
        <v>321</v>
      </c>
      <c r="D1943" t="s">
        <v>52</v>
      </c>
      <c r="E1943" s="2" t="s">
        <v>323</v>
      </c>
      <c r="F1943">
        <f t="shared" si="90"/>
        <v>6</v>
      </c>
      <c r="G1943" s="2">
        <f t="shared" si="91"/>
        <v>2229</v>
      </c>
    </row>
    <row r="1944" spans="1:7" x14ac:dyDescent="0.25">
      <c r="A1944" t="str">
        <f t="shared" si="92"/>
        <v>Maullín Población  de 15 a 64 años</v>
      </c>
      <c r="B1944" t="s">
        <v>211</v>
      </c>
      <c r="C1944" t="s">
        <v>321</v>
      </c>
      <c r="D1944" t="s">
        <v>50</v>
      </c>
      <c r="E1944" s="2" t="s">
        <v>322</v>
      </c>
      <c r="F1944">
        <f t="shared" si="90"/>
        <v>6</v>
      </c>
      <c r="G1944" s="2">
        <f t="shared" si="91"/>
        <v>9531</v>
      </c>
    </row>
    <row r="1945" spans="1:7" x14ac:dyDescent="0.25">
      <c r="A1945" t="str">
        <f t="shared" si="92"/>
        <v>Maullín Población de 65 años o mas</v>
      </c>
      <c r="B1945" t="s">
        <v>211</v>
      </c>
      <c r="C1945" t="s">
        <v>321</v>
      </c>
      <c r="D1945" t="s">
        <v>46</v>
      </c>
      <c r="E1945" s="2" t="s">
        <v>320</v>
      </c>
      <c r="F1945">
        <f t="shared" si="90"/>
        <v>6</v>
      </c>
      <c r="G1945" s="2">
        <f t="shared" si="91"/>
        <v>2975</v>
      </c>
    </row>
    <row r="1946" spans="1:7" x14ac:dyDescent="0.25">
      <c r="A1946" t="str">
        <f t="shared" si="92"/>
        <v>Cochamó Hombre</v>
      </c>
      <c r="B1946" t="s">
        <v>211</v>
      </c>
      <c r="C1946" t="s">
        <v>314</v>
      </c>
      <c r="D1946" t="s">
        <v>58</v>
      </c>
      <c r="E1946" s="2" t="s">
        <v>319</v>
      </c>
      <c r="F1946">
        <f t="shared" si="90"/>
        <v>6</v>
      </c>
      <c r="G1946" s="2">
        <f t="shared" si="91"/>
        <v>2031</v>
      </c>
    </row>
    <row r="1947" spans="1:7" x14ac:dyDescent="0.25">
      <c r="A1947" t="str">
        <f t="shared" si="92"/>
        <v>Cochamó Mujer</v>
      </c>
      <c r="B1947" t="s">
        <v>211</v>
      </c>
      <c r="C1947" t="s">
        <v>314</v>
      </c>
      <c r="D1947" t="s">
        <v>56</v>
      </c>
      <c r="E1947" s="2" t="s">
        <v>318</v>
      </c>
      <c r="F1947">
        <f t="shared" si="90"/>
        <v>6</v>
      </c>
      <c r="G1947" s="2">
        <f t="shared" si="91"/>
        <v>1916</v>
      </c>
    </row>
    <row r="1948" spans="1:7" x14ac:dyDescent="0.25">
      <c r="A1948" t="str">
        <f t="shared" si="92"/>
        <v>Cochamó Población total</v>
      </c>
      <c r="B1948" t="s">
        <v>211</v>
      </c>
      <c r="C1948" t="s">
        <v>314</v>
      </c>
      <c r="D1948" t="s">
        <v>54</v>
      </c>
      <c r="E1948" s="2" t="s">
        <v>317</v>
      </c>
      <c r="F1948">
        <f t="shared" si="90"/>
        <v>6</v>
      </c>
      <c r="G1948" s="2">
        <f t="shared" si="91"/>
        <v>3947</v>
      </c>
    </row>
    <row r="1949" spans="1:7" x14ac:dyDescent="0.25">
      <c r="A1949" t="str">
        <f t="shared" si="92"/>
        <v>Cochamó Población  de 0 a 14 años</v>
      </c>
      <c r="B1949" t="s">
        <v>211</v>
      </c>
      <c r="C1949" t="s">
        <v>314</v>
      </c>
      <c r="D1949" t="s">
        <v>52</v>
      </c>
      <c r="E1949" s="2" t="s">
        <v>316</v>
      </c>
      <c r="F1949">
        <f t="shared" si="90"/>
        <v>5</v>
      </c>
      <c r="G1949" s="2">
        <f t="shared" si="91"/>
        <v>569</v>
      </c>
    </row>
    <row r="1950" spans="1:7" x14ac:dyDescent="0.25">
      <c r="A1950" t="str">
        <f t="shared" si="92"/>
        <v>Cochamó Población  de 15 a 64 años</v>
      </c>
      <c r="B1950" t="s">
        <v>211</v>
      </c>
      <c r="C1950" t="s">
        <v>314</v>
      </c>
      <c r="D1950" t="s">
        <v>50</v>
      </c>
      <c r="E1950" s="2" t="s">
        <v>315</v>
      </c>
      <c r="F1950">
        <f t="shared" si="90"/>
        <v>6</v>
      </c>
      <c r="G1950" s="2">
        <f t="shared" si="91"/>
        <v>2563</v>
      </c>
    </row>
    <row r="1951" spans="1:7" x14ac:dyDescent="0.25">
      <c r="A1951" t="str">
        <f t="shared" si="92"/>
        <v>Cochamó Población de 65 años o mas</v>
      </c>
      <c r="B1951" t="s">
        <v>211</v>
      </c>
      <c r="C1951" t="s">
        <v>314</v>
      </c>
      <c r="D1951" t="s">
        <v>46</v>
      </c>
      <c r="E1951" s="2" t="s">
        <v>155</v>
      </c>
      <c r="F1951">
        <f t="shared" si="90"/>
        <v>5</v>
      </c>
      <c r="G1951" s="2">
        <f t="shared" si="91"/>
        <v>815</v>
      </c>
    </row>
    <row r="1952" spans="1:7" x14ac:dyDescent="0.25">
      <c r="A1952" t="str">
        <f t="shared" si="92"/>
        <v>Calbuco Hombre</v>
      </c>
      <c r="B1952" t="s">
        <v>211</v>
      </c>
      <c r="C1952" t="s">
        <v>308</v>
      </c>
      <c r="D1952" t="s">
        <v>58</v>
      </c>
      <c r="E1952" s="2" t="s">
        <v>313</v>
      </c>
      <c r="F1952">
        <f t="shared" si="90"/>
        <v>7</v>
      </c>
      <c r="G1952" s="2">
        <f t="shared" si="91"/>
        <v>18909</v>
      </c>
    </row>
    <row r="1953" spans="1:7" x14ac:dyDescent="0.25">
      <c r="A1953" t="str">
        <f t="shared" si="92"/>
        <v>Calbuco Mujer</v>
      </c>
      <c r="B1953" t="s">
        <v>211</v>
      </c>
      <c r="C1953" t="s">
        <v>308</v>
      </c>
      <c r="D1953" t="s">
        <v>56</v>
      </c>
      <c r="E1953" s="2" t="s">
        <v>312</v>
      </c>
      <c r="F1953">
        <f t="shared" si="90"/>
        <v>7</v>
      </c>
      <c r="G1953" s="2">
        <f t="shared" si="91"/>
        <v>18717</v>
      </c>
    </row>
    <row r="1954" spans="1:7" x14ac:dyDescent="0.25">
      <c r="A1954" t="str">
        <f t="shared" si="92"/>
        <v>Calbuco Población total</v>
      </c>
      <c r="B1954" t="s">
        <v>211</v>
      </c>
      <c r="C1954" t="s">
        <v>308</v>
      </c>
      <c r="D1954" t="s">
        <v>54</v>
      </c>
      <c r="E1954" s="2" t="s">
        <v>311</v>
      </c>
      <c r="F1954">
        <f t="shared" si="90"/>
        <v>7</v>
      </c>
      <c r="G1954" s="2">
        <f t="shared" si="91"/>
        <v>37626</v>
      </c>
    </row>
    <row r="1955" spans="1:7" x14ac:dyDescent="0.25">
      <c r="A1955" t="str">
        <f t="shared" si="92"/>
        <v>Calbuco Población  de 0 a 14 años</v>
      </c>
      <c r="B1955" t="s">
        <v>211</v>
      </c>
      <c r="C1955" t="s">
        <v>308</v>
      </c>
      <c r="D1955" t="s">
        <v>52</v>
      </c>
      <c r="E1955" s="2" t="s">
        <v>310</v>
      </c>
      <c r="F1955">
        <f t="shared" si="90"/>
        <v>6</v>
      </c>
      <c r="G1955" s="2">
        <f t="shared" si="91"/>
        <v>6851</v>
      </c>
    </row>
    <row r="1956" spans="1:7" x14ac:dyDescent="0.25">
      <c r="A1956" t="str">
        <f t="shared" si="92"/>
        <v>Calbuco Población  de 15 a 64 años</v>
      </c>
      <c r="B1956" t="s">
        <v>211</v>
      </c>
      <c r="C1956" t="s">
        <v>308</v>
      </c>
      <c r="D1956" t="s">
        <v>50</v>
      </c>
      <c r="E1956" s="2" t="s">
        <v>309</v>
      </c>
      <c r="F1956">
        <f t="shared" si="90"/>
        <v>7</v>
      </c>
      <c r="G1956" s="2">
        <f t="shared" si="91"/>
        <v>24728</v>
      </c>
    </row>
    <row r="1957" spans="1:7" x14ac:dyDescent="0.25">
      <c r="A1957" t="str">
        <f t="shared" si="92"/>
        <v>Calbuco Población de 65 años o mas</v>
      </c>
      <c r="B1957" t="s">
        <v>211</v>
      </c>
      <c r="C1957" t="s">
        <v>308</v>
      </c>
      <c r="D1957" t="s">
        <v>46</v>
      </c>
      <c r="E1957" s="2" t="s">
        <v>307</v>
      </c>
      <c r="F1957">
        <f t="shared" si="90"/>
        <v>6</v>
      </c>
      <c r="G1957" s="2">
        <f t="shared" si="91"/>
        <v>6047</v>
      </c>
    </row>
    <row r="1958" spans="1:7" x14ac:dyDescent="0.25">
      <c r="A1958" t="str">
        <f t="shared" si="92"/>
        <v>Ancud Hombre</v>
      </c>
      <c r="B1958" t="s">
        <v>211</v>
      </c>
      <c r="C1958" t="s">
        <v>301</v>
      </c>
      <c r="D1958" t="s">
        <v>58</v>
      </c>
      <c r="E1958" s="2" t="s">
        <v>306</v>
      </c>
      <c r="F1958">
        <f t="shared" si="90"/>
        <v>7</v>
      </c>
      <c r="G1958" s="2">
        <f t="shared" si="91"/>
        <v>21169</v>
      </c>
    </row>
    <row r="1959" spans="1:7" x14ac:dyDescent="0.25">
      <c r="A1959" t="str">
        <f t="shared" si="92"/>
        <v>Ancud Mujer</v>
      </c>
      <c r="B1959" t="s">
        <v>211</v>
      </c>
      <c r="C1959" t="s">
        <v>301</v>
      </c>
      <c r="D1959" t="s">
        <v>56</v>
      </c>
      <c r="E1959" s="2" t="s">
        <v>305</v>
      </c>
      <c r="F1959">
        <f t="shared" si="90"/>
        <v>7</v>
      </c>
      <c r="G1959" s="2">
        <f t="shared" si="91"/>
        <v>21355</v>
      </c>
    </row>
    <row r="1960" spans="1:7" x14ac:dyDescent="0.25">
      <c r="A1960" t="str">
        <f t="shared" si="92"/>
        <v>Ancud Población total</v>
      </c>
      <c r="B1960" t="s">
        <v>211</v>
      </c>
      <c r="C1960" t="s">
        <v>301</v>
      </c>
      <c r="D1960" t="s">
        <v>54</v>
      </c>
      <c r="E1960" s="2" t="s">
        <v>304</v>
      </c>
      <c r="F1960">
        <f t="shared" si="90"/>
        <v>7</v>
      </c>
      <c r="G1960" s="2">
        <f t="shared" si="91"/>
        <v>42524</v>
      </c>
    </row>
    <row r="1961" spans="1:7" x14ac:dyDescent="0.25">
      <c r="A1961" t="str">
        <f t="shared" si="92"/>
        <v>Ancud Población  de 0 a 14 años</v>
      </c>
      <c r="B1961" t="s">
        <v>211</v>
      </c>
      <c r="C1961" t="s">
        <v>301</v>
      </c>
      <c r="D1961" t="s">
        <v>52</v>
      </c>
      <c r="E1961" s="2" t="s">
        <v>303</v>
      </c>
      <c r="F1961">
        <f t="shared" si="90"/>
        <v>6</v>
      </c>
      <c r="G1961" s="2">
        <f t="shared" si="91"/>
        <v>7228</v>
      </c>
    </row>
    <row r="1962" spans="1:7" x14ac:dyDescent="0.25">
      <c r="A1962" t="str">
        <f t="shared" si="92"/>
        <v>Ancud Población  de 15 a 64 años</v>
      </c>
      <c r="B1962" t="s">
        <v>211</v>
      </c>
      <c r="C1962" t="s">
        <v>301</v>
      </c>
      <c r="D1962" t="s">
        <v>50</v>
      </c>
      <c r="E1962" s="2" t="s">
        <v>302</v>
      </c>
      <c r="F1962">
        <f t="shared" si="90"/>
        <v>7</v>
      </c>
      <c r="G1962" s="2">
        <f t="shared" si="91"/>
        <v>28368</v>
      </c>
    </row>
    <row r="1963" spans="1:7" x14ac:dyDescent="0.25">
      <c r="A1963" t="str">
        <f t="shared" si="92"/>
        <v>Ancud Población de 65 años o mas</v>
      </c>
      <c r="B1963" t="s">
        <v>211</v>
      </c>
      <c r="C1963" t="s">
        <v>301</v>
      </c>
      <c r="D1963" t="s">
        <v>46</v>
      </c>
      <c r="E1963" s="2" t="s">
        <v>300</v>
      </c>
      <c r="F1963">
        <f t="shared" si="90"/>
        <v>6</v>
      </c>
      <c r="G1963" s="2">
        <f t="shared" si="91"/>
        <v>6928</v>
      </c>
    </row>
    <row r="1964" spans="1:7" x14ac:dyDescent="0.25">
      <c r="A1964" t="str">
        <f t="shared" si="92"/>
        <v>Hualaihué Hombre</v>
      </c>
      <c r="B1964" t="s">
        <v>211</v>
      </c>
      <c r="C1964" t="s">
        <v>294</v>
      </c>
      <c r="D1964" t="s">
        <v>58</v>
      </c>
      <c r="E1964" s="2" t="s">
        <v>299</v>
      </c>
      <c r="F1964">
        <f t="shared" si="90"/>
        <v>6</v>
      </c>
      <c r="G1964" s="2">
        <f t="shared" si="91"/>
        <v>4873</v>
      </c>
    </row>
    <row r="1965" spans="1:7" x14ac:dyDescent="0.25">
      <c r="A1965" t="str">
        <f t="shared" si="92"/>
        <v>Hualaihué Mujer</v>
      </c>
      <c r="B1965" t="s">
        <v>211</v>
      </c>
      <c r="C1965" t="s">
        <v>294</v>
      </c>
      <c r="D1965" t="s">
        <v>56</v>
      </c>
      <c r="E1965" s="2" t="s">
        <v>298</v>
      </c>
      <c r="F1965">
        <f t="shared" si="90"/>
        <v>6</v>
      </c>
      <c r="G1965" s="2">
        <f t="shared" si="91"/>
        <v>4713</v>
      </c>
    </row>
    <row r="1966" spans="1:7" x14ac:dyDescent="0.25">
      <c r="A1966" t="str">
        <f t="shared" si="92"/>
        <v>Hualaihué Población total</v>
      </c>
      <c r="B1966" t="s">
        <v>211</v>
      </c>
      <c r="C1966" t="s">
        <v>294</v>
      </c>
      <c r="D1966" t="s">
        <v>54</v>
      </c>
      <c r="E1966" s="2" t="s">
        <v>297</v>
      </c>
      <c r="F1966">
        <f t="shared" si="90"/>
        <v>6</v>
      </c>
      <c r="G1966" s="2">
        <f t="shared" si="91"/>
        <v>9586</v>
      </c>
    </row>
    <row r="1967" spans="1:7" x14ac:dyDescent="0.25">
      <c r="A1967" t="str">
        <f t="shared" si="92"/>
        <v>Hualaihué Población  de 0 a 14 años</v>
      </c>
      <c r="B1967" t="s">
        <v>211</v>
      </c>
      <c r="C1967" t="s">
        <v>294</v>
      </c>
      <c r="D1967" t="s">
        <v>52</v>
      </c>
      <c r="E1967" s="2" t="s">
        <v>296</v>
      </c>
      <c r="F1967">
        <f t="shared" si="90"/>
        <v>6</v>
      </c>
      <c r="G1967" s="2">
        <f t="shared" si="91"/>
        <v>1844</v>
      </c>
    </row>
    <row r="1968" spans="1:7" x14ac:dyDescent="0.25">
      <c r="A1968" t="str">
        <f t="shared" si="92"/>
        <v>Hualaihué Población  de 15 a 64 años</v>
      </c>
      <c r="B1968" t="s">
        <v>211</v>
      </c>
      <c r="C1968" t="s">
        <v>294</v>
      </c>
      <c r="D1968" t="s">
        <v>50</v>
      </c>
      <c r="E1968" s="2" t="s">
        <v>295</v>
      </c>
      <c r="F1968">
        <f t="shared" si="90"/>
        <v>6</v>
      </c>
      <c r="G1968" s="2">
        <f t="shared" si="91"/>
        <v>6376</v>
      </c>
    </row>
    <row r="1969" spans="1:7" x14ac:dyDescent="0.25">
      <c r="A1969" t="str">
        <f t="shared" si="92"/>
        <v>Hualaihué Población de 65 años o mas</v>
      </c>
      <c r="B1969" t="s">
        <v>211</v>
      </c>
      <c r="C1969" t="s">
        <v>294</v>
      </c>
      <c r="D1969" t="s">
        <v>46</v>
      </c>
      <c r="E1969" s="2" t="s">
        <v>293</v>
      </c>
      <c r="F1969">
        <f t="shared" si="90"/>
        <v>6</v>
      </c>
      <c r="G1969" s="2">
        <f t="shared" si="91"/>
        <v>1366</v>
      </c>
    </row>
    <row r="1970" spans="1:7" x14ac:dyDescent="0.25">
      <c r="A1970" t="str">
        <f t="shared" si="92"/>
        <v>Quemchi Hombre</v>
      </c>
      <c r="B1970" t="s">
        <v>211</v>
      </c>
      <c r="C1970" t="s">
        <v>287</v>
      </c>
      <c r="D1970" t="s">
        <v>58</v>
      </c>
      <c r="E1970" s="2" t="s">
        <v>292</v>
      </c>
      <c r="F1970">
        <f t="shared" si="90"/>
        <v>6</v>
      </c>
      <c r="G1970" s="2">
        <f t="shared" si="91"/>
        <v>4411</v>
      </c>
    </row>
    <row r="1971" spans="1:7" x14ac:dyDescent="0.25">
      <c r="A1971" t="str">
        <f t="shared" si="92"/>
        <v>Quemchi Mujer</v>
      </c>
      <c r="B1971" t="s">
        <v>211</v>
      </c>
      <c r="C1971" t="s">
        <v>287</v>
      </c>
      <c r="D1971" t="s">
        <v>56</v>
      </c>
      <c r="E1971" s="2" t="s">
        <v>291</v>
      </c>
      <c r="F1971">
        <f t="shared" si="90"/>
        <v>6</v>
      </c>
      <c r="G1971" s="2">
        <f t="shared" si="91"/>
        <v>4343</v>
      </c>
    </row>
    <row r="1972" spans="1:7" x14ac:dyDescent="0.25">
      <c r="A1972" t="str">
        <f t="shared" si="92"/>
        <v>Quemchi Población total</v>
      </c>
      <c r="B1972" t="s">
        <v>211</v>
      </c>
      <c r="C1972" t="s">
        <v>287</v>
      </c>
      <c r="D1972" t="s">
        <v>54</v>
      </c>
      <c r="E1972" s="2" t="s">
        <v>290</v>
      </c>
      <c r="F1972">
        <f t="shared" si="90"/>
        <v>6</v>
      </c>
      <c r="G1972" s="2">
        <f t="shared" si="91"/>
        <v>8754</v>
      </c>
    </row>
    <row r="1973" spans="1:7" x14ac:dyDescent="0.25">
      <c r="A1973" t="str">
        <f t="shared" si="92"/>
        <v>Quemchi Población  de 0 a 14 años</v>
      </c>
      <c r="B1973" t="s">
        <v>211</v>
      </c>
      <c r="C1973" t="s">
        <v>287</v>
      </c>
      <c r="D1973" t="s">
        <v>52</v>
      </c>
      <c r="E1973" s="2" t="s">
        <v>289</v>
      </c>
      <c r="F1973">
        <f t="shared" si="90"/>
        <v>6</v>
      </c>
      <c r="G1973" s="2">
        <f t="shared" si="91"/>
        <v>1437</v>
      </c>
    </row>
    <row r="1974" spans="1:7" x14ac:dyDescent="0.25">
      <c r="A1974" t="str">
        <f t="shared" si="92"/>
        <v>Quemchi Población  de 15 a 64 años</v>
      </c>
      <c r="B1974" t="s">
        <v>211</v>
      </c>
      <c r="C1974" t="s">
        <v>287</v>
      </c>
      <c r="D1974" t="s">
        <v>50</v>
      </c>
      <c r="E1974" s="2" t="s">
        <v>288</v>
      </c>
      <c r="F1974">
        <f t="shared" si="90"/>
        <v>6</v>
      </c>
      <c r="G1974" s="2">
        <f t="shared" si="91"/>
        <v>5620</v>
      </c>
    </row>
    <row r="1975" spans="1:7" x14ac:dyDescent="0.25">
      <c r="A1975" t="str">
        <f t="shared" si="92"/>
        <v>Quemchi Población de 65 años o mas</v>
      </c>
      <c r="B1975" t="s">
        <v>211</v>
      </c>
      <c r="C1975" t="s">
        <v>287</v>
      </c>
      <c r="D1975" t="s">
        <v>46</v>
      </c>
      <c r="E1975" s="2" t="s">
        <v>286</v>
      </c>
      <c r="F1975">
        <f t="shared" si="90"/>
        <v>6</v>
      </c>
      <c r="G1975" s="2">
        <f t="shared" si="91"/>
        <v>1697</v>
      </c>
    </row>
    <row r="1976" spans="1:7" x14ac:dyDescent="0.25">
      <c r="A1976" t="str">
        <f t="shared" si="92"/>
        <v>Dalcahue Hombre</v>
      </c>
      <c r="B1976" t="s">
        <v>211</v>
      </c>
      <c r="C1976" t="s">
        <v>280</v>
      </c>
      <c r="D1976" t="s">
        <v>58</v>
      </c>
      <c r="E1976" s="2" t="s">
        <v>285</v>
      </c>
      <c r="F1976">
        <f t="shared" si="90"/>
        <v>6</v>
      </c>
      <c r="G1976" s="2">
        <f t="shared" si="91"/>
        <v>7730</v>
      </c>
    </row>
    <row r="1977" spans="1:7" x14ac:dyDescent="0.25">
      <c r="A1977" t="str">
        <f t="shared" si="92"/>
        <v>Dalcahue Mujer</v>
      </c>
      <c r="B1977" t="s">
        <v>211</v>
      </c>
      <c r="C1977" t="s">
        <v>280</v>
      </c>
      <c r="D1977" t="s">
        <v>56</v>
      </c>
      <c r="E1977" s="2" t="s">
        <v>284</v>
      </c>
      <c r="F1977">
        <f t="shared" si="90"/>
        <v>6</v>
      </c>
      <c r="G1977" s="2">
        <f t="shared" si="91"/>
        <v>7726</v>
      </c>
    </row>
    <row r="1978" spans="1:7" x14ac:dyDescent="0.25">
      <c r="A1978" t="str">
        <f t="shared" si="92"/>
        <v>Dalcahue Población total</v>
      </c>
      <c r="B1978" t="s">
        <v>211</v>
      </c>
      <c r="C1978" t="s">
        <v>280</v>
      </c>
      <c r="D1978" t="s">
        <v>54</v>
      </c>
      <c r="E1978" s="2" t="s">
        <v>283</v>
      </c>
      <c r="F1978">
        <f t="shared" si="90"/>
        <v>7</v>
      </c>
      <c r="G1978" s="2">
        <f t="shared" si="91"/>
        <v>15456</v>
      </c>
    </row>
    <row r="1979" spans="1:7" x14ac:dyDescent="0.25">
      <c r="A1979" t="str">
        <f t="shared" si="92"/>
        <v>Dalcahue Población  de 0 a 14 años</v>
      </c>
      <c r="B1979" t="s">
        <v>211</v>
      </c>
      <c r="C1979" t="s">
        <v>280</v>
      </c>
      <c r="D1979" t="s">
        <v>52</v>
      </c>
      <c r="E1979" s="2" t="s">
        <v>282</v>
      </c>
      <c r="F1979">
        <f t="shared" si="90"/>
        <v>6</v>
      </c>
      <c r="G1979" s="2">
        <f t="shared" si="91"/>
        <v>2883</v>
      </c>
    </row>
    <row r="1980" spans="1:7" x14ac:dyDescent="0.25">
      <c r="A1980" t="str">
        <f t="shared" si="92"/>
        <v>Dalcahue Población  de 15 a 64 años</v>
      </c>
      <c r="B1980" t="s">
        <v>211</v>
      </c>
      <c r="C1980" t="s">
        <v>280</v>
      </c>
      <c r="D1980" t="s">
        <v>50</v>
      </c>
      <c r="E1980" s="2" t="s">
        <v>281</v>
      </c>
      <c r="F1980">
        <f t="shared" si="90"/>
        <v>7</v>
      </c>
      <c r="G1980" s="2">
        <f t="shared" si="91"/>
        <v>10341</v>
      </c>
    </row>
    <row r="1981" spans="1:7" x14ac:dyDescent="0.25">
      <c r="A1981" t="str">
        <f t="shared" si="92"/>
        <v>Dalcahue Población de 65 años o mas</v>
      </c>
      <c r="B1981" t="s">
        <v>211</v>
      </c>
      <c r="C1981" t="s">
        <v>280</v>
      </c>
      <c r="D1981" t="s">
        <v>46</v>
      </c>
      <c r="E1981" s="2" t="s">
        <v>279</v>
      </c>
      <c r="F1981">
        <f t="shared" si="90"/>
        <v>6</v>
      </c>
      <c r="G1981" s="2">
        <f t="shared" si="91"/>
        <v>2232</v>
      </c>
    </row>
    <row r="1982" spans="1:7" x14ac:dyDescent="0.25">
      <c r="A1982" t="str">
        <f t="shared" si="92"/>
        <v>Curaco De Vélez Hombre</v>
      </c>
      <c r="B1982" t="s">
        <v>211</v>
      </c>
      <c r="C1982" t="s">
        <v>273</v>
      </c>
      <c r="D1982" t="s">
        <v>58</v>
      </c>
      <c r="E1982" s="2" t="s">
        <v>278</v>
      </c>
      <c r="F1982">
        <f t="shared" si="90"/>
        <v>6</v>
      </c>
      <c r="G1982" s="2">
        <f t="shared" si="91"/>
        <v>2037</v>
      </c>
    </row>
    <row r="1983" spans="1:7" x14ac:dyDescent="0.25">
      <c r="A1983" t="str">
        <f t="shared" si="92"/>
        <v>Curaco De Vélez Mujer</v>
      </c>
      <c r="B1983" t="s">
        <v>211</v>
      </c>
      <c r="C1983" t="s">
        <v>273</v>
      </c>
      <c r="D1983" t="s">
        <v>56</v>
      </c>
      <c r="E1983" s="2" t="s">
        <v>277</v>
      </c>
      <c r="F1983">
        <f t="shared" si="90"/>
        <v>6</v>
      </c>
      <c r="G1983" s="2">
        <f t="shared" si="91"/>
        <v>2098</v>
      </c>
    </row>
    <row r="1984" spans="1:7" x14ac:dyDescent="0.25">
      <c r="A1984" t="str">
        <f t="shared" si="92"/>
        <v>Curaco De Vélez Población total</v>
      </c>
      <c r="B1984" t="s">
        <v>211</v>
      </c>
      <c r="C1984" t="s">
        <v>273</v>
      </c>
      <c r="D1984" t="s">
        <v>54</v>
      </c>
      <c r="E1984" s="2" t="s">
        <v>276</v>
      </c>
      <c r="F1984">
        <f t="shared" si="90"/>
        <v>6</v>
      </c>
      <c r="G1984" s="2">
        <f t="shared" si="91"/>
        <v>4135</v>
      </c>
    </row>
    <row r="1985" spans="1:7" x14ac:dyDescent="0.25">
      <c r="A1985" t="str">
        <f t="shared" si="92"/>
        <v>Curaco De Vélez Población  de 0 a 14 años</v>
      </c>
      <c r="B1985" t="s">
        <v>211</v>
      </c>
      <c r="C1985" t="s">
        <v>273</v>
      </c>
      <c r="D1985" t="s">
        <v>52</v>
      </c>
      <c r="E1985" s="2" t="s">
        <v>275</v>
      </c>
      <c r="F1985">
        <f t="shared" si="90"/>
        <v>5</v>
      </c>
      <c r="G1985" s="2">
        <f t="shared" si="91"/>
        <v>734</v>
      </c>
    </row>
    <row r="1986" spans="1:7" x14ac:dyDescent="0.25">
      <c r="A1986" t="str">
        <f t="shared" si="92"/>
        <v>Curaco De Vélez Población  de 15 a 64 años</v>
      </c>
      <c r="B1986" t="s">
        <v>211</v>
      </c>
      <c r="C1986" t="s">
        <v>273</v>
      </c>
      <c r="D1986" t="s">
        <v>50</v>
      </c>
      <c r="E1986" s="2" t="s">
        <v>274</v>
      </c>
      <c r="F1986">
        <f t="shared" ref="F1986:F2049" si="93">+FIND(".",E1986)</f>
        <v>6</v>
      </c>
      <c r="G1986" s="2">
        <f t="shared" ref="G1986:G2049" si="94">+LEFT(E1986,(F1986-1))*1</f>
        <v>2612</v>
      </c>
    </row>
    <row r="1987" spans="1:7" x14ac:dyDescent="0.25">
      <c r="A1987" t="str">
        <f t="shared" ref="A1987:A2050" si="95">+C1987&amp;D1987</f>
        <v>Curaco De Vélez Población de 65 años o mas</v>
      </c>
      <c r="B1987" t="s">
        <v>211</v>
      </c>
      <c r="C1987" t="s">
        <v>273</v>
      </c>
      <c r="D1987" t="s">
        <v>46</v>
      </c>
      <c r="E1987" s="2" t="s">
        <v>272</v>
      </c>
      <c r="F1987">
        <f t="shared" si="93"/>
        <v>5</v>
      </c>
      <c r="G1987" s="2">
        <f t="shared" si="94"/>
        <v>789</v>
      </c>
    </row>
    <row r="1988" spans="1:7" x14ac:dyDescent="0.25">
      <c r="A1988" t="str">
        <f t="shared" si="95"/>
        <v>Quinchao Hombre</v>
      </c>
      <c r="B1988" t="s">
        <v>211</v>
      </c>
      <c r="C1988" t="s">
        <v>266</v>
      </c>
      <c r="D1988" t="s">
        <v>58</v>
      </c>
      <c r="E1988" s="2" t="s">
        <v>271</v>
      </c>
      <c r="F1988">
        <f t="shared" si="93"/>
        <v>6</v>
      </c>
      <c r="G1988" s="2">
        <f t="shared" si="94"/>
        <v>4034</v>
      </c>
    </row>
    <row r="1989" spans="1:7" x14ac:dyDescent="0.25">
      <c r="A1989" t="str">
        <f t="shared" si="95"/>
        <v>Quinchao Mujer</v>
      </c>
      <c r="B1989" t="s">
        <v>211</v>
      </c>
      <c r="C1989" t="s">
        <v>266</v>
      </c>
      <c r="D1989" t="s">
        <v>56</v>
      </c>
      <c r="E1989" s="2" t="s">
        <v>270</v>
      </c>
      <c r="F1989">
        <f t="shared" si="93"/>
        <v>6</v>
      </c>
      <c r="G1989" s="2">
        <f t="shared" si="94"/>
        <v>4152</v>
      </c>
    </row>
    <row r="1990" spans="1:7" x14ac:dyDescent="0.25">
      <c r="A1990" t="str">
        <f t="shared" si="95"/>
        <v>Quinchao Población total</v>
      </c>
      <c r="B1990" t="s">
        <v>211</v>
      </c>
      <c r="C1990" t="s">
        <v>266</v>
      </c>
      <c r="D1990" t="s">
        <v>54</v>
      </c>
      <c r="E1990" s="2" t="s">
        <v>269</v>
      </c>
      <c r="F1990">
        <f t="shared" si="93"/>
        <v>6</v>
      </c>
      <c r="G1990" s="2">
        <f t="shared" si="94"/>
        <v>8186</v>
      </c>
    </row>
    <row r="1991" spans="1:7" x14ac:dyDescent="0.25">
      <c r="A1991" t="str">
        <f t="shared" si="95"/>
        <v>Quinchao Población  de 0 a 14 años</v>
      </c>
      <c r="B1991" t="s">
        <v>211</v>
      </c>
      <c r="C1991" t="s">
        <v>266</v>
      </c>
      <c r="D1991" t="s">
        <v>52</v>
      </c>
      <c r="E1991" s="2" t="s">
        <v>268</v>
      </c>
      <c r="F1991">
        <f t="shared" si="93"/>
        <v>6</v>
      </c>
      <c r="G1991" s="2">
        <f t="shared" si="94"/>
        <v>1370</v>
      </c>
    </row>
    <row r="1992" spans="1:7" x14ac:dyDescent="0.25">
      <c r="A1992" t="str">
        <f t="shared" si="95"/>
        <v>Quinchao Población  de 15 a 64 años</v>
      </c>
      <c r="B1992" t="s">
        <v>211</v>
      </c>
      <c r="C1992" t="s">
        <v>266</v>
      </c>
      <c r="D1992" t="s">
        <v>50</v>
      </c>
      <c r="E1992" s="2" t="s">
        <v>267</v>
      </c>
      <c r="F1992">
        <f t="shared" si="93"/>
        <v>6</v>
      </c>
      <c r="G1992" s="2">
        <f t="shared" si="94"/>
        <v>5290</v>
      </c>
    </row>
    <row r="1993" spans="1:7" x14ac:dyDescent="0.25">
      <c r="A1993" t="str">
        <f t="shared" si="95"/>
        <v>Quinchao Población de 65 años o mas</v>
      </c>
      <c r="B1993" t="s">
        <v>211</v>
      </c>
      <c r="C1993" t="s">
        <v>266</v>
      </c>
      <c r="D1993" t="s">
        <v>46</v>
      </c>
      <c r="E1993" s="2" t="s">
        <v>265</v>
      </c>
      <c r="F1993">
        <f t="shared" si="93"/>
        <v>6</v>
      </c>
      <c r="G1993" s="2">
        <f t="shared" si="94"/>
        <v>1526</v>
      </c>
    </row>
    <row r="1994" spans="1:7" x14ac:dyDescent="0.25">
      <c r="A1994" t="str">
        <f t="shared" si="95"/>
        <v>Castro Hombre</v>
      </c>
      <c r="B1994" t="s">
        <v>211</v>
      </c>
      <c r="C1994" t="s">
        <v>259</v>
      </c>
      <c r="D1994" t="s">
        <v>58</v>
      </c>
      <c r="E1994" s="2" t="s">
        <v>264</v>
      </c>
      <c r="F1994">
        <f t="shared" si="93"/>
        <v>7</v>
      </c>
      <c r="G1994" s="2">
        <f t="shared" si="94"/>
        <v>24085</v>
      </c>
    </row>
    <row r="1995" spans="1:7" x14ac:dyDescent="0.25">
      <c r="A1995" t="str">
        <f t="shared" si="95"/>
        <v>Castro Mujer</v>
      </c>
      <c r="B1995" t="s">
        <v>211</v>
      </c>
      <c r="C1995" t="s">
        <v>259</v>
      </c>
      <c r="D1995" t="s">
        <v>56</v>
      </c>
      <c r="E1995" s="2" t="s">
        <v>263</v>
      </c>
      <c r="F1995">
        <f t="shared" si="93"/>
        <v>7</v>
      </c>
      <c r="G1995" s="2">
        <f t="shared" si="94"/>
        <v>24642</v>
      </c>
    </row>
    <row r="1996" spans="1:7" x14ac:dyDescent="0.25">
      <c r="A1996" t="str">
        <f t="shared" si="95"/>
        <v>Castro Población total</v>
      </c>
      <c r="B1996" t="s">
        <v>211</v>
      </c>
      <c r="C1996" t="s">
        <v>259</v>
      </c>
      <c r="D1996" t="s">
        <v>54</v>
      </c>
      <c r="E1996" s="2" t="s">
        <v>262</v>
      </c>
      <c r="F1996">
        <f t="shared" si="93"/>
        <v>7</v>
      </c>
      <c r="G1996" s="2">
        <f t="shared" si="94"/>
        <v>48727</v>
      </c>
    </row>
    <row r="1997" spans="1:7" x14ac:dyDescent="0.25">
      <c r="A1997" t="str">
        <f t="shared" si="95"/>
        <v>Castro Población  de 0 a 14 años</v>
      </c>
      <c r="B1997" t="s">
        <v>211</v>
      </c>
      <c r="C1997" t="s">
        <v>259</v>
      </c>
      <c r="D1997" t="s">
        <v>52</v>
      </c>
      <c r="E1997" s="2" t="s">
        <v>261</v>
      </c>
      <c r="F1997">
        <f t="shared" si="93"/>
        <v>6</v>
      </c>
      <c r="G1997" s="2">
        <f t="shared" si="94"/>
        <v>8896</v>
      </c>
    </row>
    <row r="1998" spans="1:7" x14ac:dyDescent="0.25">
      <c r="A1998" t="str">
        <f t="shared" si="95"/>
        <v>Castro Población  de 15 a 64 años</v>
      </c>
      <c r="B1998" t="s">
        <v>211</v>
      </c>
      <c r="C1998" t="s">
        <v>259</v>
      </c>
      <c r="D1998" t="s">
        <v>50</v>
      </c>
      <c r="E1998" s="2" t="s">
        <v>260</v>
      </c>
      <c r="F1998">
        <f t="shared" si="93"/>
        <v>7</v>
      </c>
      <c r="G1998" s="2">
        <f t="shared" si="94"/>
        <v>33198</v>
      </c>
    </row>
    <row r="1999" spans="1:7" x14ac:dyDescent="0.25">
      <c r="A1999" t="str">
        <f t="shared" si="95"/>
        <v>Castro Población de 65 años o mas</v>
      </c>
      <c r="B1999" t="s">
        <v>211</v>
      </c>
      <c r="C1999" t="s">
        <v>259</v>
      </c>
      <c r="D1999" t="s">
        <v>46</v>
      </c>
      <c r="E1999" s="2" t="s">
        <v>258</v>
      </c>
      <c r="F1999">
        <f t="shared" si="93"/>
        <v>6</v>
      </c>
      <c r="G1999" s="2">
        <f t="shared" si="94"/>
        <v>6633</v>
      </c>
    </row>
    <row r="2000" spans="1:7" x14ac:dyDescent="0.25">
      <c r="A2000" t="str">
        <f t="shared" si="95"/>
        <v>Puqueldón Hombre</v>
      </c>
      <c r="B2000" t="s">
        <v>211</v>
      </c>
      <c r="C2000" t="s">
        <v>252</v>
      </c>
      <c r="D2000" t="s">
        <v>58</v>
      </c>
      <c r="E2000" s="2" t="s">
        <v>257</v>
      </c>
      <c r="F2000">
        <f t="shared" si="93"/>
        <v>6</v>
      </c>
      <c r="G2000" s="2">
        <f t="shared" si="94"/>
        <v>2108</v>
      </c>
    </row>
    <row r="2001" spans="1:7" x14ac:dyDescent="0.25">
      <c r="A2001" t="str">
        <f t="shared" si="95"/>
        <v>Puqueldón Mujer</v>
      </c>
      <c r="B2001" t="s">
        <v>211</v>
      </c>
      <c r="C2001" t="s">
        <v>252</v>
      </c>
      <c r="D2001" t="s">
        <v>56</v>
      </c>
      <c r="E2001" s="2" t="s">
        <v>256</v>
      </c>
      <c r="F2001">
        <f t="shared" si="93"/>
        <v>6</v>
      </c>
      <c r="G2001" s="2">
        <f t="shared" si="94"/>
        <v>2080</v>
      </c>
    </row>
    <row r="2002" spans="1:7" x14ac:dyDescent="0.25">
      <c r="A2002" t="str">
        <f t="shared" si="95"/>
        <v>Puqueldón Población total</v>
      </c>
      <c r="B2002" t="s">
        <v>211</v>
      </c>
      <c r="C2002" t="s">
        <v>252</v>
      </c>
      <c r="D2002" t="s">
        <v>54</v>
      </c>
      <c r="E2002" s="2" t="s">
        <v>255</v>
      </c>
      <c r="F2002">
        <f t="shared" si="93"/>
        <v>6</v>
      </c>
      <c r="G2002" s="2">
        <f t="shared" si="94"/>
        <v>4188</v>
      </c>
    </row>
    <row r="2003" spans="1:7" x14ac:dyDescent="0.25">
      <c r="A2003" t="str">
        <f t="shared" si="95"/>
        <v>Puqueldón Población  de 0 a 14 años</v>
      </c>
      <c r="B2003" t="s">
        <v>211</v>
      </c>
      <c r="C2003" t="s">
        <v>252</v>
      </c>
      <c r="D2003" t="s">
        <v>52</v>
      </c>
      <c r="E2003" s="2" t="s">
        <v>254</v>
      </c>
      <c r="F2003">
        <f t="shared" si="93"/>
        <v>5</v>
      </c>
      <c r="G2003" s="2">
        <f t="shared" si="94"/>
        <v>644</v>
      </c>
    </row>
    <row r="2004" spans="1:7" x14ac:dyDescent="0.25">
      <c r="A2004" t="str">
        <f t="shared" si="95"/>
        <v>Puqueldón Población  de 15 a 64 años</v>
      </c>
      <c r="B2004" t="s">
        <v>211</v>
      </c>
      <c r="C2004" t="s">
        <v>252</v>
      </c>
      <c r="D2004" t="s">
        <v>50</v>
      </c>
      <c r="E2004" s="2" t="s">
        <v>253</v>
      </c>
      <c r="F2004">
        <f t="shared" si="93"/>
        <v>6</v>
      </c>
      <c r="G2004" s="2">
        <f t="shared" si="94"/>
        <v>2691</v>
      </c>
    </row>
    <row r="2005" spans="1:7" x14ac:dyDescent="0.25">
      <c r="A2005" t="str">
        <f t="shared" si="95"/>
        <v>Puqueldón Población de 65 años o mas</v>
      </c>
      <c r="B2005" t="s">
        <v>211</v>
      </c>
      <c r="C2005" t="s">
        <v>252</v>
      </c>
      <c r="D2005" t="s">
        <v>46</v>
      </c>
      <c r="E2005" s="2" t="s">
        <v>251</v>
      </c>
      <c r="F2005">
        <f t="shared" si="93"/>
        <v>5</v>
      </c>
      <c r="G2005" s="2">
        <f t="shared" si="94"/>
        <v>853</v>
      </c>
    </row>
    <row r="2006" spans="1:7" x14ac:dyDescent="0.25">
      <c r="A2006" t="str">
        <f t="shared" si="95"/>
        <v>Chonchi Hombre</v>
      </c>
      <c r="B2006" t="s">
        <v>211</v>
      </c>
      <c r="C2006" t="s">
        <v>245</v>
      </c>
      <c r="D2006" t="s">
        <v>58</v>
      </c>
      <c r="E2006" s="2" t="s">
        <v>250</v>
      </c>
      <c r="F2006">
        <f t="shared" si="93"/>
        <v>6</v>
      </c>
      <c r="G2006" s="2">
        <f t="shared" si="94"/>
        <v>8085</v>
      </c>
    </row>
    <row r="2007" spans="1:7" x14ac:dyDescent="0.25">
      <c r="A2007" t="str">
        <f t="shared" si="95"/>
        <v>Chonchi Mujer</v>
      </c>
      <c r="B2007" t="s">
        <v>211</v>
      </c>
      <c r="C2007" t="s">
        <v>245</v>
      </c>
      <c r="D2007" t="s">
        <v>56</v>
      </c>
      <c r="E2007" s="2" t="s">
        <v>249</v>
      </c>
      <c r="F2007">
        <f t="shared" si="93"/>
        <v>6</v>
      </c>
      <c r="G2007" s="2">
        <f t="shared" si="94"/>
        <v>8182</v>
      </c>
    </row>
    <row r="2008" spans="1:7" x14ac:dyDescent="0.25">
      <c r="A2008" t="str">
        <f t="shared" si="95"/>
        <v>Chonchi Población total</v>
      </c>
      <c r="B2008" t="s">
        <v>211</v>
      </c>
      <c r="C2008" t="s">
        <v>245</v>
      </c>
      <c r="D2008" t="s">
        <v>54</v>
      </c>
      <c r="E2008" s="2" t="s">
        <v>248</v>
      </c>
      <c r="F2008">
        <f t="shared" si="93"/>
        <v>7</v>
      </c>
      <c r="G2008" s="2">
        <f t="shared" si="94"/>
        <v>16267</v>
      </c>
    </row>
    <row r="2009" spans="1:7" x14ac:dyDescent="0.25">
      <c r="A2009" t="str">
        <f t="shared" si="95"/>
        <v>Chonchi Población  de 0 a 14 años</v>
      </c>
      <c r="B2009" t="s">
        <v>211</v>
      </c>
      <c r="C2009" t="s">
        <v>245</v>
      </c>
      <c r="D2009" t="s">
        <v>52</v>
      </c>
      <c r="E2009" s="2" t="s">
        <v>247</v>
      </c>
      <c r="F2009">
        <f t="shared" si="93"/>
        <v>6</v>
      </c>
      <c r="G2009" s="2">
        <f t="shared" si="94"/>
        <v>2795</v>
      </c>
    </row>
    <row r="2010" spans="1:7" x14ac:dyDescent="0.25">
      <c r="A2010" t="str">
        <f t="shared" si="95"/>
        <v>Chonchi Población  de 15 a 64 años</v>
      </c>
      <c r="B2010" t="s">
        <v>211</v>
      </c>
      <c r="C2010" t="s">
        <v>245</v>
      </c>
      <c r="D2010" t="s">
        <v>50</v>
      </c>
      <c r="E2010" s="2" t="s">
        <v>246</v>
      </c>
      <c r="F2010">
        <f t="shared" si="93"/>
        <v>7</v>
      </c>
      <c r="G2010" s="2">
        <f t="shared" si="94"/>
        <v>11089</v>
      </c>
    </row>
    <row r="2011" spans="1:7" x14ac:dyDescent="0.25">
      <c r="A2011" t="str">
        <f t="shared" si="95"/>
        <v>Chonchi Población de 65 años o mas</v>
      </c>
      <c r="B2011" t="s">
        <v>211</v>
      </c>
      <c r="C2011" t="s">
        <v>245</v>
      </c>
      <c r="D2011" t="s">
        <v>46</v>
      </c>
      <c r="E2011" s="2" t="s">
        <v>244</v>
      </c>
      <c r="F2011">
        <f t="shared" si="93"/>
        <v>6</v>
      </c>
      <c r="G2011" s="2">
        <f t="shared" si="94"/>
        <v>2383</v>
      </c>
    </row>
    <row r="2012" spans="1:7" x14ac:dyDescent="0.25">
      <c r="A2012" t="str">
        <f t="shared" si="95"/>
        <v>Queilén Hombre</v>
      </c>
      <c r="B2012" t="s">
        <v>211</v>
      </c>
      <c r="C2012" t="s">
        <v>238</v>
      </c>
      <c r="D2012" t="s">
        <v>58</v>
      </c>
      <c r="E2012" s="2" t="s">
        <v>243</v>
      </c>
      <c r="F2012">
        <f t="shared" si="93"/>
        <v>6</v>
      </c>
      <c r="G2012" s="2">
        <f t="shared" si="94"/>
        <v>2797</v>
      </c>
    </row>
    <row r="2013" spans="1:7" x14ac:dyDescent="0.25">
      <c r="A2013" t="str">
        <f t="shared" si="95"/>
        <v>Queilén Mujer</v>
      </c>
      <c r="B2013" t="s">
        <v>211</v>
      </c>
      <c r="C2013" t="s">
        <v>238</v>
      </c>
      <c r="D2013" t="s">
        <v>56</v>
      </c>
      <c r="E2013" s="2" t="s">
        <v>242</v>
      </c>
      <c r="F2013">
        <f t="shared" si="93"/>
        <v>6</v>
      </c>
      <c r="G2013" s="2">
        <f t="shared" si="94"/>
        <v>2745</v>
      </c>
    </row>
    <row r="2014" spans="1:7" x14ac:dyDescent="0.25">
      <c r="A2014" t="str">
        <f t="shared" si="95"/>
        <v>Queilén Población total</v>
      </c>
      <c r="B2014" t="s">
        <v>211</v>
      </c>
      <c r="C2014" t="s">
        <v>238</v>
      </c>
      <c r="D2014" t="s">
        <v>54</v>
      </c>
      <c r="E2014" s="2" t="s">
        <v>241</v>
      </c>
      <c r="F2014">
        <f t="shared" si="93"/>
        <v>6</v>
      </c>
      <c r="G2014" s="2">
        <f t="shared" si="94"/>
        <v>5542</v>
      </c>
    </row>
    <row r="2015" spans="1:7" x14ac:dyDescent="0.25">
      <c r="A2015" t="str">
        <f t="shared" si="95"/>
        <v>Queilén Población  de 0 a 14 años</v>
      </c>
      <c r="B2015" t="s">
        <v>211</v>
      </c>
      <c r="C2015" t="s">
        <v>238</v>
      </c>
      <c r="D2015" t="s">
        <v>52</v>
      </c>
      <c r="E2015" s="2" t="s">
        <v>240</v>
      </c>
      <c r="F2015">
        <f t="shared" si="93"/>
        <v>5</v>
      </c>
      <c r="G2015" s="2">
        <f t="shared" si="94"/>
        <v>968</v>
      </c>
    </row>
    <row r="2016" spans="1:7" x14ac:dyDescent="0.25">
      <c r="A2016" t="str">
        <f t="shared" si="95"/>
        <v>Queilén Población  de 15 a 64 años</v>
      </c>
      <c r="B2016" t="s">
        <v>211</v>
      </c>
      <c r="C2016" t="s">
        <v>238</v>
      </c>
      <c r="D2016" t="s">
        <v>50</v>
      </c>
      <c r="E2016" s="2" t="s">
        <v>239</v>
      </c>
      <c r="F2016">
        <f t="shared" si="93"/>
        <v>6</v>
      </c>
      <c r="G2016" s="2">
        <f t="shared" si="94"/>
        <v>3661</v>
      </c>
    </row>
    <row r="2017" spans="1:7" x14ac:dyDescent="0.25">
      <c r="A2017" t="str">
        <f t="shared" si="95"/>
        <v>Queilén Población de 65 años o mas</v>
      </c>
      <c r="B2017" t="s">
        <v>211</v>
      </c>
      <c r="C2017" t="s">
        <v>238</v>
      </c>
      <c r="D2017" t="s">
        <v>46</v>
      </c>
      <c r="E2017" s="2" t="s">
        <v>237</v>
      </c>
      <c r="F2017">
        <f t="shared" si="93"/>
        <v>5</v>
      </c>
      <c r="G2017" s="2">
        <f t="shared" si="94"/>
        <v>913</v>
      </c>
    </row>
    <row r="2018" spans="1:7" x14ac:dyDescent="0.25">
      <c r="A2018" t="str">
        <f t="shared" si="95"/>
        <v>Chaitén Hombre</v>
      </c>
      <c r="B2018" t="s">
        <v>211</v>
      </c>
      <c r="C2018" t="s">
        <v>231</v>
      </c>
      <c r="D2018" t="s">
        <v>58</v>
      </c>
      <c r="E2018" s="2" t="s">
        <v>236</v>
      </c>
      <c r="F2018">
        <f t="shared" si="93"/>
        <v>6</v>
      </c>
      <c r="G2018" s="2">
        <f t="shared" si="94"/>
        <v>2633</v>
      </c>
    </row>
    <row r="2019" spans="1:7" x14ac:dyDescent="0.25">
      <c r="A2019" t="str">
        <f t="shared" si="95"/>
        <v>Chaitén Mujer</v>
      </c>
      <c r="B2019" t="s">
        <v>211</v>
      </c>
      <c r="C2019" t="s">
        <v>231</v>
      </c>
      <c r="D2019" t="s">
        <v>56</v>
      </c>
      <c r="E2019" s="2" t="s">
        <v>235</v>
      </c>
      <c r="F2019">
        <f t="shared" si="93"/>
        <v>6</v>
      </c>
      <c r="G2019" s="2">
        <f t="shared" si="94"/>
        <v>2445</v>
      </c>
    </row>
    <row r="2020" spans="1:7" x14ac:dyDescent="0.25">
      <c r="A2020" t="str">
        <f t="shared" si="95"/>
        <v>Chaitén Población total</v>
      </c>
      <c r="B2020" t="s">
        <v>211</v>
      </c>
      <c r="C2020" t="s">
        <v>231</v>
      </c>
      <c r="D2020" t="s">
        <v>54</v>
      </c>
      <c r="E2020" s="2" t="s">
        <v>234</v>
      </c>
      <c r="F2020">
        <f t="shared" si="93"/>
        <v>6</v>
      </c>
      <c r="G2020" s="2">
        <f t="shared" si="94"/>
        <v>5078</v>
      </c>
    </row>
    <row r="2021" spans="1:7" x14ac:dyDescent="0.25">
      <c r="A2021" t="str">
        <f t="shared" si="95"/>
        <v>Chaitén Población  de 0 a 14 años</v>
      </c>
      <c r="B2021" t="s">
        <v>211</v>
      </c>
      <c r="C2021" t="s">
        <v>231</v>
      </c>
      <c r="D2021" t="s">
        <v>52</v>
      </c>
      <c r="E2021" s="2" t="s">
        <v>233</v>
      </c>
      <c r="F2021">
        <f t="shared" si="93"/>
        <v>5</v>
      </c>
      <c r="G2021" s="2">
        <f t="shared" si="94"/>
        <v>840</v>
      </c>
    </row>
    <row r="2022" spans="1:7" x14ac:dyDescent="0.25">
      <c r="A2022" t="str">
        <f t="shared" si="95"/>
        <v>Chaitén Población  de 15 a 64 años</v>
      </c>
      <c r="B2022" t="s">
        <v>211</v>
      </c>
      <c r="C2022" t="s">
        <v>231</v>
      </c>
      <c r="D2022" t="s">
        <v>50</v>
      </c>
      <c r="E2022" s="2" t="s">
        <v>232</v>
      </c>
      <c r="F2022">
        <f t="shared" si="93"/>
        <v>6</v>
      </c>
      <c r="G2022" s="2">
        <f t="shared" si="94"/>
        <v>3509</v>
      </c>
    </row>
    <row r="2023" spans="1:7" x14ac:dyDescent="0.25">
      <c r="A2023" t="str">
        <f t="shared" si="95"/>
        <v>Chaitén Población de 65 años o mas</v>
      </c>
      <c r="B2023" t="s">
        <v>211</v>
      </c>
      <c r="C2023" t="s">
        <v>231</v>
      </c>
      <c r="D2023" t="s">
        <v>46</v>
      </c>
      <c r="E2023" s="2" t="s">
        <v>230</v>
      </c>
      <c r="F2023">
        <f t="shared" si="93"/>
        <v>5</v>
      </c>
      <c r="G2023" s="2">
        <f t="shared" si="94"/>
        <v>729</v>
      </c>
    </row>
    <row r="2024" spans="1:7" x14ac:dyDescent="0.25">
      <c r="A2024" t="str">
        <f t="shared" si="95"/>
        <v>Quellón Hombre</v>
      </c>
      <c r="B2024" t="s">
        <v>211</v>
      </c>
      <c r="C2024" t="s">
        <v>224</v>
      </c>
      <c r="D2024" t="s">
        <v>58</v>
      </c>
      <c r="E2024" s="2" t="s">
        <v>229</v>
      </c>
      <c r="F2024">
        <f t="shared" si="93"/>
        <v>7</v>
      </c>
      <c r="G2024" s="2">
        <f t="shared" si="94"/>
        <v>15185</v>
      </c>
    </row>
    <row r="2025" spans="1:7" x14ac:dyDescent="0.25">
      <c r="A2025" t="str">
        <f t="shared" si="95"/>
        <v>Quellón Mujer</v>
      </c>
      <c r="B2025" t="s">
        <v>211</v>
      </c>
      <c r="C2025" t="s">
        <v>224</v>
      </c>
      <c r="D2025" t="s">
        <v>56</v>
      </c>
      <c r="E2025" s="2" t="s">
        <v>228</v>
      </c>
      <c r="F2025">
        <f t="shared" si="93"/>
        <v>7</v>
      </c>
      <c r="G2025" s="2">
        <f t="shared" si="94"/>
        <v>14951</v>
      </c>
    </row>
    <row r="2026" spans="1:7" x14ac:dyDescent="0.25">
      <c r="A2026" t="str">
        <f t="shared" si="95"/>
        <v>Quellón Población total</v>
      </c>
      <c r="B2026" t="s">
        <v>211</v>
      </c>
      <c r="C2026" t="s">
        <v>224</v>
      </c>
      <c r="D2026" t="s">
        <v>54</v>
      </c>
      <c r="E2026" s="2" t="s">
        <v>227</v>
      </c>
      <c r="F2026">
        <f t="shared" si="93"/>
        <v>7</v>
      </c>
      <c r="G2026" s="2">
        <f t="shared" si="94"/>
        <v>30136</v>
      </c>
    </row>
    <row r="2027" spans="1:7" x14ac:dyDescent="0.25">
      <c r="A2027" t="str">
        <f t="shared" si="95"/>
        <v>Quellón Población  de 0 a 14 años</v>
      </c>
      <c r="B2027" t="s">
        <v>211</v>
      </c>
      <c r="C2027" t="s">
        <v>224</v>
      </c>
      <c r="D2027" t="s">
        <v>52</v>
      </c>
      <c r="E2027" s="2" t="s">
        <v>226</v>
      </c>
      <c r="F2027">
        <f t="shared" si="93"/>
        <v>6</v>
      </c>
      <c r="G2027" s="2">
        <f t="shared" si="94"/>
        <v>6192</v>
      </c>
    </row>
    <row r="2028" spans="1:7" x14ac:dyDescent="0.25">
      <c r="A2028" t="str">
        <f t="shared" si="95"/>
        <v>Quellón Población  de 15 a 64 años</v>
      </c>
      <c r="B2028" t="s">
        <v>211</v>
      </c>
      <c r="C2028" t="s">
        <v>224</v>
      </c>
      <c r="D2028" t="s">
        <v>50</v>
      </c>
      <c r="E2028" s="2" t="s">
        <v>225</v>
      </c>
      <c r="F2028">
        <f t="shared" si="93"/>
        <v>7</v>
      </c>
      <c r="G2028" s="2">
        <f t="shared" si="94"/>
        <v>21137</v>
      </c>
    </row>
    <row r="2029" spans="1:7" x14ac:dyDescent="0.25">
      <c r="A2029" t="str">
        <f t="shared" si="95"/>
        <v>Quellón Población de 65 años o mas</v>
      </c>
      <c r="B2029" t="s">
        <v>211</v>
      </c>
      <c r="C2029" t="s">
        <v>224</v>
      </c>
      <c r="D2029" t="s">
        <v>46</v>
      </c>
      <c r="E2029" s="2" t="s">
        <v>223</v>
      </c>
      <c r="F2029">
        <f t="shared" si="93"/>
        <v>6</v>
      </c>
      <c r="G2029" s="2">
        <f t="shared" si="94"/>
        <v>2807</v>
      </c>
    </row>
    <row r="2030" spans="1:7" x14ac:dyDescent="0.25">
      <c r="A2030" t="str">
        <f t="shared" si="95"/>
        <v>Futaleufú Hombre</v>
      </c>
      <c r="B2030" t="s">
        <v>211</v>
      </c>
      <c r="C2030" t="s">
        <v>218</v>
      </c>
      <c r="D2030" t="s">
        <v>58</v>
      </c>
      <c r="E2030" s="2" t="s">
        <v>222</v>
      </c>
      <c r="F2030">
        <f t="shared" si="93"/>
        <v>6</v>
      </c>
      <c r="G2030" s="2">
        <f t="shared" si="94"/>
        <v>1466</v>
      </c>
    </row>
    <row r="2031" spans="1:7" x14ac:dyDescent="0.25">
      <c r="A2031" t="str">
        <f t="shared" si="95"/>
        <v>Futaleufú Mujer</v>
      </c>
      <c r="B2031" t="s">
        <v>211</v>
      </c>
      <c r="C2031" t="s">
        <v>218</v>
      </c>
      <c r="D2031" t="s">
        <v>56</v>
      </c>
      <c r="E2031" s="2" t="s">
        <v>221</v>
      </c>
      <c r="F2031">
        <f t="shared" si="93"/>
        <v>6</v>
      </c>
      <c r="G2031" s="2">
        <f t="shared" si="94"/>
        <v>1446</v>
      </c>
    </row>
    <row r="2032" spans="1:7" x14ac:dyDescent="0.25">
      <c r="A2032" t="str">
        <f t="shared" si="95"/>
        <v>Futaleufú Población total</v>
      </c>
      <c r="B2032" t="s">
        <v>211</v>
      </c>
      <c r="C2032" t="s">
        <v>218</v>
      </c>
      <c r="D2032" t="s">
        <v>54</v>
      </c>
      <c r="E2032" s="2" t="s">
        <v>220</v>
      </c>
      <c r="F2032">
        <f t="shared" si="93"/>
        <v>6</v>
      </c>
      <c r="G2032" s="2">
        <f t="shared" si="94"/>
        <v>2912</v>
      </c>
    </row>
    <row r="2033" spans="1:7" x14ac:dyDescent="0.25">
      <c r="A2033" t="str">
        <f t="shared" si="95"/>
        <v>Futaleufú Población  de 0 a 14 años</v>
      </c>
      <c r="B2033" t="s">
        <v>211</v>
      </c>
      <c r="C2033" t="s">
        <v>218</v>
      </c>
      <c r="D2033" t="s">
        <v>52</v>
      </c>
      <c r="E2033" s="2" t="s">
        <v>138</v>
      </c>
      <c r="F2033">
        <f t="shared" si="93"/>
        <v>5</v>
      </c>
      <c r="G2033" s="2">
        <f t="shared" si="94"/>
        <v>485</v>
      </c>
    </row>
    <row r="2034" spans="1:7" x14ac:dyDescent="0.25">
      <c r="A2034" t="str">
        <f t="shared" si="95"/>
        <v>Futaleufú Población  de 15 a 64 años</v>
      </c>
      <c r="B2034" t="s">
        <v>211</v>
      </c>
      <c r="C2034" t="s">
        <v>218</v>
      </c>
      <c r="D2034" t="s">
        <v>50</v>
      </c>
      <c r="E2034" s="2" t="s">
        <v>219</v>
      </c>
      <c r="F2034">
        <f t="shared" si="93"/>
        <v>6</v>
      </c>
      <c r="G2034" s="2">
        <f t="shared" si="94"/>
        <v>1967</v>
      </c>
    </row>
    <row r="2035" spans="1:7" x14ac:dyDescent="0.25">
      <c r="A2035" t="str">
        <f t="shared" si="95"/>
        <v>Futaleufú Población de 65 años o mas</v>
      </c>
      <c r="B2035" t="s">
        <v>211</v>
      </c>
      <c r="C2035" t="s">
        <v>218</v>
      </c>
      <c r="D2035" t="s">
        <v>46</v>
      </c>
      <c r="E2035" s="2" t="s">
        <v>217</v>
      </c>
      <c r="F2035">
        <f t="shared" si="93"/>
        <v>5</v>
      </c>
      <c r="G2035" s="2">
        <f t="shared" si="94"/>
        <v>460</v>
      </c>
    </row>
    <row r="2036" spans="1:7" x14ac:dyDescent="0.25">
      <c r="A2036" t="str">
        <f t="shared" si="95"/>
        <v>Palena Hombre</v>
      </c>
      <c r="B2036" t="s">
        <v>211</v>
      </c>
      <c r="C2036" t="s">
        <v>212</v>
      </c>
      <c r="D2036" t="s">
        <v>58</v>
      </c>
      <c r="E2036" s="2" t="s">
        <v>216</v>
      </c>
      <c r="F2036">
        <f t="shared" si="93"/>
        <v>5</v>
      </c>
      <c r="G2036" s="2">
        <f t="shared" si="94"/>
        <v>917</v>
      </c>
    </row>
    <row r="2037" spans="1:7" x14ac:dyDescent="0.25">
      <c r="A2037" t="str">
        <f t="shared" si="95"/>
        <v>Palena Mujer</v>
      </c>
      <c r="B2037" t="s">
        <v>211</v>
      </c>
      <c r="C2037" t="s">
        <v>212</v>
      </c>
      <c r="D2037" t="s">
        <v>56</v>
      </c>
      <c r="E2037" s="2" t="s">
        <v>215</v>
      </c>
      <c r="F2037">
        <f t="shared" si="93"/>
        <v>5</v>
      </c>
      <c r="G2037" s="2">
        <f t="shared" si="94"/>
        <v>909</v>
      </c>
    </row>
    <row r="2038" spans="1:7" x14ac:dyDescent="0.25">
      <c r="A2038" t="str">
        <f t="shared" si="95"/>
        <v>Palena Población total</v>
      </c>
      <c r="B2038" t="s">
        <v>211</v>
      </c>
      <c r="C2038" t="s">
        <v>212</v>
      </c>
      <c r="D2038" t="s">
        <v>54</v>
      </c>
      <c r="E2038" s="2" t="s">
        <v>214</v>
      </c>
      <c r="F2038">
        <f t="shared" si="93"/>
        <v>6</v>
      </c>
      <c r="G2038" s="2">
        <f t="shared" si="94"/>
        <v>1826</v>
      </c>
    </row>
    <row r="2039" spans="1:7" x14ac:dyDescent="0.25">
      <c r="A2039" t="str">
        <f t="shared" si="95"/>
        <v>Palena Población  de 0 a 14 años</v>
      </c>
      <c r="B2039" t="s">
        <v>211</v>
      </c>
      <c r="C2039" t="s">
        <v>212</v>
      </c>
      <c r="D2039" t="s">
        <v>52</v>
      </c>
      <c r="E2039" s="2" t="s">
        <v>70</v>
      </c>
      <c r="F2039">
        <f t="shared" si="93"/>
        <v>5</v>
      </c>
      <c r="G2039" s="2">
        <f t="shared" si="94"/>
        <v>276</v>
      </c>
    </row>
    <row r="2040" spans="1:7" x14ac:dyDescent="0.25">
      <c r="A2040" t="str">
        <f t="shared" si="95"/>
        <v>Palena Población  de 15 a 64 años</v>
      </c>
      <c r="B2040" t="s">
        <v>211</v>
      </c>
      <c r="C2040" t="s">
        <v>212</v>
      </c>
      <c r="D2040" t="s">
        <v>50</v>
      </c>
      <c r="E2040" s="2" t="s">
        <v>213</v>
      </c>
      <c r="F2040">
        <f t="shared" si="93"/>
        <v>6</v>
      </c>
      <c r="G2040" s="2">
        <f t="shared" si="94"/>
        <v>1202</v>
      </c>
    </row>
    <row r="2041" spans="1:7" x14ac:dyDescent="0.25">
      <c r="A2041" t="str">
        <f t="shared" si="95"/>
        <v>Palena Población de 65 años o mas</v>
      </c>
      <c r="B2041" t="s">
        <v>211</v>
      </c>
      <c r="C2041" t="s">
        <v>212</v>
      </c>
      <c r="D2041" t="s">
        <v>46</v>
      </c>
      <c r="E2041" s="2" t="s">
        <v>210</v>
      </c>
      <c r="F2041">
        <f t="shared" si="93"/>
        <v>5</v>
      </c>
      <c r="G2041" s="2">
        <f t="shared" si="94"/>
        <v>348</v>
      </c>
    </row>
    <row r="2042" spans="1:7" x14ac:dyDescent="0.25">
      <c r="A2042" t="str">
        <f t="shared" si="95"/>
        <v>Región De Aysén Del Gral. Carlos Ibáñez Del Campo Hombre</v>
      </c>
      <c r="B2042" t="s">
        <v>136</v>
      </c>
      <c r="C2042" t="s">
        <v>136</v>
      </c>
      <c r="D2042" t="s">
        <v>58</v>
      </c>
      <c r="E2042" s="2" t="s">
        <v>209</v>
      </c>
      <c r="F2042">
        <f t="shared" si="93"/>
        <v>7</v>
      </c>
      <c r="G2042" s="2">
        <f t="shared" si="94"/>
        <v>54651</v>
      </c>
    </row>
    <row r="2043" spans="1:7" x14ac:dyDescent="0.25">
      <c r="A2043" t="str">
        <f t="shared" si="95"/>
        <v>Región De Aysén Del Gral. Carlos Ibáñez Del Campo Mujer</v>
      </c>
      <c r="B2043" t="s">
        <v>136</v>
      </c>
      <c r="C2043" t="s">
        <v>136</v>
      </c>
      <c r="D2043" t="s">
        <v>56</v>
      </c>
      <c r="E2043" s="2" t="s">
        <v>208</v>
      </c>
      <c r="F2043">
        <f t="shared" si="93"/>
        <v>7</v>
      </c>
      <c r="G2043" s="2">
        <f t="shared" si="94"/>
        <v>53887</v>
      </c>
    </row>
    <row r="2044" spans="1:7" x14ac:dyDescent="0.25">
      <c r="A2044" t="str">
        <f t="shared" si="95"/>
        <v>Región De Aysén Del Gral. Carlos Ibáñez Del Campo Población total</v>
      </c>
      <c r="B2044" t="s">
        <v>136</v>
      </c>
      <c r="C2044" t="s">
        <v>136</v>
      </c>
      <c r="D2044" t="s">
        <v>54</v>
      </c>
      <c r="E2044" s="2" t="s">
        <v>207</v>
      </c>
      <c r="F2044">
        <f t="shared" si="93"/>
        <v>8</v>
      </c>
      <c r="G2044" s="2">
        <f t="shared" si="94"/>
        <v>108538</v>
      </c>
    </row>
    <row r="2045" spans="1:7" x14ac:dyDescent="0.25">
      <c r="A2045" t="str">
        <f t="shared" si="95"/>
        <v>Región De Aysén Del Gral. Carlos Ibáñez Del Campo Población  de 0 a 14 años</v>
      </c>
      <c r="B2045" t="s">
        <v>136</v>
      </c>
      <c r="C2045" t="s">
        <v>136</v>
      </c>
      <c r="D2045" t="s">
        <v>52</v>
      </c>
      <c r="E2045" s="2" t="s">
        <v>206</v>
      </c>
      <c r="F2045">
        <f t="shared" si="93"/>
        <v>7</v>
      </c>
      <c r="G2045" s="2">
        <f t="shared" si="94"/>
        <v>21702</v>
      </c>
    </row>
    <row r="2046" spans="1:7" x14ac:dyDescent="0.25">
      <c r="A2046" t="str">
        <f t="shared" si="95"/>
        <v>Región De Aysén Del Gral. Carlos Ibáñez Del Campo Población  de 15 a 64 años</v>
      </c>
      <c r="B2046" t="s">
        <v>136</v>
      </c>
      <c r="C2046" t="s">
        <v>136</v>
      </c>
      <c r="D2046" t="s">
        <v>50</v>
      </c>
      <c r="E2046" s="2" t="s">
        <v>205</v>
      </c>
      <c r="F2046">
        <f t="shared" si="93"/>
        <v>7</v>
      </c>
      <c r="G2046" s="2">
        <f t="shared" si="94"/>
        <v>73341</v>
      </c>
    </row>
    <row r="2047" spans="1:7" x14ac:dyDescent="0.25">
      <c r="A2047" t="str">
        <f t="shared" si="95"/>
        <v>Región De Aysén Del Gral. Carlos Ibáñez Del Campo Población de 65 años o mas</v>
      </c>
      <c r="B2047" t="s">
        <v>136</v>
      </c>
      <c r="C2047" t="s">
        <v>136</v>
      </c>
      <c r="D2047" t="s">
        <v>46</v>
      </c>
      <c r="E2047" s="2" t="s">
        <v>204</v>
      </c>
      <c r="F2047">
        <f t="shared" si="93"/>
        <v>7</v>
      </c>
      <c r="G2047" s="2">
        <f t="shared" si="94"/>
        <v>13495</v>
      </c>
    </row>
    <row r="2048" spans="1:7" x14ac:dyDescent="0.25">
      <c r="A2048" t="str">
        <f t="shared" si="95"/>
        <v>Guaitecas Hombre</v>
      </c>
      <c r="B2048" t="s">
        <v>136</v>
      </c>
      <c r="C2048" t="s">
        <v>198</v>
      </c>
      <c r="D2048" t="s">
        <v>58</v>
      </c>
      <c r="E2048" s="2" t="s">
        <v>203</v>
      </c>
      <c r="F2048">
        <f t="shared" si="93"/>
        <v>5</v>
      </c>
      <c r="G2048" s="2">
        <f t="shared" si="94"/>
        <v>842</v>
      </c>
    </row>
    <row r="2049" spans="1:7" x14ac:dyDescent="0.25">
      <c r="A2049" t="str">
        <f t="shared" si="95"/>
        <v>Guaitecas Mujer</v>
      </c>
      <c r="B2049" t="s">
        <v>136</v>
      </c>
      <c r="C2049" t="s">
        <v>198</v>
      </c>
      <c r="D2049" t="s">
        <v>56</v>
      </c>
      <c r="E2049" s="2" t="s">
        <v>202</v>
      </c>
      <c r="F2049">
        <f t="shared" si="93"/>
        <v>5</v>
      </c>
      <c r="G2049" s="2">
        <f t="shared" si="94"/>
        <v>769</v>
      </c>
    </row>
    <row r="2050" spans="1:7" x14ac:dyDescent="0.25">
      <c r="A2050" t="str">
        <f t="shared" si="95"/>
        <v>Guaitecas Población total</v>
      </c>
      <c r="B2050" t="s">
        <v>136</v>
      </c>
      <c r="C2050" t="s">
        <v>198</v>
      </c>
      <c r="D2050" t="s">
        <v>54</v>
      </c>
      <c r="E2050" s="2" t="s">
        <v>201</v>
      </c>
      <c r="F2050">
        <f t="shared" ref="F2050:F2113" si="96">+FIND(".",E2050)</f>
        <v>6</v>
      </c>
      <c r="G2050" s="2">
        <f t="shared" ref="G2050:G2113" si="97">+LEFT(E2050,(F2050-1))*1</f>
        <v>1611</v>
      </c>
    </row>
    <row r="2051" spans="1:7" x14ac:dyDescent="0.25">
      <c r="A2051" t="str">
        <f t="shared" ref="A2051:A2114" si="98">+C2051&amp;D2051</f>
        <v>Guaitecas Población  de 0 a 14 años</v>
      </c>
      <c r="B2051" t="s">
        <v>136</v>
      </c>
      <c r="C2051" t="s">
        <v>198</v>
      </c>
      <c r="D2051" t="s">
        <v>52</v>
      </c>
      <c r="E2051" s="2" t="s">
        <v>200</v>
      </c>
      <c r="F2051">
        <f t="shared" si="96"/>
        <v>5</v>
      </c>
      <c r="G2051" s="2">
        <f t="shared" si="97"/>
        <v>323</v>
      </c>
    </row>
    <row r="2052" spans="1:7" x14ac:dyDescent="0.25">
      <c r="A2052" t="str">
        <f t="shared" si="98"/>
        <v>Guaitecas Población  de 15 a 64 años</v>
      </c>
      <c r="B2052" t="s">
        <v>136</v>
      </c>
      <c r="C2052" t="s">
        <v>198</v>
      </c>
      <c r="D2052" t="s">
        <v>50</v>
      </c>
      <c r="E2052" s="2" t="s">
        <v>199</v>
      </c>
      <c r="F2052">
        <f t="shared" si="96"/>
        <v>6</v>
      </c>
      <c r="G2052" s="2">
        <f t="shared" si="97"/>
        <v>1128</v>
      </c>
    </row>
    <row r="2053" spans="1:7" x14ac:dyDescent="0.25">
      <c r="A2053" t="str">
        <f t="shared" si="98"/>
        <v>Guaitecas Población de 65 años o mas</v>
      </c>
      <c r="B2053" t="s">
        <v>136</v>
      </c>
      <c r="C2053" t="s">
        <v>198</v>
      </c>
      <c r="D2053" t="s">
        <v>46</v>
      </c>
      <c r="E2053" s="2" t="s">
        <v>197</v>
      </c>
      <c r="F2053">
        <f t="shared" si="96"/>
        <v>5</v>
      </c>
      <c r="G2053" s="2">
        <f t="shared" si="97"/>
        <v>160</v>
      </c>
    </row>
    <row r="2054" spans="1:7" x14ac:dyDescent="0.25">
      <c r="A2054" t="str">
        <f t="shared" si="98"/>
        <v>Lago Verde Hombre</v>
      </c>
      <c r="B2054" t="s">
        <v>136</v>
      </c>
      <c r="C2054" t="s">
        <v>191</v>
      </c>
      <c r="D2054" t="s">
        <v>58</v>
      </c>
      <c r="E2054" s="2" t="s">
        <v>196</v>
      </c>
      <c r="F2054">
        <f t="shared" si="96"/>
        <v>5</v>
      </c>
      <c r="G2054" s="2">
        <f t="shared" si="97"/>
        <v>484</v>
      </c>
    </row>
    <row r="2055" spans="1:7" x14ac:dyDescent="0.25">
      <c r="A2055" t="str">
        <f t="shared" si="98"/>
        <v>Lago Verde Mujer</v>
      </c>
      <c r="B2055" t="s">
        <v>136</v>
      </c>
      <c r="C2055" t="s">
        <v>191</v>
      </c>
      <c r="D2055" t="s">
        <v>56</v>
      </c>
      <c r="E2055" s="2" t="s">
        <v>195</v>
      </c>
      <c r="F2055">
        <f t="shared" si="96"/>
        <v>5</v>
      </c>
      <c r="G2055" s="2">
        <f t="shared" si="97"/>
        <v>430</v>
      </c>
    </row>
    <row r="2056" spans="1:7" x14ac:dyDescent="0.25">
      <c r="A2056" t="str">
        <f t="shared" si="98"/>
        <v>Lago Verde Población total</v>
      </c>
      <c r="B2056" t="s">
        <v>136</v>
      </c>
      <c r="C2056" t="s">
        <v>191</v>
      </c>
      <c r="D2056" t="s">
        <v>54</v>
      </c>
      <c r="E2056" s="2" t="s">
        <v>194</v>
      </c>
      <c r="F2056">
        <f t="shared" si="96"/>
        <v>5</v>
      </c>
      <c r="G2056" s="2">
        <f t="shared" si="97"/>
        <v>914</v>
      </c>
    </row>
    <row r="2057" spans="1:7" x14ac:dyDescent="0.25">
      <c r="A2057" t="str">
        <f t="shared" si="98"/>
        <v>Lago Verde Población  de 0 a 14 años</v>
      </c>
      <c r="B2057" t="s">
        <v>136</v>
      </c>
      <c r="C2057" t="s">
        <v>191</v>
      </c>
      <c r="D2057" t="s">
        <v>52</v>
      </c>
      <c r="E2057" s="2" t="s">
        <v>193</v>
      </c>
      <c r="F2057">
        <f t="shared" si="96"/>
        <v>5</v>
      </c>
      <c r="G2057" s="2">
        <f t="shared" si="97"/>
        <v>136</v>
      </c>
    </row>
    <row r="2058" spans="1:7" x14ac:dyDescent="0.25">
      <c r="A2058" t="str">
        <f t="shared" si="98"/>
        <v>Lago Verde Población  de 15 a 64 años</v>
      </c>
      <c r="B2058" t="s">
        <v>136</v>
      </c>
      <c r="C2058" t="s">
        <v>191</v>
      </c>
      <c r="D2058" t="s">
        <v>50</v>
      </c>
      <c r="E2058" s="2" t="s">
        <v>192</v>
      </c>
      <c r="F2058">
        <f t="shared" si="96"/>
        <v>5</v>
      </c>
      <c r="G2058" s="2">
        <f t="shared" si="97"/>
        <v>607</v>
      </c>
    </row>
    <row r="2059" spans="1:7" x14ac:dyDescent="0.25">
      <c r="A2059" t="str">
        <f t="shared" si="98"/>
        <v>Lago Verde Población de 65 años o mas</v>
      </c>
      <c r="B2059" t="s">
        <v>136</v>
      </c>
      <c r="C2059" t="s">
        <v>191</v>
      </c>
      <c r="D2059" t="s">
        <v>46</v>
      </c>
      <c r="E2059" s="2" t="s">
        <v>190</v>
      </c>
      <c r="F2059">
        <f t="shared" si="96"/>
        <v>5</v>
      </c>
      <c r="G2059" s="2">
        <f t="shared" si="97"/>
        <v>171</v>
      </c>
    </row>
    <row r="2060" spans="1:7" x14ac:dyDescent="0.25">
      <c r="A2060" t="str">
        <f t="shared" si="98"/>
        <v>Cisnes Hombre</v>
      </c>
      <c r="B2060" t="s">
        <v>136</v>
      </c>
      <c r="C2060" t="s">
        <v>184</v>
      </c>
      <c r="D2060" t="s">
        <v>58</v>
      </c>
      <c r="E2060" s="2" t="s">
        <v>189</v>
      </c>
      <c r="F2060">
        <f t="shared" si="96"/>
        <v>6</v>
      </c>
      <c r="G2060" s="2">
        <f t="shared" si="97"/>
        <v>3033</v>
      </c>
    </row>
    <row r="2061" spans="1:7" x14ac:dyDescent="0.25">
      <c r="A2061" t="str">
        <f t="shared" si="98"/>
        <v>Cisnes Mujer</v>
      </c>
      <c r="B2061" t="s">
        <v>136</v>
      </c>
      <c r="C2061" t="s">
        <v>184</v>
      </c>
      <c r="D2061" t="s">
        <v>56</v>
      </c>
      <c r="E2061" s="2" t="s">
        <v>188</v>
      </c>
      <c r="F2061">
        <f t="shared" si="96"/>
        <v>6</v>
      </c>
      <c r="G2061" s="2">
        <f t="shared" si="97"/>
        <v>2839</v>
      </c>
    </row>
    <row r="2062" spans="1:7" x14ac:dyDescent="0.25">
      <c r="A2062" t="str">
        <f t="shared" si="98"/>
        <v>Cisnes Población total</v>
      </c>
      <c r="B2062" t="s">
        <v>136</v>
      </c>
      <c r="C2062" t="s">
        <v>184</v>
      </c>
      <c r="D2062" t="s">
        <v>54</v>
      </c>
      <c r="E2062" s="2" t="s">
        <v>187</v>
      </c>
      <c r="F2062">
        <f t="shared" si="96"/>
        <v>6</v>
      </c>
      <c r="G2062" s="2">
        <f t="shared" si="97"/>
        <v>5872</v>
      </c>
    </row>
    <row r="2063" spans="1:7" x14ac:dyDescent="0.25">
      <c r="A2063" t="str">
        <f t="shared" si="98"/>
        <v>Cisnes Población  de 0 a 14 años</v>
      </c>
      <c r="B2063" t="s">
        <v>136</v>
      </c>
      <c r="C2063" t="s">
        <v>184</v>
      </c>
      <c r="D2063" t="s">
        <v>52</v>
      </c>
      <c r="E2063" s="2" t="s">
        <v>186</v>
      </c>
      <c r="F2063">
        <f t="shared" si="96"/>
        <v>6</v>
      </c>
      <c r="G2063" s="2">
        <f t="shared" si="97"/>
        <v>1158</v>
      </c>
    </row>
    <row r="2064" spans="1:7" x14ac:dyDescent="0.25">
      <c r="A2064" t="str">
        <f t="shared" si="98"/>
        <v>Cisnes Población  de 15 a 64 años</v>
      </c>
      <c r="B2064" t="s">
        <v>136</v>
      </c>
      <c r="C2064" t="s">
        <v>184</v>
      </c>
      <c r="D2064" t="s">
        <v>50</v>
      </c>
      <c r="E2064" s="2" t="s">
        <v>185</v>
      </c>
      <c r="F2064">
        <f t="shared" si="96"/>
        <v>6</v>
      </c>
      <c r="G2064" s="2">
        <f t="shared" si="97"/>
        <v>4047</v>
      </c>
    </row>
    <row r="2065" spans="1:7" x14ac:dyDescent="0.25">
      <c r="A2065" t="str">
        <f t="shared" si="98"/>
        <v>Cisnes Población de 65 años o mas</v>
      </c>
      <c r="B2065" t="s">
        <v>136</v>
      </c>
      <c r="C2065" t="s">
        <v>184</v>
      </c>
      <c r="D2065" t="s">
        <v>46</v>
      </c>
      <c r="E2065" s="2" t="s">
        <v>183</v>
      </c>
      <c r="F2065">
        <f t="shared" si="96"/>
        <v>5</v>
      </c>
      <c r="G2065" s="2">
        <f t="shared" si="97"/>
        <v>667</v>
      </c>
    </row>
    <row r="2066" spans="1:7" x14ac:dyDescent="0.25">
      <c r="A2066" t="str">
        <f t="shared" si="98"/>
        <v>Aysén Hombre</v>
      </c>
      <c r="B2066" t="s">
        <v>136</v>
      </c>
      <c r="C2066" t="s">
        <v>177</v>
      </c>
      <c r="D2066" t="s">
        <v>58</v>
      </c>
      <c r="E2066" s="2" t="s">
        <v>182</v>
      </c>
      <c r="F2066">
        <f t="shared" si="96"/>
        <v>7</v>
      </c>
      <c r="G2066" s="2">
        <f t="shared" si="97"/>
        <v>12847</v>
      </c>
    </row>
    <row r="2067" spans="1:7" x14ac:dyDescent="0.25">
      <c r="A2067" t="str">
        <f t="shared" si="98"/>
        <v>Aysén Mujer</v>
      </c>
      <c r="B2067" t="s">
        <v>136</v>
      </c>
      <c r="C2067" t="s">
        <v>177</v>
      </c>
      <c r="D2067" t="s">
        <v>56</v>
      </c>
      <c r="E2067" s="2" t="s">
        <v>181</v>
      </c>
      <c r="F2067">
        <f t="shared" si="96"/>
        <v>7</v>
      </c>
      <c r="G2067" s="2">
        <f t="shared" si="97"/>
        <v>12371</v>
      </c>
    </row>
    <row r="2068" spans="1:7" x14ac:dyDescent="0.25">
      <c r="A2068" t="str">
        <f t="shared" si="98"/>
        <v>Aysén Población total</v>
      </c>
      <c r="B2068" t="s">
        <v>136</v>
      </c>
      <c r="C2068" t="s">
        <v>177</v>
      </c>
      <c r="D2068" t="s">
        <v>54</v>
      </c>
      <c r="E2068" s="2" t="s">
        <v>180</v>
      </c>
      <c r="F2068">
        <f t="shared" si="96"/>
        <v>7</v>
      </c>
      <c r="G2068" s="2">
        <f t="shared" si="97"/>
        <v>25218</v>
      </c>
    </row>
    <row r="2069" spans="1:7" x14ac:dyDescent="0.25">
      <c r="A2069" t="str">
        <f t="shared" si="98"/>
        <v>Aysén Población  de 0 a 14 años</v>
      </c>
      <c r="B2069" t="s">
        <v>136</v>
      </c>
      <c r="C2069" t="s">
        <v>177</v>
      </c>
      <c r="D2069" t="s">
        <v>52</v>
      </c>
      <c r="E2069" s="2" t="s">
        <v>179</v>
      </c>
      <c r="F2069">
        <f t="shared" si="96"/>
        <v>6</v>
      </c>
      <c r="G2069" s="2">
        <f t="shared" si="97"/>
        <v>5206</v>
      </c>
    </row>
    <row r="2070" spans="1:7" x14ac:dyDescent="0.25">
      <c r="A2070" t="str">
        <f t="shared" si="98"/>
        <v>Aysén Población  de 15 a 64 años</v>
      </c>
      <c r="B2070" t="s">
        <v>136</v>
      </c>
      <c r="C2070" t="s">
        <v>177</v>
      </c>
      <c r="D2070" t="s">
        <v>50</v>
      </c>
      <c r="E2070" s="2" t="s">
        <v>178</v>
      </c>
      <c r="F2070">
        <f t="shared" si="96"/>
        <v>7</v>
      </c>
      <c r="G2070" s="2">
        <f t="shared" si="97"/>
        <v>17006</v>
      </c>
    </row>
    <row r="2071" spans="1:7" x14ac:dyDescent="0.25">
      <c r="A2071" t="str">
        <f t="shared" si="98"/>
        <v>Aysén Población de 65 años o mas</v>
      </c>
      <c r="B2071" t="s">
        <v>136</v>
      </c>
      <c r="C2071" t="s">
        <v>177</v>
      </c>
      <c r="D2071" t="s">
        <v>46</v>
      </c>
      <c r="E2071" s="2" t="s">
        <v>176</v>
      </c>
      <c r="F2071">
        <f t="shared" si="96"/>
        <v>6</v>
      </c>
      <c r="G2071" s="2">
        <f t="shared" si="97"/>
        <v>3006</v>
      </c>
    </row>
    <row r="2072" spans="1:7" x14ac:dyDescent="0.25">
      <c r="A2072" t="str">
        <f t="shared" si="98"/>
        <v>Coyhaique Hombre</v>
      </c>
      <c r="B2072" t="s">
        <v>136</v>
      </c>
      <c r="C2072" t="s">
        <v>170</v>
      </c>
      <c r="D2072" t="s">
        <v>58</v>
      </c>
      <c r="E2072" s="2" t="s">
        <v>175</v>
      </c>
      <c r="F2072">
        <f t="shared" si="96"/>
        <v>7</v>
      </c>
      <c r="G2072" s="2">
        <f t="shared" si="97"/>
        <v>30822</v>
      </c>
    </row>
    <row r="2073" spans="1:7" x14ac:dyDescent="0.25">
      <c r="A2073" t="str">
        <f t="shared" si="98"/>
        <v>Coyhaique Mujer</v>
      </c>
      <c r="B2073" t="s">
        <v>136</v>
      </c>
      <c r="C2073" t="s">
        <v>170</v>
      </c>
      <c r="D2073" t="s">
        <v>56</v>
      </c>
      <c r="E2073" s="2" t="s">
        <v>174</v>
      </c>
      <c r="F2073">
        <f t="shared" si="96"/>
        <v>7</v>
      </c>
      <c r="G2073" s="2">
        <f t="shared" si="97"/>
        <v>31224</v>
      </c>
    </row>
    <row r="2074" spans="1:7" x14ac:dyDescent="0.25">
      <c r="A2074" t="str">
        <f t="shared" si="98"/>
        <v>Coyhaique Población total</v>
      </c>
      <c r="B2074" t="s">
        <v>136</v>
      </c>
      <c r="C2074" t="s">
        <v>170</v>
      </c>
      <c r="D2074" t="s">
        <v>54</v>
      </c>
      <c r="E2074" s="2" t="s">
        <v>173</v>
      </c>
      <c r="F2074">
        <f t="shared" si="96"/>
        <v>7</v>
      </c>
      <c r="G2074" s="2">
        <f t="shared" si="97"/>
        <v>62046</v>
      </c>
    </row>
    <row r="2075" spans="1:7" x14ac:dyDescent="0.25">
      <c r="A2075" t="str">
        <f t="shared" si="98"/>
        <v>Coyhaique Población  de 0 a 14 años</v>
      </c>
      <c r="B2075" t="s">
        <v>136</v>
      </c>
      <c r="C2075" t="s">
        <v>170</v>
      </c>
      <c r="D2075" t="s">
        <v>52</v>
      </c>
      <c r="E2075" s="2" t="s">
        <v>172</v>
      </c>
      <c r="F2075">
        <f t="shared" si="96"/>
        <v>7</v>
      </c>
      <c r="G2075" s="2">
        <f t="shared" si="97"/>
        <v>12628</v>
      </c>
    </row>
    <row r="2076" spans="1:7" x14ac:dyDescent="0.25">
      <c r="A2076" t="str">
        <f t="shared" si="98"/>
        <v>Coyhaique Población  de 15 a 64 años</v>
      </c>
      <c r="B2076" t="s">
        <v>136</v>
      </c>
      <c r="C2076" t="s">
        <v>170</v>
      </c>
      <c r="D2076" t="s">
        <v>50</v>
      </c>
      <c r="E2076" s="2" t="s">
        <v>171</v>
      </c>
      <c r="F2076">
        <f t="shared" si="96"/>
        <v>7</v>
      </c>
      <c r="G2076" s="2">
        <f t="shared" si="97"/>
        <v>41938</v>
      </c>
    </row>
    <row r="2077" spans="1:7" x14ac:dyDescent="0.25">
      <c r="A2077" t="str">
        <f t="shared" si="98"/>
        <v>Coyhaique Población de 65 años o mas</v>
      </c>
      <c r="B2077" t="s">
        <v>136</v>
      </c>
      <c r="C2077" t="s">
        <v>170</v>
      </c>
      <c r="D2077" t="s">
        <v>46</v>
      </c>
      <c r="E2077" s="2" t="s">
        <v>169</v>
      </c>
      <c r="F2077">
        <f t="shared" si="96"/>
        <v>6</v>
      </c>
      <c r="G2077" s="2">
        <f t="shared" si="97"/>
        <v>7480</v>
      </c>
    </row>
    <row r="2078" spans="1:7" x14ac:dyDescent="0.25">
      <c r="A2078" t="str">
        <f t="shared" si="98"/>
        <v>Río Ibáñez Hombre</v>
      </c>
      <c r="B2078" t="s">
        <v>136</v>
      </c>
      <c r="C2078" t="s">
        <v>163</v>
      </c>
      <c r="D2078" t="s">
        <v>58</v>
      </c>
      <c r="E2078" s="2" t="s">
        <v>168</v>
      </c>
      <c r="F2078">
        <f t="shared" si="96"/>
        <v>6</v>
      </c>
      <c r="G2078" s="2">
        <f t="shared" si="97"/>
        <v>1408</v>
      </c>
    </row>
    <row r="2079" spans="1:7" x14ac:dyDescent="0.25">
      <c r="A2079" t="str">
        <f t="shared" si="98"/>
        <v>Río Ibáñez Mujer</v>
      </c>
      <c r="B2079" t="s">
        <v>136</v>
      </c>
      <c r="C2079" t="s">
        <v>163</v>
      </c>
      <c r="D2079" t="s">
        <v>56</v>
      </c>
      <c r="E2079" s="2" t="s">
        <v>167</v>
      </c>
      <c r="F2079">
        <f t="shared" si="96"/>
        <v>6</v>
      </c>
      <c r="G2079" s="2">
        <f t="shared" si="97"/>
        <v>1305</v>
      </c>
    </row>
    <row r="2080" spans="1:7" x14ac:dyDescent="0.25">
      <c r="A2080" t="str">
        <f t="shared" si="98"/>
        <v>Río Ibáñez Población total</v>
      </c>
      <c r="B2080" t="s">
        <v>136</v>
      </c>
      <c r="C2080" t="s">
        <v>163</v>
      </c>
      <c r="D2080" t="s">
        <v>54</v>
      </c>
      <c r="E2080" s="2" t="s">
        <v>166</v>
      </c>
      <c r="F2080">
        <f t="shared" si="96"/>
        <v>6</v>
      </c>
      <c r="G2080" s="2">
        <f t="shared" si="97"/>
        <v>2713</v>
      </c>
    </row>
    <row r="2081" spans="1:7" x14ac:dyDescent="0.25">
      <c r="A2081" t="str">
        <f t="shared" si="98"/>
        <v>Río Ibáñez Población  de 0 a 14 años</v>
      </c>
      <c r="B2081" t="s">
        <v>136</v>
      </c>
      <c r="C2081" t="s">
        <v>163</v>
      </c>
      <c r="D2081" t="s">
        <v>52</v>
      </c>
      <c r="E2081" s="2" t="s">
        <v>165</v>
      </c>
      <c r="F2081">
        <f t="shared" si="96"/>
        <v>5</v>
      </c>
      <c r="G2081" s="2">
        <f t="shared" si="97"/>
        <v>388</v>
      </c>
    </row>
    <row r="2082" spans="1:7" x14ac:dyDescent="0.25">
      <c r="A2082" t="str">
        <f t="shared" si="98"/>
        <v>Río Ibáñez Población  de 15 a 64 años</v>
      </c>
      <c r="B2082" t="s">
        <v>136</v>
      </c>
      <c r="C2082" t="s">
        <v>163</v>
      </c>
      <c r="D2082" t="s">
        <v>50</v>
      </c>
      <c r="E2082" s="2" t="s">
        <v>164</v>
      </c>
      <c r="F2082">
        <f t="shared" si="96"/>
        <v>6</v>
      </c>
      <c r="G2082" s="2">
        <f t="shared" si="97"/>
        <v>1743</v>
      </c>
    </row>
    <row r="2083" spans="1:7" x14ac:dyDescent="0.25">
      <c r="A2083" t="str">
        <f t="shared" si="98"/>
        <v>Río Ibáñez Población de 65 años o mas</v>
      </c>
      <c r="B2083" t="s">
        <v>136</v>
      </c>
      <c r="C2083" t="s">
        <v>163</v>
      </c>
      <c r="D2083" t="s">
        <v>46</v>
      </c>
      <c r="E2083" s="2" t="s">
        <v>162</v>
      </c>
      <c r="F2083">
        <f t="shared" si="96"/>
        <v>5</v>
      </c>
      <c r="G2083" s="2">
        <f t="shared" si="97"/>
        <v>582</v>
      </c>
    </row>
    <row r="2084" spans="1:7" x14ac:dyDescent="0.25">
      <c r="A2084" t="str">
        <f t="shared" si="98"/>
        <v>Chile Chico Hombre</v>
      </c>
      <c r="B2084" t="s">
        <v>136</v>
      </c>
      <c r="C2084" t="s">
        <v>156</v>
      </c>
      <c r="D2084" t="s">
        <v>58</v>
      </c>
      <c r="E2084" s="2" t="s">
        <v>161</v>
      </c>
      <c r="F2084">
        <f t="shared" si="96"/>
        <v>6</v>
      </c>
      <c r="G2084" s="2">
        <f t="shared" si="97"/>
        <v>2637</v>
      </c>
    </row>
    <row r="2085" spans="1:7" x14ac:dyDescent="0.25">
      <c r="A2085" t="str">
        <f t="shared" si="98"/>
        <v>Chile Chico Mujer</v>
      </c>
      <c r="B2085" t="s">
        <v>136</v>
      </c>
      <c r="C2085" t="s">
        <v>156</v>
      </c>
      <c r="D2085" t="s">
        <v>56</v>
      </c>
      <c r="E2085" s="2" t="s">
        <v>160</v>
      </c>
      <c r="F2085">
        <f t="shared" si="96"/>
        <v>6</v>
      </c>
      <c r="G2085" s="2">
        <f t="shared" si="97"/>
        <v>2526</v>
      </c>
    </row>
    <row r="2086" spans="1:7" x14ac:dyDescent="0.25">
      <c r="A2086" t="str">
        <f t="shared" si="98"/>
        <v>Chile Chico Población total</v>
      </c>
      <c r="B2086" t="s">
        <v>136</v>
      </c>
      <c r="C2086" t="s">
        <v>156</v>
      </c>
      <c r="D2086" t="s">
        <v>54</v>
      </c>
      <c r="E2086" s="2" t="s">
        <v>159</v>
      </c>
      <c r="F2086">
        <f t="shared" si="96"/>
        <v>6</v>
      </c>
      <c r="G2086" s="2">
        <f t="shared" si="97"/>
        <v>5163</v>
      </c>
    </row>
    <row r="2087" spans="1:7" x14ac:dyDescent="0.25">
      <c r="A2087" t="str">
        <f t="shared" si="98"/>
        <v>Chile Chico Población  de 0 a 14 años</v>
      </c>
      <c r="B2087" t="s">
        <v>136</v>
      </c>
      <c r="C2087" t="s">
        <v>156</v>
      </c>
      <c r="D2087" t="s">
        <v>52</v>
      </c>
      <c r="E2087" s="2" t="s">
        <v>158</v>
      </c>
      <c r="F2087">
        <f t="shared" si="96"/>
        <v>5</v>
      </c>
      <c r="G2087" s="2">
        <f t="shared" si="97"/>
        <v>900</v>
      </c>
    </row>
    <row r="2088" spans="1:7" x14ac:dyDescent="0.25">
      <c r="A2088" t="str">
        <f t="shared" si="98"/>
        <v>Chile Chico Población  de 15 a 64 años</v>
      </c>
      <c r="B2088" t="s">
        <v>136</v>
      </c>
      <c r="C2088" t="s">
        <v>156</v>
      </c>
      <c r="D2088" t="s">
        <v>50</v>
      </c>
      <c r="E2088" s="2" t="s">
        <v>157</v>
      </c>
      <c r="F2088">
        <f t="shared" si="96"/>
        <v>6</v>
      </c>
      <c r="G2088" s="2">
        <f t="shared" si="97"/>
        <v>3448</v>
      </c>
    </row>
    <row r="2089" spans="1:7" x14ac:dyDescent="0.25">
      <c r="A2089" t="str">
        <f t="shared" si="98"/>
        <v>Chile Chico Población de 65 años o mas</v>
      </c>
      <c r="B2089" t="s">
        <v>136</v>
      </c>
      <c r="C2089" t="s">
        <v>156</v>
      </c>
      <c r="D2089" t="s">
        <v>46</v>
      </c>
      <c r="E2089" s="2" t="s">
        <v>155</v>
      </c>
      <c r="F2089">
        <f t="shared" si="96"/>
        <v>5</v>
      </c>
      <c r="G2089" s="2">
        <f t="shared" si="97"/>
        <v>815</v>
      </c>
    </row>
    <row r="2090" spans="1:7" x14ac:dyDescent="0.25">
      <c r="A2090" t="str">
        <f t="shared" si="98"/>
        <v>Cochrane Hombre</v>
      </c>
      <c r="B2090" t="s">
        <v>136</v>
      </c>
      <c r="C2090" t="s">
        <v>149</v>
      </c>
      <c r="D2090" t="s">
        <v>58</v>
      </c>
      <c r="E2090" s="2" t="s">
        <v>154</v>
      </c>
      <c r="F2090">
        <f t="shared" si="96"/>
        <v>6</v>
      </c>
      <c r="G2090" s="2">
        <f t="shared" si="97"/>
        <v>1926</v>
      </c>
    </row>
    <row r="2091" spans="1:7" x14ac:dyDescent="0.25">
      <c r="A2091" t="str">
        <f t="shared" si="98"/>
        <v>Cochrane Mujer</v>
      </c>
      <c r="B2091" t="s">
        <v>136</v>
      </c>
      <c r="C2091" t="s">
        <v>149</v>
      </c>
      <c r="D2091" t="s">
        <v>56</v>
      </c>
      <c r="E2091" s="2" t="s">
        <v>153</v>
      </c>
      <c r="F2091">
        <f t="shared" si="96"/>
        <v>6</v>
      </c>
      <c r="G2091" s="2">
        <f t="shared" si="97"/>
        <v>1815</v>
      </c>
    </row>
    <row r="2092" spans="1:7" x14ac:dyDescent="0.25">
      <c r="A2092" t="str">
        <f t="shared" si="98"/>
        <v>Cochrane Población total</v>
      </c>
      <c r="B2092" t="s">
        <v>136</v>
      </c>
      <c r="C2092" t="s">
        <v>149</v>
      </c>
      <c r="D2092" t="s">
        <v>54</v>
      </c>
      <c r="E2092" s="2" t="s">
        <v>152</v>
      </c>
      <c r="F2092">
        <f t="shared" si="96"/>
        <v>6</v>
      </c>
      <c r="G2092" s="2">
        <f t="shared" si="97"/>
        <v>3741</v>
      </c>
    </row>
    <row r="2093" spans="1:7" x14ac:dyDescent="0.25">
      <c r="A2093" t="str">
        <f t="shared" si="98"/>
        <v>Cochrane Población  de 0 a 14 años</v>
      </c>
      <c r="B2093" t="s">
        <v>136</v>
      </c>
      <c r="C2093" t="s">
        <v>149</v>
      </c>
      <c r="D2093" t="s">
        <v>52</v>
      </c>
      <c r="E2093" s="2" t="s">
        <v>151</v>
      </c>
      <c r="F2093">
        <f t="shared" si="96"/>
        <v>5</v>
      </c>
      <c r="G2093" s="2">
        <f t="shared" si="97"/>
        <v>707</v>
      </c>
    </row>
    <row r="2094" spans="1:7" x14ac:dyDescent="0.25">
      <c r="A2094" t="str">
        <f t="shared" si="98"/>
        <v>Cochrane Población  de 15 a 64 años</v>
      </c>
      <c r="B2094" t="s">
        <v>136</v>
      </c>
      <c r="C2094" t="s">
        <v>149</v>
      </c>
      <c r="D2094" t="s">
        <v>50</v>
      </c>
      <c r="E2094" s="2" t="s">
        <v>150</v>
      </c>
      <c r="F2094">
        <f t="shared" si="96"/>
        <v>6</v>
      </c>
      <c r="G2094" s="2">
        <f t="shared" si="97"/>
        <v>2540</v>
      </c>
    </row>
    <row r="2095" spans="1:7" x14ac:dyDescent="0.25">
      <c r="A2095" t="str">
        <f t="shared" si="98"/>
        <v>Cochrane Población de 65 años o mas</v>
      </c>
      <c r="B2095" t="s">
        <v>136</v>
      </c>
      <c r="C2095" t="s">
        <v>149</v>
      </c>
      <c r="D2095" t="s">
        <v>46</v>
      </c>
      <c r="E2095" s="2" t="s">
        <v>148</v>
      </c>
      <c r="F2095">
        <f t="shared" si="96"/>
        <v>5</v>
      </c>
      <c r="G2095" s="2">
        <f t="shared" si="97"/>
        <v>494</v>
      </c>
    </row>
    <row r="2096" spans="1:7" x14ac:dyDescent="0.25">
      <c r="A2096" t="str">
        <f t="shared" si="98"/>
        <v>Tortel Hombre</v>
      </c>
      <c r="B2096" t="s">
        <v>136</v>
      </c>
      <c r="C2096" t="s">
        <v>143</v>
      </c>
      <c r="D2096" t="s">
        <v>58</v>
      </c>
      <c r="E2096" s="2" t="s">
        <v>92</v>
      </c>
      <c r="F2096">
        <f t="shared" si="96"/>
        <v>5</v>
      </c>
      <c r="G2096" s="2">
        <f t="shared" si="97"/>
        <v>298</v>
      </c>
    </row>
    <row r="2097" spans="1:7" x14ac:dyDescent="0.25">
      <c r="A2097" t="str">
        <f t="shared" si="98"/>
        <v>Tortel Mujer</v>
      </c>
      <c r="B2097" t="s">
        <v>136</v>
      </c>
      <c r="C2097" t="s">
        <v>143</v>
      </c>
      <c r="D2097" t="s">
        <v>56</v>
      </c>
      <c r="E2097" s="2" t="s">
        <v>147</v>
      </c>
      <c r="F2097">
        <f t="shared" si="96"/>
        <v>5</v>
      </c>
      <c r="G2097" s="2">
        <f t="shared" si="97"/>
        <v>287</v>
      </c>
    </row>
    <row r="2098" spans="1:7" x14ac:dyDescent="0.25">
      <c r="A2098" t="str">
        <f t="shared" si="98"/>
        <v>Tortel Población total</v>
      </c>
      <c r="B2098" t="s">
        <v>136</v>
      </c>
      <c r="C2098" t="s">
        <v>143</v>
      </c>
      <c r="D2098" t="s">
        <v>54</v>
      </c>
      <c r="E2098" s="2" t="s">
        <v>146</v>
      </c>
      <c r="F2098">
        <f t="shared" si="96"/>
        <v>5</v>
      </c>
      <c r="G2098" s="2">
        <f t="shared" si="97"/>
        <v>585</v>
      </c>
    </row>
    <row r="2099" spans="1:7" x14ac:dyDescent="0.25">
      <c r="A2099" t="str">
        <f t="shared" si="98"/>
        <v>Tortel Población  de 0 a 14 años</v>
      </c>
      <c r="B2099" t="s">
        <v>136</v>
      </c>
      <c r="C2099" t="s">
        <v>143</v>
      </c>
      <c r="D2099" t="s">
        <v>52</v>
      </c>
      <c r="E2099" s="2" t="s">
        <v>145</v>
      </c>
      <c r="F2099">
        <f t="shared" si="96"/>
        <v>5</v>
      </c>
      <c r="G2099" s="2">
        <f t="shared" si="97"/>
        <v>126</v>
      </c>
    </row>
    <row r="2100" spans="1:7" x14ac:dyDescent="0.25">
      <c r="A2100" t="str">
        <f t="shared" si="98"/>
        <v>Tortel Población  de 15 a 64 años</v>
      </c>
      <c r="B2100" t="s">
        <v>136</v>
      </c>
      <c r="C2100" t="s">
        <v>143</v>
      </c>
      <c r="D2100" t="s">
        <v>50</v>
      </c>
      <c r="E2100" s="2" t="s">
        <v>144</v>
      </c>
      <c r="F2100">
        <f t="shared" si="96"/>
        <v>5</v>
      </c>
      <c r="G2100" s="2">
        <f t="shared" si="97"/>
        <v>399</v>
      </c>
    </row>
    <row r="2101" spans="1:7" x14ac:dyDescent="0.25">
      <c r="A2101" t="str">
        <f t="shared" si="98"/>
        <v>Tortel Población de 65 años o mas</v>
      </c>
      <c r="B2101" t="s">
        <v>136</v>
      </c>
      <c r="C2101" t="s">
        <v>143</v>
      </c>
      <c r="D2101" t="s">
        <v>46</v>
      </c>
      <c r="E2101" s="2" t="s">
        <v>135</v>
      </c>
      <c r="F2101">
        <f t="shared" si="96"/>
        <v>4</v>
      </c>
      <c r="G2101" s="2">
        <f t="shared" si="97"/>
        <v>60</v>
      </c>
    </row>
    <row r="2102" spans="1:7" x14ac:dyDescent="0.25">
      <c r="A2102" t="str">
        <f t="shared" si="98"/>
        <v>O’higgins Hombre</v>
      </c>
      <c r="B2102" t="s">
        <v>136</v>
      </c>
      <c r="C2102" t="s">
        <v>137</v>
      </c>
      <c r="D2102" t="s">
        <v>58</v>
      </c>
      <c r="E2102" s="2" t="s">
        <v>142</v>
      </c>
      <c r="F2102">
        <f t="shared" si="96"/>
        <v>5</v>
      </c>
      <c r="G2102" s="2">
        <f t="shared" si="97"/>
        <v>354</v>
      </c>
    </row>
    <row r="2103" spans="1:7" x14ac:dyDescent="0.25">
      <c r="A2103" t="str">
        <f t="shared" si="98"/>
        <v>O’higgins Mujer</v>
      </c>
      <c r="B2103" t="s">
        <v>136</v>
      </c>
      <c r="C2103" t="s">
        <v>137</v>
      </c>
      <c r="D2103" t="s">
        <v>56</v>
      </c>
      <c r="E2103" s="2" t="s">
        <v>141</v>
      </c>
      <c r="F2103">
        <f t="shared" si="96"/>
        <v>5</v>
      </c>
      <c r="G2103" s="2">
        <f t="shared" si="97"/>
        <v>321</v>
      </c>
    </row>
    <row r="2104" spans="1:7" x14ac:dyDescent="0.25">
      <c r="A2104" t="str">
        <f t="shared" si="98"/>
        <v>O’higgins Población total</v>
      </c>
      <c r="B2104" t="s">
        <v>136</v>
      </c>
      <c r="C2104" t="s">
        <v>137</v>
      </c>
      <c r="D2104" t="s">
        <v>54</v>
      </c>
      <c r="E2104" s="2" t="s">
        <v>140</v>
      </c>
      <c r="F2104">
        <f t="shared" si="96"/>
        <v>5</v>
      </c>
      <c r="G2104" s="2">
        <f t="shared" si="97"/>
        <v>675</v>
      </c>
    </row>
    <row r="2105" spans="1:7" x14ac:dyDescent="0.25">
      <c r="A2105" t="str">
        <f t="shared" si="98"/>
        <v>O’higgins Población  de 0 a 14 años</v>
      </c>
      <c r="B2105" t="s">
        <v>136</v>
      </c>
      <c r="C2105" t="s">
        <v>137</v>
      </c>
      <c r="D2105" t="s">
        <v>52</v>
      </c>
      <c r="E2105" s="2" t="s">
        <v>139</v>
      </c>
      <c r="F2105">
        <f t="shared" si="96"/>
        <v>5</v>
      </c>
      <c r="G2105" s="2">
        <f t="shared" si="97"/>
        <v>130</v>
      </c>
    </row>
    <row r="2106" spans="1:7" x14ac:dyDescent="0.25">
      <c r="A2106" t="str">
        <f t="shared" si="98"/>
        <v>O’higgins Población  de 15 a 64 años</v>
      </c>
      <c r="B2106" t="s">
        <v>136</v>
      </c>
      <c r="C2106" t="s">
        <v>137</v>
      </c>
      <c r="D2106" t="s">
        <v>50</v>
      </c>
      <c r="E2106" s="2" t="s">
        <v>138</v>
      </c>
      <c r="F2106">
        <f t="shared" si="96"/>
        <v>5</v>
      </c>
      <c r="G2106" s="2">
        <f t="shared" si="97"/>
        <v>485</v>
      </c>
    </row>
    <row r="2107" spans="1:7" x14ac:dyDescent="0.25">
      <c r="A2107" t="str">
        <f t="shared" si="98"/>
        <v>O’higgins Población de 65 años o mas</v>
      </c>
      <c r="B2107" t="s">
        <v>136</v>
      </c>
      <c r="C2107" t="s">
        <v>137</v>
      </c>
      <c r="D2107" t="s">
        <v>46</v>
      </c>
      <c r="E2107" s="2" t="s">
        <v>135</v>
      </c>
      <c r="F2107">
        <f t="shared" si="96"/>
        <v>4</v>
      </c>
      <c r="G2107" s="2">
        <f t="shared" si="97"/>
        <v>60</v>
      </c>
    </row>
    <row r="2108" spans="1:7" x14ac:dyDescent="0.25">
      <c r="A2108" t="str">
        <f t="shared" si="98"/>
        <v>Región De Magallanes Y De La Antártica Chilena Hombre</v>
      </c>
      <c r="B2108" t="s">
        <v>47</v>
      </c>
      <c r="C2108" t="s">
        <v>47</v>
      </c>
      <c r="D2108" t="s">
        <v>58</v>
      </c>
      <c r="E2108" s="2" t="s">
        <v>134</v>
      </c>
      <c r="F2108">
        <f t="shared" si="96"/>
        <v>7</v>
      </c>
      <c r="G2108" s="2">
        <f t="shared" si="97"/>
        <v>93226</v>
      </c>
    </row>
    <row r="2109" spans="1:7" x14ac:dyDescent="0.25">
      <c r="A2109" t="str">
        <f t="shared" si="98"/>
        <v>Región De Magallanes Y De La Antártica Chilena Mujer</v>
      </c>
      <c r="B2109" t="s">
        <v>47</v>
      </c>
      <c r="C2109" t="s">
        <v>47</v>
      </c>
      <c r="D2109" t="s">
        <v>56</v>
      </c>
      <c r="E2109" s="2" t="s">
        <v>133</v>
      </c>
      <c r="F2109">
        <f t="shared" si="96"/>
        <v>7</v>
      </c>
      <c r="G2109" s="2">
        <f t="shared" si="97"/>
        <v>90009</v>
      </c>
    </row>
    <row r="2110" spans="1:7" x14ac:dyDescent="0.25">
      <c r="A2110" t="str">
        <f t="shared" si="98"/>
        <v>Región De Magallanes Y De La Antártica Chilena Población total</v>
      </c>
      <c r="B2110" t="s">
        <v>47</v>
      </c>
      <c r="C2110" t="s">
        <v>47</v>
      </c>
      <c r="D2110" t="s">
        <v>54</v>
      </c>
      <c r="E2110" s="2" t="s">
        <v>132</v>
      </c>
      <c r="F2110">
        <f t="shared" si="96"/>
        <v>8</v>
      </c>
      <c r="G2110" s="2">
        <f t="shared" si="97"/>
        <v>183235</v>
      </c>
    </row>
    <row r="2111" spans="1:7" x14ac:dyDescent="0.25">
      <c r="A2111" t="str">
        <f t="shared" si="98"/>
        <v>Región De Magallanes Y De La Antártica Chilena Población  de 0 a 14 años</v>
      </c>
      <c r="B2111" t="s">
        <v>47</v>
      </c>
      <c r="C2111" t="s">
        <v>47</v>
      </c>
      <c r="D2111" t="s">
        <v>52</v>
      </c>
      <c r="E2111" s="2" t="s">
        <v>131</v>
      </c>
      <c r="F2111">
        <f t="shared" si="96"/>
        <v>7</v>
      </c>
      <c r="G2111" s="2">
        <f t="shared" si="97"/>
        <v>31094</v>
      </c>
    </row>
    <row r="2112" spans="1:7" x14ac:dyDescent="0.25">
      <c r="A2112" t="str">
        <f t="shared" si="98"/>
        <v>Región De Magallanes Y De La Antártica Chilena Población  de 15 a 64 años</v>
      </c>
      <c r="B2112" t="s">
        <v>47</v>
      </c>
      <c r="C2112" t="s">
        <v>47</v>
      </c>
      <c r="D2112" t="s">
        <v>50</v>
      </c>
      <c r="E2112" s="2" t="s">
        <v>130</v>
      </c>
      <c r="F2112">
        <f t="shared" si="96"/>
        <v>8</v>
      </c>
      <c r="G2112" s="2">
        <f t="shared" si="97"/>
        <v>125987</v>
      </c>
    </row>
    <row r="2113" spans="1:7" x14ac:dyDescent="0.25">
      <c r="A2113" t="str">
        <f t="shared" si="98"/>
        <v>Región De Magallanes Y De La Antártica Chilena Población de 65 años o mas</v>
      </c>
      <c r="B2113" t="s">
        <v>47</v>
      </c>
      <c r="C2113" t="s">
        <v>47</v>
      </c>
      <c r="D2113" t="s">
        <v>46</v>
      </c>
      <c r="E2113" s="2" t="s">
        <v>129</v>
      </c>
      <c r="F2113">
        <f t="shared" si="96"/>
        <v>7</v>
      </c>
      <c r="G2113" s="2">
        <f t="shared" si="97"/>
        <v>26154</v>
      </c>
    </row>
    <row r="2114" spans="1:7" x14ac:dyDescent="0.25">
      <c r="A2114" t="str">
        <f t="shared" si="98"/>
        <v>Torres Del Paine Hombre</v>
      </c>
      <c r="B2114" t="s">
        <v>47</v>
      </c>
      <c r="C2114" t="s">
        <v>123</v>
      </c>
      <c r="D2114" t="s">
        <v>58</v>
      </c>
      <c r="E2114" s="2" t="s">
        <v>128</v>
      </c>
      <c r="F2114">
        <f t="shared" ref="F2114:F2177" si="99">+FIND(".",E2114)</f>
        <v>5</v>
      </c>
      <c r="G2114" s="2">
        <f t="shared" ref="G2114:G2177" si="100">+LEFT(E2114,(F2114-1))*1</f>
        <v>600</v>
      </c>
    </row>
    <row r="2115" spans="1:7" x14ac:dyDescent="0.25">
      <c r="A2115" t="str">
        <f t="shared" ref="A2115:A2178" si="101">+C2115&amp;D2115</f>
        <v>Torres Del Paine Mujer</v>
      </c>
      <c r="B2115" t="s">
        <v>47</v>
      </c>
      <c r="C2115" t="s">
        <v>123</v>
      </c>
      <c r="D2115" t="s">
        <v>56</v>
      </c>
      <c r="E2115" s="2" t="s">
        <v>127</v>
      </c>
      <c r="F2115">
        <f t="shared" si="99"/>
        <v>5</v>
      </c>
      <c r="G2115" s="2">
        <f t="shared" si="100"/>
        <v>481</v>
      </c>
    </row>
    <row r="2116" spans="1:7" x14ac:dyDescent="0.25">
      <c r="A2116" t="str">
        <f t="shared" si="101"/>
        <v>Torres Del Paine Población total</v>
      </c>
      <c r="B2116" t="s">
        <v>47</v>
      </c>
      <c r="C2116" t="s">
        <v>123</v>
      </c>
      <c r="D2116" t="s">
        <v>54</v>
      </c>
      <c r="E2116" s="2" t="s">
        <v>126</v>
      </c>
      <c r="F2116">
        <f t="shared" si="99"/>
        <v>6</v>
      </c>
      <c r="G2116" s="2">
        <f t="shared" si="100"/>
        <v>1081</v>
      </c>
    </row>
    <row r="2117" spans="1:7" x14ac:dyDescent="0.25">
      <c r="A2117" t="str">
        <f t="shared" si="101"/>
        <v>Torres Del Paine Población  de 0 a 14 años</v>
      </c>
      <c r="B2117" t="s">
        <v>47</v>
      </c>
      <c r="C2117" t="s">
        <v>123</v>
      </c>
      <c r="D2117" t="s">
        <v>52</v>
      </c>
      <c r="E2117" s="2" t="s">
        <v>125</v>
      </c>
      <c r="F2117">
        <f t="shared" si="99"/>
        <v>4</v>
      </c>
      <c r="G2117" s="2">
        <f t="shared" si="100"/>
        <v>67</v>
      </c>
    </row>
    <row r="2118" spans="1:7" x14ac:dyDescent="0.25">
      <c r="A2118" t="str">
        <f t="shared" si="101"/>
        <v>Torres Del Paine Población  de 15 a 64 años</v>
      </c>
      <c r="B2118" t="s">
        <v>47</v>
      </c>
      <c r="C2118" t="s">
        <v>123</v>
      </c>
      <c r="D2118" t="s">
        <v>50</v>
      </c>
      <c r="E2118" s="2" t="s">
        <v>124</v>
      </c>
      <c r="F2118">
        <f t="shared" si="99"/>
        <v>5</v>
      </c>
      <c r="G2118" s="2">
        <f t="shared" si="100"/>
        <v>932</v>
      </c>
    </row>
    <row r="2119" spans="1:7" x14ac:dyDescent="0.25">
      <c r="A2119" t="str">
        <f t="shared" si="101"/>
        <v>Torres Del Paine Población de 65 años o mas</v>
      </c>
      <c r="B2119" t="s">
        <v>47</v>
      </c>
      <c r="C2119" t="s">
        <v>123</v>
      </c>
      <c r="D2119" t="s">
        <v>46</v>
      </c>
      <c r="E2119" s="2" t="s">
        <v>122</v>
      </c>
      <c r="F2119">
        <f t="shared" si="99"/>
        <v>4</v>
      </c>
      <c r="G2119" s="2">
        <f t="shared" si="100"/>
        <v>82</v>
      </c>
    </row>
    <row r="2120" spans="1:7" x14ac:dyDescent="0.25">
      <c r="A2120" t="str">
        <f t="shared" si="101"/>
        <v>Natales Hombre</v>
      </c>
      <c r="B2120" t="s">
        <v>47</v>
      </c>
      <c r="C2120" t="s">
        <v>116</v>
      </c>
      <c r="D2120" t="s">
        <v>58</v>
      </c>
      <c r="E2120" s="2" t="s">
        <v>121</v>
      </c>
      <c r="F2120">
        <f t="shared" si="99"/>
        <v>7</v>
      </c>
      <c r="G2120" s="2">
        <f t="shared" si="100"/>
        <v>12514</v>
      </c>
    </row>
    <row r="2121" spans="1:7" x14ac:dyDescent="0.25">
      <c r="A2121" t="str">
        <f t="shared" si="101"/>
        <v>Natales Mujer</v>
      </c>
      <c r="B2121" t="s">
        <v>47</v>
      </c>
      <c r="C2121" t="s">
        <v>116</v>
      </c>
      <c r="D2121" t="s">
        <v>56</v>
      </c>
      <c r="E2121" s="2" t="s">
        <v>120</v>
      </c>
      <c r="F2121">
        <f t="shared" si="99"/>
        <v>7</v>
      </c>
      <c r="G2121" s="2">
        <f t="shared" si="100"/>
        <v>12117</v>
      </c>
    </row>
    <row r="2122" spans="1:7" x14ac:dyDescent="0.25">
      <c r="A2122" t="str">
        <f t="shared" si="101"/>
        <v>Natales Población total</v>
      </c>
      <c r="B2122" t="s">
        <v>47</v>
      </c>
      <c r="C2122" t="s">
        <v>116</v>
      </c>
      <c r="D2122" t="s">
        <v>54</v>
      </c>
      <c r="E2122" s="2" t="s">
        <v>119</v>
      </c>
      <c r="F2122">
        <f t="shared" si="99"/>
        <v>7</v>
      </c>
      <c r="G2122" s="2">
        <f t="shared" si="100"/>
        <v>24631</v>
      </c>
    </row>
    <row r="2123" spans="1:7" x14ac:dyDescent="0.25">
      <c r="A2123" t="str">
        <f t="shared" si="101"/>
        <v>Natales Población  de 0 a 14 años</v>
      </c>
      <c r="B2123" t="s">
        <v>47</v>
      </c>
      <c r="C2123" t="s">
        <v>116</v>
      </c>
      <c r="D2123" t="s">
        <v>52</v>
      </c>
      <c r="E2123" s="2" t="s">
        <v>118</v>
      </c>
      <c r="F2123">
        <f t="shared" si="99"/>
        <v>6</v>
      </c>
      <c r="G2123" s="2">
        <f t="shared" si="100"/>
        <v>4196</v>
      </c>
    </row>
    <row r="2124" spans="1:7" x14ac:dyDescent="0.25">
      <c r="A2124" t="str">
        <f t="shared" si="101"/>
        <v>Natales Población  de 15 a 64 años</v>
      </c>
      <c r="B2124" t="s">
        <v>47</v>
      </c>
      <c r="C2124" t="s">
        <v>116</v>
      </c>
      <c r="D2124" t="s">
        <v>50</v>
      </c>
      <c r="E2124" s="2" t="s">
        <v>117</v>
      </c>
      <c r="F2124">
        <f t="shared" si="99"/>
        <v>7</v>
      </c>
      <c r="G2124" s="2">
        <f t="shared" si="100"/>
        <v>16481</v>
      </c>
    </row>
    <row r="2125" spans="1:7" x14ac:dyDescent="0.25">
      <c r="A2125" t="str">
        <f t="shared" si="101"/>
        <v>Natales Población de 65 años o mas</v>
      </c>
      <c r="B2125" t="s">
        <v>47</v>
      </c>
      <c r="C2125" t="s">
        <v>116</v>
      </c>
      <c r="D2125" t="s">
        <v>46</v>
      </c>
      <c r="E2125" s="2" t="s">
        <v>115</v>
      </c>
      <c r="F2125">
        <f t="shared" si="99"/>
        <v>6</v>
      </c>
      <c r="G2125" s="2">
        <f t="shared" si="100"/>
        <v>3954</v>
      </c>
    </row>
    <row r="2126" spans="1:7" x14ac:dyDescent="0.25">
      <c r="A2126" t="str">
        <f t="shared" si="101"/>
        <v>Laguna Blanca Hombre</v>
      </c>
      <c r="B2126" t="s">
        <v>47</v>
      </c>
      <c r="C2126" t="s">
        <v>109</v>
      </c>
      <c r="D2126" t="s">
        <v>58</v>
      </c>
      <c r="E2126" s="2" t="s">
        <v>114</v>
      </c>
      <c r="F2126">
        <f t="shared" si="99"/>
        <v>5</v>
      </c>
      <c r="G2126" s="2">
        <f t="shared" si="100"/>
        <v>147</v>
      </c>
    </row>
    <row r="2127" spans="1:7" x14ac:dyDescent="0.25">
      <c r="A2127" t="str">
        <f t="shared" si="101"/>
        <v>Laguna Blanca Mujer</v>
      </c>
      <c r="B2127" t="s">
        <v>47</v>
      </c>
      <c r="C2127" t="s">
        <v>109</v>
      </c>
      <c r="D2127" t="s">
        <v>56</v>
      </c>
      <c r="E2127" s="2" t="s">
        <v>113</v>
      </c>
      <c r="F2127">
        <f t="shared" si="99"/>
        <v>5</v>
      </c>
      <c r="G2127" s="2">
        <f t="shared" si="100"/>
        <v>101</v>
      </c>
    </row>
    <row r="2128" spans="1:7" x14ac:dyDescent="0.25">
      <c r="A2128" t="str">
        <f t="shared" si="101"/>
        <v>Laguna Blanca Población total</v>
      </c>
      <c r="B2128" t="s">
        <v>47</v>
      </c>
      <c r="C2128" t="s">
        <v>109</v>
      </c>
      <c r="D2128" t="s">
        <v>54</v>
      </c>
      <c r="E2128" s="2" t="s">
        <v>112</v>
      </c>
      <c r="F2128">
        <f t="shared" si="99"/>
        <v>5</v>
      </c>
      <c r="G2128" s="2">
        <f t="shared" si="100"/>
        <v>248</v>
      </c>
    </row>
    <row r="2129" spans="1:7" x14ac:dyDescent="0.25">
      <c r="A2129" t="str">
        <f t="shared" si="101"/>
        <v>Laguna Blanca Población  de 0 a 14 años</v>
      </c>
      <c r="B2129" t="s">
        <v>47</v>
      </c>
      <c r="C2129" t="s">
        <v>109</v>
      </c>
      <c r="D2129" t="s">
        <v>52</v>
      </c>
      <c r="E2129" s="2" t="s">
        <v>111</v>
      </c>
      <c r="F2129">
        <f t="shared" si="99"/>
        <v>4</v>
      </c>
      <c r="G2129" s="2">
        <f t="shared" si="100"/>
        <v>40</v>
      </c>
    </row>
    <row r="2130" spans="1:7" x14ac:dyDescent="0.25">
      <c r="A2130" t="str">
        <f t="shared" si="101"/>
        <v>Laguna Blanca Población  de 15 a 64 años</v>
      </c>
      <c r="B2130" t="s">
        <v>47</v>
      </c>
      <c r="C2130" t="s">
        <v>109</v>
      </c>
      <c r="D2130" t="s">
        <v>50</v>
      </c>
      <c r="E2130" s="2" t="s">
        <v>110</v>
      </c>
      <c r="F2130">
        <f t="shared" si="99"/>
        <v>5</v>
      </c>
      <c r="G2130" s="2">
        <f t="shared" si="100"/>
        <v>172</v>
      </c>
    </row>
    <row r="2131" spans="1:7" x14ac:dyDescent="0.25">
      <c r="A2131" t="str">
        <f t="shared" si="101"/>
        <v>Laguna Blanca Población de 65 años o mas</v>
      </c>
      <c r="B2131" t="s">
        <v>47</v>
      </c>
      <c r="C2131" t="s">
        <v>109</v>
      </c>
      <c r="D2131" t="s">
        <v>46</v>
      </c>
      <c r="E2131" s="2" t="s">
        <v>108</v>
      </c>
      <c r="F2131">
        <f t="shared" si="99"/>
        <v>4</v>
      </c>
      <c r="G2131" s="2">
        <f t="shared" si="100"/>
        <v>36</v>
      </c>
    </row>
    <row r="2132" spans="1:7" x14ac:dyDescent="0.25">
      <c r="A2132" t="str">
        <f t="shared" si="101"/>
        <v>San Gregorio Hombre</v>
      </c>
      <c r="B2132" t="s">
        <v>47</v>
      </c>
      <c r="C2132" t="s">
        <v>102</v>
      </c>
      <c r="D2132" t="s">
        <v>58</v>
      </c>
      <c r="E2132" s="2" t="s">
        <v>107</v>
      </c>
      <c r="F2132">
        <f t="shared" si="99"/>
        <v>5</v>
      </c>
      <c r="G2132" s="2">
        <f t="shared" si="100"/>
        <v>362</v>
      </c>
    </row>
    <row r="2133" spans="1:7" x14ac:dyDescent="0.25">
      <c r="A2133" t="str">
        <f t="shared" si="101"/>
        <v>San Gregorio Mujer</v>
      </c>
      <c r="B2133" t="s">
        <v>47</v>
      </c>
      <c r="C2133" t="s">
        <v>102</v>
      </c>
      <c r="D2133" t="s">
        <v>56</v>
      </c>
      <c r="E2133" s="2" t="s">
        <v>106</v>
      </c>
      <c r="F2133">
        <f t="shared" si="99"/>
        <v>5</v>
      </c>
      <c r="G2133" s="2">
        <f t="shared" si="100"/>
        <v>289</v>
      </c>
    </row>
    <row r="2134" spans="1:7" x14ac:dyDescent="0.25">
      <c r="A2134" t="str">
        <f t="shared" si="101"/>
        <v>San Gregorio Población total</v>
      </c>
      <c r="B2134" t="s">
        <v>47</v>
      </c>
      <c r="C2134" t="s">
        <v>102</v>
      </c>
      <c r="D2134" t="s">
        <v>54</v>
      </c>
      <c r="E2134" s="2" t="s">
        <v>105</v>
      </c>
      <c r="F2134">
        <f t="shared" si="99"/>
        <v>5</v>
      </c>
      <c r="G2134" s="2">
        <f t="shared" si="100"/>
        <v>651</v>
      </c>
    </row>
    <row r="2135" spans="1:7" x14ac:dyDescent="0.25">
      <c r="A2135" t="str">
        <f t="shared" si="101"/>
        <v>San Gregorio Población  de 0 a 14 años</v>
      </c>
      <c r="B2135" t="s">
        <v>47</v>
      </c>
      <c r="C2135" t="s">
        <v>102</v>
      </c>
      <c r="D2135" t="s">
        <v>52</v>
      </c>
      <c r="E2135" s="2" t="s">
        <v>104</v>
      </c>
      <c r="F2135">
        <f t="shared" si="99"/>
        <v>5</v>
      </c>
      <c r="G2135" s="2">
        <f t="shared" si="100"/>
        <v>107</v>
      </c>
    </row>
    <row r="2136" spans="1:7" x14ac:dyDescent="0.25">
      <c r="A2136" t="str">
        <f t="shared" si="101"/>
        <v>San Gregorio Población  de 15 a 64 años</v>
      </c>
      <c r="B2136" t="s">
        <v>47</v>
      </c>
      <c r="C2136" t="s">
        <v>102</v>
      </c>
      <c r="D2136" t="s">
        <v>50</v>
      </c>
      <c r="E2136" s="2" t="s">
        <v>103</v>
      </c>
      <c r="F2136">
        <f t="shared" si="99"/>
        <v>5</v>
      </c>
      <c r="G2136" s="2">
        <f t="shared" si="100"/>
        <v>469</v>
      </c>
    </row>
    <row r="2137" spans="1:7" x14ac:dyDescent="0.25">
      <c r="A2137" t="str">
        <f t="shared" si="101"/>
        <v>San Gregorio Población de 65 años o mas</v>
      </c>
      <c r="B2137" t="s">
        <v>47</v>
      </c>
      <c r="C2137" t="s">
        <v>102</v>
      </c>
      <c r="D2137" t="s">
        <v>46</v>
      </c>
      <c r="E2137" s="2" t="s">
        <v>101</v>
      </c>
      <c r="F2137">
        <f t="shared" si="99"/>
        <v>4</v>
      </c>
      <c r="G2137" s="2">
        <f t="shared" si="100"/>
        <v>75</v>
      </c>
    </row>
    <row r="2138" spans="1:7" x14ac:dyDescent="0.25">
      <c r="A2138" t="str">
        <f t="shared" si="101"/>
        <v>Río Verde Hombre</v>
      </c>
      <c r="B2138" t="s">
        <v>47</v>
      </c>
      <c r="C2138" t="s">
        <v>95</v>
      </c>
      <c r="D2138" t="s">
        <v>58</v>
      </c>
      <c r="E2138" s="2" t="s">
        <v>100</v>
      </c>
      <c r="F2138">
        <f t="shared" si="99"/>
        <v>5</v>
      </c>
      <c r="G2138" s="2">
        <f t="shared" si="100"/>
        <v>128</v>
      </c>
    </row>
    <row r="2139" spans="1:7" x14ac:dyDescent="0.25">
      <c r="A2139" t="str">
        <f t="shared" si="101"/>
        <v>Río Verde Mujer</v>
      </c>
      <c r="B2139" t="s">
        <v>47</v>
      </c>
      <c r="C2139" t="s">
        <v>95</v>
      </c>
      <c r="D2139" t="s">
        <v>56</v>
      </c>
      <c r="E2139" s="2" t="s">
        <v>99</v>
      </c>
      <c r="F2139">
        <f t="shared" si="99"/>
        <v>4</v>
      </c>
      <c r="G2139" s="2">
        <f t="shared" si="100"/>
        <v>77</v>
      </c>
    </row>
    <row r="2140" spans="1:7" x14ac:dyDescent="0.25">
      <c r="A2140" t="str">
        <f t="shared" si="101"/>
        <v>Río Verde Población total</v>
      </c>
      <c r="B2140" t="s">
        <v>47</v>
      </c>
      <c r="C2140" t="s">
        <v>95</v>
      </c>
      <c r="D2140" t="s">
        <v>54</v>
      </c>
      <c r="E2140" s="2" t="s">
        <v>98</v>
      </c>
      <c r="F2140">
        <f t="shared" si="99"/>
        <v>5</v>
      </c>
      <c r="G2140" s="2">
        <f t="shared" si="100"/>
        <v>205</v>
      </c>
    </row>
    <row r="2141" spans="1:7" x14ac:dyDescent="0.25">
      <c r="A2141" t="str">
        <f t="shared" si="101"/>
        <v>Río Verde Población  de 0 a 14 años</v>
      </c>
      <c r="B2141" t="s">
        <v>47</v>
      </c>
      <c r="C2141" t="s">
        <v>95</v>
      </c>
      <c r="D2141" t="s">
        <v>52</v>
      </c>
      <c r="E2141" s="2" t="s">
        <v>97</v>
      </c>
      <c r="F2141">
        <f t="shared" si="99"/>
        <v>4</v>
      </c>
      <c r="G2141" s="2">
        <f t="shared" si="100"/>
        <v>13</v>
      </c>
    </row>
    <row r="2142" spans="1:7" x14ac:dyDescent="0.25">
      <c r="A2142" t="str">
        <f t="shared" si="101"/>
        <v>Río Verde Población  de 15 a 64 años</v>
      </c>
      <c r="B2142" t="s">
        <v>47</v>
      </c>
      <c r="C2142" t="s">
        <v>95</v>
      </c>
      <c r="D2142" t="s">
        <v>50</v>
      </c>
      <c r="E2142" s="2" t="s">
        <v>96</v>
      </c>
      <c r="F2142">
        <f t="shared" si="99"/>
        <v>5</v>
      </c>
      <c r="G2142" s="2">
        <f t="shared" si="100"/>
        <v>153</v>
      </c>
    </row>
    <row r="2143" spans="1:7" x14ac:dyDescent="0.25">
      <c r="A2143" t="str">
        <f t="shared" si="101"/>
        <v>Río Verde Población de 65 años o mas</v>
      </c>
      <c r="B2143" t="s">
        <v>47</v>
      </c>
      <c r="C2143" t="s">
        <v>95</v>
      </c>
      <c r="D2143" t="s">
        <v>46</v>
      </c>
      <c r="E2143" s="2" t="s">
        <v>94</v>
      </c>
      <c r="F2143">
        <f t="shared" si="99"/>
        <v>4</v>
      </c>
      <c r="G2143" s="2">
        <f t="shared" si="100"/>
        <v>39</v>
      </c>
    </row>
    <row r="2144" spans="1:7" x14ac:dyDescent="0.25">
      <c r="A2144" t="str">
        <f t="shared" si="101"/>
        <v>Primavera Hombre</v>
      </c>
      <c r="B2144" t="s">
        <v>47</v>
      </c>
      <c r="C2144" t="s">
        <v>88</v>
      </c>
      <c r="D2144" t="s">
        <v>58</v>
      </c>
      <c r="E2144" s="2" t="s">
        <v>93</v>
      </c>
      <c r="F2144">
        <f t="shared" si="99"/>
        <v>5</v>
      </c>
      <c r="G2144" s="2">
        <f t="shared" si="100"/>
        <v>376</v>
      </c>
    </row>
    <row r="2145" spans="1:7" x14ac:dyDescent="0.25">
      <c r="A2145" t="str">
        <f t="shared" si="101"/>
        <v>Primavera Mujer</v>
      </c>
      <c r="B2145" t="s">
        <v>47</v>
      </c>
      <c r="C2145" t="s">
        <v>88</v>
      </c>
      <c r="D2145" t="s">
        <v>56</v>
      </c>
      <c r="E2145" s="2" t="s">
        <v>92</v>
      </c>
      <c r="F2145">
        <f t="shared" si="99"/>
        <v>5</v>
      </c>
      <c r="G2145" s="2">
        <f t="shared" si="100"/>
        <v>298</v>
      </c>
    </row>
    <row r="2146" spans="1:7" x14ac:dyDescent="0.25">
      <c r="A2146" t="str">
        <f t="shared" si="101"/>
        <v>Primavera Población total</v>
      </c>
      <c r="B2146" t="s">
        <v>47</v>
      </c>
      <c r="C2146" t="s">
        <v>88</v>
      </c>
      <c r="D2146" t="s">
        <v>54</v>
      </c>
      <c r="E2146" s="2" t="s">
        <v>91</v>
      </c>
      <c r="F2146">
        <f t="shared" si="99"/>
        <v>5</v>
      </c>
      <c r="G2146" s="2">
        <f t="shared" si="100"/>
        <v>674</v>
      </c>
    </row>
    <row r="2147" spans="1:7" x14ac:dyDescent="0.25">
      <c r="A2147" t="str">
        <f t="shared" si="101"/>
        <v>Primavera Población  de 0 a 14 años</v>
      </c>
      <c r="B2147" t="s">
        <v>47</v>
      </c>
      <c r="C2147" t="s">
        <v>88</v>
      </c>
      <c r="D2147" t="s">
        <v>52</v>
      </c>
      <c r="E2147" s="2" t="s">
        <v>90</v>
      </c>
      <c r="F2147">
        <f t="shared" si="99"/>
        <v>5</v>
      </c>
      <c r="G2147" s="2">
        <f t="shared" si="100"/>
        <v>105</v>
      </c>
    </row>
    <row r="2148" spans="1:7" x14ac:dyDescent="0.25">
      <c r="A2148" t="str">
        <f t="shared" si="101"/>
        <v>Primavera Población  de 15 a 64 años</v>
      </c>
      <c r="B2148" t="s">
        <v>47</v>
      </c>
      <c r="C2148" t="s">
        <v>88</v>
      </c>
      <c r="D2148" t="s">
        <v>50</v>
      </c>
      <c r="E2148" s="2" t="s">
        <v>89</v>
      </c>
      <c r="F2148">
        <f t="shared" si="99"/>
        <v>5</v>
      </c>
      <c r="G2148" s="2">
        <f t="shared" si="100"/>
        <v>506</v>
      </c>
    </row>
    <row r="2149" spans="1:7" x14ac:dyDescent="0.25">
      <c r="A2149" t="str">
        <f t="shared" si="101"/>
        <v>Primavera Población de 65 años o mas</v>
      </c>
      <c r="B2149" t="s">
        <v>47</v>
      </c>
      <c r="C2149" t="s">
        <v>88</v>
      </c>
      <c r="D2149" t="s">
        <v>46</v>
      </c>
      <c r="E2149" s="2" t="s">
        <v>87</v>
      </c>
      <c r="F2149">
        <f t="shared" si="99"/>
        <v>4</v>
      </c>
      <c r="G2149" s="2">
        <f t="shared" si="100"/>
        <v>63</v>
      </c>
    </row>
    <row r="2150" spans="1:7" x14ac:dyDescent="0.25">
      <c r="A2150" t="str">
        <f t="shared" si="101"/>
        <v>Punta Arenas Hombre</v>
      </c>
      <c r="B2150" t="s">
        <v>47</v>
      </c>
      <c r="C2150" t="s">
        <v>81</v>
      </c>
      <c r="D2150" t="s">
        <v>58</v>
      </c>
      <c r="E2150" s="2" t="s">
        <v>86</v>
      </c>
      <c r="F2150">
        <f t="shared" si="99"/>
        <v>7</v>
      </c>
      <c r="G2150" s="2">
        <f t="shared" si="100"/>
        <v>73682</v>
      </c>
    </row>
    <row r="2151" spans="1:7" x14ac:dyDescent="0.25">
      <c r="A2151" t="str">
        <f t="shared" si="101"/>
        <v>Punta Arenas Mujer</v>
      </c>
      <c r="B2151" t="s">
        <v>47</v>
      </c>
      <c r="C2151" t="s">
        <v>81</v>
      </c>
      <c r="D2151" t="s">
        <v>56</v>
      </c>
      <c r="E2151" s="2" t="s">
        <v>85</v>
      </c>
      <c r="F2151">
        <f t="shared" si="99"/>
        <v>7</v>
      </c>
      <c r="G2151" s="2">
        <f t="shared" si="100"/>
        <v>72031</v>
      </c>
    </row>
    <row r="2152" spans="1:7" x14ac:dyDescent="0.25">
      <c r="A2152" t="str">
        <f t="shared" si="101"/>
        <v>Punta Arenas Población total</v>
      </c>
      <c r="B2152" t="s">
        <v>47</v>
      </c>
      <c r="C2152" t="s">
        <v>81</v>
      </c>
      <c r="D2152" t="s">
        <v>54</v>
      </c>
      <c r="E2152" s="2" t="s">
        <v>84</v>
      </c>
      <c r="F2152">
        <f t="shared" si="99"/>
        <v>8</v>
      </c>
      <c r="G2152" s="2">
        <f t="shared" si="100"/>
        <v>145713</v>
      </c>
    </row>
    <row r="2153" spans="1:7" x14ac:dyDescent="0.25">
      <c r="A2153" t="str">
        <f t="shared" si="101"/>
        <v>Punta Arenas Población  de 0 a 14 años</v>
      </c>
      <c r="B2153" t="s">
        <v>47</v>
      </c>
      <c r="C2153" t="s">
        <v>81</v>
      </c>
      <c r="D2153" t="s">
        <v>52</v>
      </c>
      <c r="E2153" s="2" t="s">
        <v>83</v>
      </c>
      <c r="F2153">
        <f t="shared" si="99"/>
        <v>7</v>
      </c>
      <c r="G2153" s="2">
        <f t="shared" si="100"/>
        <v>24693</v>
      </c>
    </row>
    <row r="2154" spans="1:7" x14ac:dyDescent="0.25">
      <c r="A2154" t="str">
        <f t="shared" si="101"/>
        <v>Punta Arenas Población  de 15 a 64 años</v>
      </c>
      <c r="B2154" t="s">
        <v>47</v>
      </c>
      <c r="C2154" t="s">
        <v>81</v>
      </c>
      <c r="D2154" t="s">
        <v>50</v>
      </c>
      <c r="E2154" s="2" t="s">
        <v>82</v>
      </c>
      <c r="F2154">
        <f t="shared" si="99"/>
        <v>8</v>
      </c>
      <c r="G2154" s="2">
        <f t="shared" si="100"/>
        <v>100162</v>
      </c>
    </row>
    <row r="2155" spans="1:7" x14ac:dyDescent="0.25">
      <c r="A2155" t="str">
        <f t="shared" si="101"/>
        <v>Punta Arenas Población de 65 años o mas</v>
      </c>
      <c r="B2155" t="s">
        <v>47</v>
      </c>
      <c r="C2155" t="s">
        <v>81</v>
      </c>
      <c r="D2155" t="s">
        <v>46</v>
      </c>
      <c r="E2155" s="2" t="s">
        <v>80</v>
      </c>
      <c r="F2155">
        <f t="shared" si="99"/>
        <v>7</v>
      </c>
      <c r="G2155" s="2">
        <f t="shared" si="100"/>
        <v>20858</v>
      </c>
    </row>
    <row r="2156" spans="1:7" x14ac:dyDescent="0.25">
      <c r="A2156" t="str">
        <f t="shared" si="101"/>
        <v>Porvenir Hombre</v>
      </c>
      <c r="B2156" t="s">
        <v>47</v>
      </c>
      <c r="C2156" t="s">
        <v>74</v>
      </c>
      <c r="D2156" t="s">
        <v>58</v>
      </c>
      <c r="E2156" s="2" t="s">
        <v>79</v>
      </c>
      <c r="F2156">
        <f t="shared" si="99"/>
        <v>6</v>
      </c>
      <c r="G2156" s="2">
        <f t="shared" si="100"/>
        <v>4126</v>
      </c>
    </row>
    <row r="2157" spans="1:7" x14ac:dyDescent="0.25">
      <c r="A2157" t="str">
        <f t="shared" si="101"/>
        <v>Porvenir Mujer</v>
      </c>
      <c r="B2157" t="s">
        <v>47</v>
      </c>
      <c r="C2157" t="s">
        <v>74</v>
      </c>
      <c r="D2157" t="s">
        <v>56</v>
      </c>
      <c r="E2157" s="2" t="s">
        <v>78</v>
      </c>
      <c r="F2157">
        <f t="shared" si="99"/>
        <v>6</v>
      </c>
      <c r="G2157" s="2">
        <f t="shared" si="100"/>
        <v>3511</v>
      </c>
    </row>
    <row r="2158" spans="1:7" x14ac:dyDescent="0.25">
      <c r="A2158" t="str">
        <f t="shared" si="101"/>
        <v>Porvenir Población total</v>
      </c>
      <c r="B2158" t="s">
        <v>47</v>
      </c>
      <c r="C2158" t="s">
        <v>74</v>
      </c>
      <c r="D2158" t="s">
        <v>54</v>
      </c>
      <c r="E2158" s="2" t="s">
        <v>77</v>
      </c>
      <c r="F2158">
        <f t="shared" si="99"/>
        <v>6</v>
      </c>
      <c r="G2158" s="2">
        <f t="shared" si="100"/>
        <v>7637</v>
      </c>
    </row>
    <row r="2159" spans="1:7" x14ac:dyDescent="0.25">
      <c r="A2159" t="str">
        <f t="shared" si="101"/>
        <v>Porvenir Población  de 0 a 14 años</v>
      </c>
      <c r="B2159" t="s">
        <v>47</v>
      </c>
      <c r="C2159" t="s">
        <v>74</v>
      </c>
      <c r="D2159" t="s">
        <v>52</v>
      </c>
      <c r="E2159" s="2" t="s">
        <v>76</v>
      </c>
      <c r="F2159">
        <f t="shared" si="99"/>
        <v>6</v>
      </c>
      <c r="G2159" s="2">
        <f t="shared" si="100"/>
        <v>1315</v>
      </c>
    </row>
    <row r="2160" spans="1:7" x14ac:dyDescent="0.25">
      <c r="A2160" t="str">
        <f t="shared" si="101"/>
        <v>Porvenir Población  de 15 a 64 años</v>
      </c>
      <c r="B2160" t="s">
        <v>47</v>
      </c>
      <c r="C2160" t="s">
        <v>74</v>
      </c>
      <c r="D2160" t="s">
        <v>50</v>
      </c>
      <c r="E2160" s="2" t="s">
        <v>75</v>
      </c>
      <c r="F2160">
        <f t="shared" si="99"/>
        <v>6</v>
      </c>
      <c r="G2160" s="2">
        <f t="shared" si="100"/>
        <v>5381</v>
      </c>
    </row>
    <row r="2161" spans="1:7" x14ac:dyDescent="0.25">
      <c r="A2161" t="str">
        <f t="shared" si="101"/>
        <v>Porvenir Población de 65 años o mas</v>
      </c>
      <c r="B2161" t="s">
        <v>47</v>
      </c>
      <c r="C2161" t="s">
        <v>74</v>
      </c>
      <c r="D2161" t="s">
        <v>46</v>
      </c>
      <c r="E2161" s="2" t="s">
        <v>73</v>
      </c>
      <c r="F2161">
        <f t="shared" si="99"/>
        <v>5</v>
      </c>
      <c r="G2161" s="2">
        <f t="shared" si="100"/>
        <v>941</v>
      </c>
    </row>
    <row r="2162" spans="1:7" x14ac:dyDescent="0.25">
      <c r="A2162" t="str">
        <f t="shared" si="101"/>
        <v>Timaukel Hombre</v>
      </c>
      <c r="B2162" t="s">
        <v>47</v>
      </c>
      <c r="C2162" t="s">
        <v>67</v>
      </c>
      <c r="D2162" t="s">
        <v>58</v>
      </c>
      <c r="E2162" s="2" t="s">
        <v>72</v>
      </c>
      <c r="F2162">
        <f t="shared" si="99"/>
        <v>5</v>
      </c>
      <c r="G2162" s="2">
        <f t="shared" si="100"/>
        <v>176</v>
      </c>
    </row>
    <row r="2163" spans="1:7" x14ac:dyDescent="0.25">
      <c r="A2163" t="str">
        <f t="shared" si="101"/>
        <v>Timaukel Mujer</v>
      </c>
      <c r="B2163" t="s">
        <v>47</v>
      </c>
      <c r="C2163" t="s">
        <v>67</v>
      </c>
      <c r="D2163" t="s">
        <v>56</v>
      </c>
      <c r="E2163" s="2" t="s">
        <v>71</v>
      </c>
      <c r="F2163">
        <f t="shared" si="99"/>
        <v>5</v>
      </c>
      <c r="G2163" s="2">
        <f t="shared" si="100"/>
        <v>100</v>
      </c>
    </row>
    <row r="2164" spans="1:7" x14ac:dyDescent="0.25">
      <c r="A2164" t="str">
        <f t="shared" si="101"/>
        <v>Timaukel Población total</v>
      </c>
      <c r="B2164" t="s">
        <v>47</v>
      </c>
      <c r="C2164" t="s">
        <v>67</v>
      </c>
      <c r="D2164" t="s">
        <v>54</v>
      </c>
      <c r="E2164" s="2" t="s">
        <v>70</v>
      </c>
      <c r="F2164">
        <f t="shared" si="99"/>
        <v>5</v>
      </c>
      <c r="G2164" s="2">
        <f t="shared" si="100"/>
        <v>276</v>
      </c>
    </row>
    <row r="2165" spans="1:7" x14ac:dyDescent="0.25">
      <c r="A2165" t="str">
        <f t="shared" si="101"/>
        <v>Timaukel Población  de 0 a 14 años</v>
      </c>
      <c r="B2165" t="s">
        <v>47</v>
      </c>
      <c r="C2165" t="s">
        <v>67</v>
      </c>
      <c r="D2165" t="s">
        <v>52</v>
      </c>
      <c r="E2165" s="2" t="s">
        <v>69</v>
      </c>
      <c r="F2165">
        <f t="shared" si="99"/>
        <v>4</v>
      </c>
      <c r="G2165" s="2">
        <f t="shared" si="100"/>
        <v>35</v>
      </c>
    </row>
    <row r="2166" spans="1:7" x14ac:dyDescent="0.25">
      <c r="A2166" t="str">
        <f t="shared" si="101"/>
        <v>Timaukel Población  de 15 a 64 años</v>
      </c>
      <c r="B2166" t="s">
        <v>47</v>
      </c>
      <c r="C2166" t="s">
        <v>67</v>
      </c>
      <c r="D2166" t="s">
        <v>50</v>
      </c>
      <c r="E2166" s="2" t="s">
        <v>68</v>
      </c>
      <c r="F2166">
        <f t="shared" si="99"/>
        <v>5</v>
      </c>
      <c r="G2166" s="2">
        <f t="shared" si="100"/>
        <v>220</v>
      </c>
    </row>
    <row r="2167" spans="1:7" x14ac:dyDescent="0.25">
      <c r="A2167" t="str">
        <f t="shared" si="101"/>
        <v>Timaukel Población de 65 años o mas</v>
      </c>
      <c r="B2167" t="s">
        <v>47</v>
      </c>
      <c r="C2167" t="s">
        <v>67</v>
      </c>
      <c r="D2167" t="s">
        <v>46</v>
      </c>
      <c r="E2167" s="2" t="s">
        <v>66</v>
      </c>
      <c r="F2167">
        <f t="shared" si="99"/>
        <v>4</v>
      </c>
      <c r="G2167" s="2">
        <f t="shared" si="100"/>
        <v>21</v>
      </c>
    </row>
    <row r="2168" spans="1:7" x14ac:dyDescent="0.25">
      <c r="A2168" t="str">
        <f t="shared" si="101"/>
        <v>Cabo De Hornos Hombre</v>
      </c>
      <c r="B2168" t="s">
        <v>47</v>
      </c>
      <c r="C2168" t="s">
        <v>60</v>
      </c>
      <c r="D2168" t="s">
        <v>58</v>
      </c>
      <c r="E2168" s="2" t="s">
        <v>65</v>
      </c>
      <c r="F2168">
        <f t="shared" si="99"/>
        <v>6</v>
      </c>
      <c r="G2168" s="2">
        <f t="shared" si="100"/>
        <v>1016</v>
      </c>
    </row>
    <row r="2169" spans="1:7" x14ac:dyDescent="0.25">
      <c r="A2169" t="str">
        <f t="shared" si="101"/>
        <v>Cabo De Hornos Mujer</v>
      </c>
      <c r="B2169" t="s">
        <v>47</v>
      </c>
      <c r="C2169" t="s">
        <v>60</v>
      </c>
      <c r="D2169" t="s">
        <v>56</v>
      </c>
      <c r="E2169" s="2" t="s">
        <v>64</v>
      </c>
      <c r="F2169">
        <f t="shared" si="99"/>
        <v>5</v>
      </c>
      <c r="G2169" s="2">
        <f t="shared" si="100"/>
        <v>952</v>
      </c>
    </row>
    <row r="2170" spans="1:7" x14ac:dyDescent="0.25">
      <c r="A2170" t="str">
        <f t="shared" si="101"/>
        <v>Cabo De Hornos Población total</v>
      </c>
      <c r="B2170" t="s">
        <v>47</v>
      </c>
      <c r="C2170" t="s">
        <v>60</v>
      </c>
      <c r="D2170" t="s">
        <v>54</v>
      </c>
      <c r="E2170" s="2" t="s">
        <v>63</v>
      </c>
      <c r="F2170">
        <f t="shared" si="99"/>
        <v>6</v>
      </c>
      <c r="G2170" s="2">
        <f t="shared" si="100"/>
        <v>1968</v>
      </c>
    </row>
    <row r="2171" spans="1:7" x14ac:dyDescent="0.25">
      <c r="A2171" t="str">
        <f t="shared" si="101"/>
        <v>Cabo De Hornos Población  de 0 a 14 años</v>
      </c>
      <c r="B2171" t="s">
        <v>47</v>
      </c>
      <c r="C2171" t="s">
        <v>60</v>
      </c>
      <c r="D2171" t="s">
        <v>52</v>
      </c>
      <c r="E2171" s="2" t="s">
        <v>62</v>
      </c>
      <c r="F2171">
        <f t="shared" si="99"/>
        <v>5</v>
      </c>
      <c r="G2171" s="2">
        <f t="shared" si="100"/>
        <v>504</v>
      </c>
    </row>
    <row r="2172" spans="1:7" x14ac:dyDescent="0.25">
      <c r="A2172" t="str">
        <f t="shared" si="101"/>
        <v>Cabo De Hornos Población  de 15 a 64 años</v>
      </c>
      <c r="B2172" t="s">
        <v>47</v>
      </c>
      <c r="C2172" t="s">
        <v>60</v>
      </c>
      <c r="D2172" t="s">
        <v>50</v>
      </c>
      <c r="E2172" s="2" t="s">
        <v>61</v>
      </c>
      <c r="F2172">
        <f t="shared" si="99"/>
        <v>6</v>
      </c>
      <c r="G2172" s="2">
        <f t="shared" si="100"/>
        <v>1379</v>
      </c>
    </row>
    <row r="2173" spans="1:7" x14ac:dyDescent="0.25">
      <c r="A2173" t="str">
        <f t="shared" si="101"/>
        <v>Cabo De Hornos Población de 65 años o mas</v>
      </c>
      <c r="B2173" t="s">
        <v>47</v>
      </c>
      <c r="C2173" t="s">
        <v>60</v>
      </c>
      <c r="D2173" t="s">
        <v>46</v>
      </c>
      <c r="E2173" s="2" t="s">
        <v>59</v>
      </c>
      <c r="F2173">
        <f t="shared" si="99"/>
        <v>4</v>
      </c>
      <c r="G2173" s="2">
        <f t="shared" si="100"/>
        <v>85</v>
      </c>
    </row>
    <row r="2174" spans="1:7" x14ac:dyDescent="0.25">
      <c r="A2174" t="str">
        <f t="shared" si="101"/>
        <v>Antártica Hombre</v>
      </c>
      <c r="B2174" t="s">
        <v>47</v>
      </c>
      <c r="C2174" t="s">
        <v>48</v>
      </c>
      <c r="D2174" t="s">
        <v>58</v>
      </c>
      <c r="E2174" s="2" t="s">
        <v>57</v>
      </c>
      <c r="F2174">
        <f t="shared" si="99"/>
        <v>4</v>
      </c>
      <c r="G2174" s="2">
        <f t="shared" si="100"/>
        <v>99</v>
      </c>
    </row>
    <row r="2175" spans="1:7" x14ac:dyDescent="0.25">
      <c r="A2175" t="str">
        <f t="shared" si="101"/>
        <v>Antártica Mujer</v>
      </c>
      <c r="B2175" t="s">
        <v>47</v>
      </c>
      <c r="C2175" t="s">
        <v>48</v>
      </c>
      <c r="D2175" t="s">
        <v>56</v>
      </c>
      <c r="E2175" s="2" t="s">
        <v>55</v>
      </c>
      <c r="F2175">
        <f t="shared" si="99"/>
        <v>4</v>
      </c>
      <c r="G2175" s="2">
        <f t="shared" si="100"/>
        <v>52</v>
      </c>
    </row>
    <row r="2176" spans="1:7" x14ac:dyDescent="0.25">
      <c r="A2176" t="str">
        <f t="shared" si="101"/>
        <v>Antártica Población total</v>
      </c>
      <c r="B2176" t="s">
        <v>47</v>
      </c>
      <c r="C2176" t="s">
        <v>48</v>
      </c>
      <c r="D2176" t="s">
        <v>54</v>
      </c>
      <c r="E2176" s="2" t="s">
        <v>53</v>
      </c>
      <c r="F2176">
        <f t="shared" si="99"/>
        <v>5</v>
      </c>
      <c r="G2176" s="2">
        <f t="shared" si="100"/>
        <v>151</v>
      </c>
    </row>
    <row r="2177" spans="1:7" x14ac:dyDescent="0.25">
      <c r="A2177" t="str">
        <f t="shared" si="101"/>
        <v>Antártica Población  de 0 a 14 años</v>
      </c>
      <c r="B2177" t="s">
        <v>47</v>
      </c>
      <c r="C2177" t="s">
        <v>48</v>
      </c>
      <c r="D2177" t="s">
        <v>52</v>
      </c>
      <c r="E2177" s="2" t="s">
        <v>51</v>
      </c>
      <c r="F2177">
        <f t="shared" si="99"/>
        <v>4</v>
      </c>
      <c r="G2177" s="2">
        <f t="shared" si="100"/>
        <v>19</v>
      </c>
    </row>
    <row r="2178" spans="1:7" x14ac:dyDescent="0.25">
      <c r="A2178" t="str">
        <f t="shared" si="101"/>
        <v>Antártica Población  de 15 a 64 años</v>
      </c>
      <c r="B2178" t="s">
        <v>47</v>
      </c>
      <c r="C2178" t="s">
        <v>48</v>
      </c>
      <c r="D2178" t="s">
        <v>50</v>
      </c>
      <c r="E2178" s="2" t="s">
        <v>49</v>
      </c>
      <c r="F2178">
        <f t="shared" ref="F2178:F2179" si="102">+FIND(".",E2178)</f>
        <v>5</v>
      </c>
      <c r="G2178" s="2">
        <f t="shared" ref="G2178:G2179" si="103">+LEFT(E2178,(F2178-1))*1</f>
        <v>132</v>
      </c>
    </row>
    <row r="2179" spans="1:7" x14ac:dyDescent="0.25">
      <c r="A2179" t="str">
        <f t="shared" ref="A2179" si="104">+C2179&amp;D2179</f>
        <v>Antártica Población de 65 años o mas</v>
      </c>
      <c r="B2179" t="s">
        <v>47</v>
      </c>
      <c r="C2179" t="s">
        <v>48</v>
      </c>
      <c r="D2179" t="s">
        <v>46</v>
      </c>
      <c r="E2179" s="2" t="s">
        <v>45</v>
      </c>
      <c r="F2179">
        <f t="shared" si="102"/>
        <v>3</v>
      </c>
      <c r="G2179" s="2">
        <f t="shared" si="103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AEB1-D0E3-4FD7-AAB2-7734CFECBC18}">
  <sheetPr codeName="Hoja4"/>
  <dimension ref="A1:H2179"/>
  <sheetViews>
    <sheetView workbookViewId="0">
      <selection activeCell="B2108" sqref="B2108"/>
    </sheetView>
  </sheetViews>
  <sheetFormatPr baseColWidth="10" defaultRowHeight="15" x14ac:dyDescent="0.25"/>
  <cols>
    <col min="1" max="1" width="42.5703125" bestFit="1" customWidth="1"/>
    <col min="2" max="2" width="23.5703125" bestFit="1" customWidth="1"/>
    <col min="3" max="3" width="9.7109375" bestFit="1" customWidth="1"/>
    <col min="4" max="4" width="5.140625" bestFit="1" customWidth="1"/>
    <col min="5" max="5" width="8.85546875" style="2" bestFit="1" customWidth="1"/>
    <col min="7" max="7" width="23.5703125" bestFit="1" customWidth="1"/>
    <col min="8" max="8" width="30.42578125" bestFit="1" customWidth="1"/>
    <col min="9" max="9" width="24.85546875" bestFit="1" customWidth="1"/>
    <col min="10" max="10" width="17" bestFit="1" customWidth="1"/>
    <col min="11" max="11" width="43.85546875" bestFit="1" customWidth="1"/>
    <col min="12" max="12" width="18.42578125" bestFit="1" customWidth="1"/>
    <col min="13" max="13" width="20.42578125" bestFit="1" customWidth="1"/>
    <col min="14" max="14" width="17.5703125" bestFit="1" customWidth="1"/>
    <col min="15" max="15" width="16.42578125" bestFit="1" customWidth="1"/>
    <col min="16" max="16" width="40.7109375" bestFit="1" customWidth="1"/>
    <col min="17" max="17" width="17.28515625" bestFit="1" customWidth="1"/>
    <col min="18" max="18" width="18.42578125" bestFit="1" customWidth="1"/>
    <col min="19" max="19" width="15.42578125" bestFit="1" customWidth="1"/>
    <col min="20" max="20" width="39.42578125" bestFit="1" customWidth="1"/>
    <col min="21" max="21" width="15.140625" bestFit="1" customWidth="1"/>
    <col min="22" max="22" width="14.85546875" bestFit="1" customWidth="1"/>
    <col min="23" max="23" width="29.140625" bestFit="1" customWidth="1"/>
    <col min="24" max="24" width="11.42578125" bestFit="1" customWidth="1"/>
  </cols>
  <sheetData>
    <row r="1" spans="1:8" x14ac:dyDescent="0.25">
      <c r="A1" t="s">
        <v>2482</v>
      </c>
      <c r="B1" t="s">
        <v>2481</v>
      </c>
      <c r="C1" t="s">
        <v>2486</v>
      </c>
      <c r="D1" s="11" t="s">
        <v>2479</v>
      </c>
      <c r="E1" s="10" t="s">
        <v>2478</v>
      </c>
      <c r="G1" s="13" t="s">
        <v>2482</v>
      </c>
      <c r="H1" t="s">
        <v>1525</v>
      </c>
    </row>
    <row r="2" spans="1:8" x14ac:dyDescent="0.25">
      <c r="A2" t="s">
        <v>2465</v>
      </c>
      <c r="B2" t="s">
        <v>58</v>
      </c>
      <c r="C2" t="s">
        <v>2470</v>
      </c>
      <c r="D2">
        <f t="shared" ref="D2:D33" si="0">+FIND(".",C2)</f>
        <v>8</v>
      </c>
      <c r="E2" s="2">
        <f t="shared" ref="E2:E33" si="1">+LEFT(C2,(D2-1))*1</f>
        <v>132125</v>
      </c>
    </row>
    <row r="3" spans="1:8" x14ac:dyDescent="0.25">
      <c r="A3" t="s">
        <v>2465</v>
      </c>
      <c r="B3" t="s">
        <v>56</v>
      </c>
      <c r="C3" t="s">
        <v>2469</v>
      </c>
      <c r="D3">
        <f t="shared" si="0"/>
        <v>8</v>
      </c>
      <c r="E3" s="2">
        <f t="shared" si="1"/>
        <v>129654</v>
      </c>
      <c r="G3" s="13" t="s">
        <v>2485</v>
      </c>
      <c r="H3" t="s">
        <v>2484</v>
      </c>
    </row>
    <row r="4" spans="1:8" x14ac:dyDescent="0.25">
      <c r="A4" t="s">
        <v>2465</v>
      </c>
      <c r="B4" t="s">
        <v>54</v>
      </c>
      <c r="C4" t="s">
        <v>2468</v>
      </c>
      <c r="D4">
        <f t="shared" si="0"/>
        <v>8</v>
      </c>
      <c r="E4" s="2">
        <f t="shared" si="1"/>
        <v>261779</v>
      </c>
      <c r="G4" s="12" t="s">
        <v>58</v>
      </c>
      <c r="H4" s="2">
        <v>4166844</v>
      </c>
    </row>
    <row r="5" spans="1:8" x14ac:dyDescent="0.25">
      <c r="A5" t="s">
        <v>2465</v>
      </c>
      <c r="B5" t="s">
        <v>52</v>
      </c>
      <c r="C5" t="s">
        <v>2467</v>
      </c>
      <c r="D5">
        <f t="shared" si="0"/>
        <v>7</v>
      </c>
      <c r="E5" s="2">
        <f t="shared" si="1"/>
        <v>51543</v>
      </c>
      <c r="G5" s="12" t="s">
        <v>56</v>
      </c>
      <c r="H5" s="2">
        <v>4253885</v>
      </c>
    </row>
    <row r="6" spans="1:8" x14ac:dyDescent="0.25">
      <c r="A6" t="s">
        <v>2465</v>
      </c>
      <c r="B6" t="s">
        <v>50</v>
      </c>
      <c r="C6" t="s">
        <v>2466</v>
      </c>
      <c r="D6">
        <f t="shared" si="0"/>
        <v>8</v>
      </c>
      <c r="E6" s="2">
        <f t="shared" si="1"/>
        <v>176644</v>
      </c>
      <c r="G6" s="12" t="s">
        <v>52</v>
      </c>
      <c r="H6" s="2">
        <v>1527250</v>
      </c>
    </row>
    <row r="7" spans="1:8" x14ac:dyDescent="0.25">
      <c r="A7" t="s">
        <v>2465</v>
      </c>
      <c r="B7" t="s">
        <v>46</v>
      </c>
      <c r="C7" t="s">
        <v>2464</v>
      </c>
      <c r="D7">
        <f t="shared" si="0"/>
        <v>7</v>
      </c>
      <c r="E7" s="2">
        <f t="shared" si="1"/>
        <v>33592</v>
      </c>
      <c r="G7" s="12" t="s">
        <v>50</v>
      </c>
      <c r="H7" s="2">
        <v>5839488</v>
      </c>
    </row>
    <row r="8" spans="1:8" x14ac:dyDescent="0.25">
      <c r="A8" t="s">
        <v>2435</v>
      </c>
      <c r="B8" t="s">
        <v>58</v>
      </c>
      <c r="C8" t="s">
        <v>2440</v>
      </c>
      <c r="D8">
        <f t="shared" si="0"/>
        <v>8</v>
      </c>
      <c r="E8" s="2">
        <f t="shared" si="1"/>
        <v>204628</v>
      </c>
      <c r="G8" s="12" t="s">
        <v>46</v>
      </c>
      <c r="H8" s="2">
        <v>1053991</v>
      </c>
    </row>
    <row r="9" spans="1:8" x14ac:dyDescent="0.25">
      <c r="A9" t="s">
        <v>2435</v>
      </c>
      <c r="B9" t="s">
        <v>56</v>
      </c>
      <c r="C9" t="s">
        <v>2439</v>
      </c>
      <c r="D9">
        <f t="shared" si="0"/>
        <v>8</v>
      </c>
      <c r="E9" s="2">
        <f t="shared" si="1"/>
        <v>201659</v>
      </c>
      <c r="G9" s="12" t="s">
        <v>54</v>
      </c>
      <c r="H9" s="2">
        <v>8420729</v>
      </c>
    </row>
    <row r="10" spans="1:8" x14ac:dyDescent="0.25">
      <c r="A10" t="s">
        <v>2435</v>
      </c>
      <c r="B10" t="s">
        <v>54</v>
      </c>
      <c r="C10" t="s">
        <v>2438</v>
      </c>
      <c r="D10">
        <f t="shared" si="0"/>
        <v>8</v>
      </c>
      <c r="E10" s="2">
        <f t="shared" si="1"/>
        <v>406287</v>
      </c>
      <c r="G10" s="12" t="s">
        <v>2483</v>
      </c>
      <c r="H10" s="2">
        <v>25262187</v>
      </c>
    </row>
    <row r="11" spans="1:8" x14ac:dyDescent="0.25">
      <c r="A11" t="s">
        <v>2435</v>
      </c>
      <c r="B11" t="s">
        <v>52</v>
      </c>
      <c r="C11" t="s">
        <v>2437</v>
      </c>
      <c r="D11">
        <f t="shared" si="0"/>
        <v>7</v>
      </c>
      <c r="E11" s="2">
        <f t="shared" si="1"/>
        <v>89422</v>
      </c>
    </row>
    <row r="12" spans="1:8" x14ac:dyDescent="0.25">
      <c r="A12" t="s">
        <v>2435</v>
      </c>
      <c r="B12" t="s">
        <v>50</v>
      </c>
      <c r="C12" t="s">
        <v>2436</v>
      </c>
      <c r="D12">
        <f t="shared" si="0"/>
        <v>8</v>
      </c>
      <c r="E12" s="2">
        <f t="shared" si="1"/>
        <v>278679</v>
      </c>
    </row>
    <row r="13" spans="1:8" x14ac:dyDescent="0.25">
      <c r="A13" t="s">
        <v>2435</v>
      </c>
      <c r="B13" t="s">
        <v>46</v>
      </c>
      <c r="C13" t="s">
        <v>2434</v>
      </c>
      <c r="D13">
        <f t="shared" si="0"/>
        <v>7</v>
      </c>
      <c r="E13" s="2">
        <f t="shared" si="1"/>
        <v>38186</v>
      </c>
    </row>
    <row r="14" spans="1:8" x14ac:dyDescent="0.25">
      <c r="A14" t="s">
        <v>2382</v>
      </c>
      <c r="B14" t="s">
        <v>58</v>
      </c>
      <c r="C14" t="s">
        <v>2387</v>
      </c>
      <c r="D14">
        <f t="shared" si="0"/>
        <v>8</v>
      </c>
      <c r="E14" s="2">
        <f t="shared" si="1"/>
        <v>361009</v>
      </c>
    </row>
    <row r="15" spans="1:8" x14ac:dyDescent="0.25">
      <c r="A15" t="s">
        <v>2382</v>
      </c>
      <c r="B15" t="s">
        <v>56</v>
      </c>
      <c r="C15" t="s">
        <v>2386</v>
      </c>
      <c r="D15">
        <f t="shared" si="0"/>
        <v>8</v>
      </c>
      <c r="E15" s="2">
        <f t="shared" si="1"/>
        <v>357223</v>
      </c>
    </row>
    <row r="16" spans="1:8" x14ac:dyDescent="0.25">
      <c r="A16" t="s">
        <v>2382</v>
      </c>
      <c r="B16" t="s">
        <v>54</v>
      </c>
      <c r="C16" t="s">
        <v>2385</v>
      </c>
      <c r="D16">
        <f t="shared" si="0"/>
        <v>8</v>
      </c>
      <c r="E16" s="2">
        <f t="shared" si="1"/>
        <v>718232</v>
      </c>
    </row>
    <row r="17" spans="1:5" x14ac:dyDescent="0.25">
      <c r="A17" t="s">
        <v>2382</v>
      </c>
      <c r="B17" t="s">
        <v>52</v>
      </c>
      <c r="C17" t="s">
        <v>2384</v>
      </c>
      <c r="D17">
        <f t="shared" si="0"/>
        <v>8</v>
      </c>
      <c r="E17" s="2">
        <f t="shared" si="1"/>
        <v>143591</v>
      </c>
    </row>
    <row r="18" spans="1:5" x14ac:dyDescent="0.25">
      <c r="A18" t="s">
        <v>2382</v>
      </c>
      <c r="B18" t="s">
        <v>50</v>
      </c>
      <c r="C18" t="s">
        <v>2383</v>
      </c>
      <c r="D18">
        <f t="shared" si="0"/>
        <v>8</v>
      </c>
      <c r="E18" s="2">
        <f t="shared" si="1"/>
        <v>510597</v>
      </c>
    </row>
    <row r="19" spans="1:5" x14ac:dyDescent="0.25">
      <c r="A19" t="s">
        <v>2382</v>
      </c>
      <c r="B19" t="s">
        <v>46</v>
      </c>
      <c r="C19" t="s">
        <v>2381</v>
      </c>
      <c r="D19">
        <f t="shared" si="0"/>
        <v>7</v>
      </c>
      <c r="E19" s="2">
        <f t="shared" si="1"/>
        <v>64044</v>
      </c>
    </row>
    <row r="20" spans="1:5" x14ac:dyDescent="0.25">
      <c r="A20" t="s">
        <v>2316</v>
      </c>
      <c r="B20" t="s">
        <v>58</v>
      </c>
      <c r="C20" t="s">
        <v>2321</v>
      </c>
      <c r="D20">
        <f t="shared" si="0"/>
        <v>8</v>
      </c>
      <c r="E20" s="2">
        <f t="shared" si="1"/>
        <v>161331</v>
      </c>
    </row>
    <row r="21" spans="1:5" x14ac:dyDescent="0.25">
      <c r="A21" t="s">
        <v>2316</v>
      </c>
      <c r="B21" t="s">
        <v>56</v>
      </c>
      <c r="C21" t="s">
        <v>2320</v>
      </c>
      <c r="D21">
        <f t="shared" si="0"/>
        <v>8</v>
      </c>
      <c r="E21" s="2">
        <f t="shared" si="1"/>
        <v>158661</v>
      </c>
    </row>
    <row r="22" spans="1:5" x14ac:dyDescent="0.25">
      <c r="A22" t="s">
        <v>2316</v>
      </c>
      <c r="B22" t="s">
        <v>54</v>
      </c>
      <c r="C22" t="s">
        <v>2319</v>
      </c>
      <c r="D22">
        <f t="shared" si="0"/>
        <v>8</v>
      </c>
      <c r="E22" s="2">
        <f t="shared" si="1"/>
        <v>319992</v>
      </c>
    </row>
    <row r="23" spans="1:5" x14ac:dyDescent="0.25">
      <c r="A23" t="s">
        <v>2316</v>
      </c>
      <c r="B23" t="s">
        <v>52</v>
      </c>
      <c r="C23" t="s">
        <v>2318</v>
      </c>
      <c r="D23">
        <f t="shared" si="0"/>
        <v>7</v>
      </c>
      <c r="E23" s="2">
        <f t="shared" si="1"/>
        <v>67742</v>
      </c>
    </row>
    <row r="24" spans="1:5" x14ac:dyDescent="0.25">
      <c r="A24" t="s">
        <v>2316</v>
      </c>
      <c r="B24" t="s">
        <v>50</v>
      </c>
      <c r="C24" t="s">
        <v>2317</v>
      </c>
      <c r="D24">
        <f t="shared" si="0"/>
        <v>8</v>
      </c>
      <c r="E24" s="2">
        <f t="shared" si="1"/>
        <v>212383</v>
      </c>
    </row>
    <row r="25" spans="1:5" x14ac:dyDescent="0.25">
      <c r="A25" t="s">
        <v>2316</v>
      </c>
      <c r="B25" t="s">
        <v>46</v>
      </c>
      <c r="C25" t="s">
        <v>2315</v>
      </c>
      <c r="D25">
        <f t="shared" si="0"/>
        <v>7</v>
      </c>
      <c r="E25" s="2">
        <f t="shared" si="1"/>
        <v>39867</v>
      </c>
    </row>
    <row r="26" spans="1:5" x14ac:dyDescent="0.25">
      <c r="A26" t="s">
        <v>2248</v>
      </c>
      <c r="B26" t="s">
        <v>58</v>
      </c>
      <c r="C26" t="s">
        <v>2253</v>
      </c>
      <c r="D26">
        <f t="shared" si="0"/>
        <v>8</v>
      </c>
      <c r="E26" s="2">
        <f t="shared" si="1"/>
        <v>430248</v>
      </c>
    </row>
    <row r="27" spans="1:5" x14ac:dyDescent="0.25">
      <c r="A27" t="s">
        <v>2248</v>
      </c>
      <c r="B27" t="s">
        <v>56</v>
      </c>
      <c r="C27" t="s">
        <v>2252</v>
      </c>
      <c r="D27">
        <f t="shared" si="0"/>
        <v>8</v>
      </c>
      <c r="E27" s="2">
        <f t="shared" si="1"/>
        <v>449019</v>
      </c>
    </row>
    <row r="28" spans="1:5" x14ac:dyDescent="0.25">
      <c r="A28" t="s">
        <v>2248</v>
      </c>
      <c r="B28" t="s">
        <v>54</v>
      </c>
      <c r="C28" t="s">
        <v>2251</v>
      </c>
      <c r="D28">
        <f t="shared" si="0"/>
        <v>8</v>
      </c>
      <c r="E28" s="2">
        <f t="shared" si="1"/>
        <v>879267</v>
      </c>
    </row>
    <row r="29" spans="1:5" x14ac:dyDescent="0.25">
      <c r="A29" t="s">
        <v>2248</v>
      </c>
      <c r="B29" t="s">
        <v>52</v>
      </c>
      <c r="C29" t="s">
        <v>2250</v>
      </c>
      <c r="D29">
        <f t="shared" si="0"/>
        <v>8</v>
      </c>
      <c r="E29" s="2">
        <f t="shared" si="1"/>
        <v>170557</v>
      </c>
    </row>
    <row r="30" spans="1:5" x14ac:dyDescent="0.25">
      <c r="A30" t="s">
        <v>2248</v>
      </c>
      <c r="B30" t="s">
        <v>50</v>
      </c>
      <c r="C30" t="s">
        <v>2249</v>
      </c>
      <c r="D30">
        <f t="shared" si="0"/>
        <v>8</v>
      </c>
      <c r="E30" s="2">
        <f t="shared" si="1"/>
        <v>580371</v>
      </c>
    </row>
    <row r="31" spans="1:5" x14ac:dyDescent="0.25">
      <c r="A31" t="s">
        <v>2248</v>
      </c>
      <c r="B31" t="s">
        <v>46</v>
      </c>
      <c r="C31" t="s">
        <v>2247</v>
      </c>
      <c r="D31">
        <f t="shared" si="0"/>
        <v>8</v>
      </c>
      <c r="E31" s="2">
        <f t="shared" si="1"/>
        <v>128339</v>
      </c>
    </row>
    <row r="32" spans="1:5" x14ac:dyDescent="0.25">
      <c r="A32" t="s">
        <v>2147</v>
      </c>
      <c r="B32" t="s">
        <v>58</v>
      </c>
      <c r="C32" t="s">
        <v>2152</v>
      </c>
      <c r="D32">
        <f t="shared" si="0"/>
        <v>8</v>
      </c>
      <c r="E32" s="2">
        <f t="shared" si="1"/>
        <v>990348</v>
      </c>
    </row>
    <row r="33" spans="1:5" x14ac:dyDescent="0.25">
      <c r="A33" t="s">
        <v>2147</v>
      </c>
      <c r="B33" t="s">
        <v>56</v>
      </c>
      <c r="C33" t="s">
        <v>2151</v>
      </c>
      <c r="D33">
        <f t="shared" si="0"/>
        <v>9</v>
      </c>
      <c r="E33" s="2">
        <f t="shared" si="1"/>
        <v>1035345</v>
      </c>
    </row>
    <row r="34" spans="1:5" x14ac:dyDescent="0.25">
      <c r="A34" t="s">
        <v>2147</v>
      </c>
      <c r="B34" t="s">
        <v>54</v>
      </c>
      <c r="C34" t="s">
        <v>2150</v>
      </c>
      <c r="D34">
        <f t="shared" ref="D34:D65" si="2">+FIND(".",C34)</f>
        <v>9</v>
      </c>
      <c r="E34" s="2">
        <f t="shared" ref="E34:E65" si="3">+LEFT(C34,(D34-1))*1</f>
        <v>2025693</v>
      </c>
    </row>
    <row r="35" spans="1:5" x14ac:dyDescent="0.25">
      <c r="A35" t="s">
        <v>2147</v>
      </c>
      <c r="B35" t="s">
        <v>52</v>
      </c>
      <c r="C35" t="s">
        <v>2149</v>
      </c>
      <c r="D35">
        <f t="shared" si="2"/>
        <v>8</v>
      </c>
      <c r="E35" s="2">
        <f t="shared" si="3"/>
        <v>354619</v>
      </c>
    </row>
    <row r="36" spans="1:5" x14ac:dyDescent="0.25">
      <c r="A36" t="s">
        <v>2147</v>
      </c>
      <c r="B36" t="s">
        <v>50</v>
      </c>
      <c r="C36" t="s">
        <v>2148</v>
      </c>
      <c r="D36">
        <f t="shared" si="2"/>
        <v>9</v>
      </c>
      <c r="E36" s="2">
        <f t="shared" si="3"/>
        <v>1334614</v>
      </c>
    </row>
    <row r="37" spans="1:5" x14ac:dyDescent="0.25">
      <c r="A37" t="s">
        <v>2147</v>
      </c>
      <c r="B37" t="s">
        <v>46</v>
      </c>
      <c r="C37" t="s">
        <v>2146</v>
      </c>
      <c r="D37">
        <f t="shared" si="2"/>
        <v>8</v>
      </c>
      <c r="E37" s="2">
        <f t="shared" si="3"/>
        <v>336460</v>
      </c>
    </row>
    <row r="38" spans="1:5" x14ac:dyDescent="0.25">
      <c r="A38" t="s">
        <v>1525</v>
      </c>
      <c r="B38" t="s">
        <v>58</v>
      </c>
      <c r="C38" t="s">
        <v>1891</v>
      </c>
      <c r="D38">
        <f t="shared" si="2"/>
        <v>9</v>
      </c>
      <c r="E38" s="2">
        <f t="shared" si="3"/>
        <v>4166844</v>
      </c>
    </row>
    <row r="39" spans="1:5" x14ac:dyDescent="0.25">
      <c r="A39" t="s">
        <v>1525</v>
      </c>
      <c r="B39" t="s">
        <v>56</v>
      </c>
      <c r="C39" t="s">
        <v>1890</v>
      </c>
      <c r="D39">
        <f t="shared" si="2"/>
        <v>9</v>
      </c>
      <c r="E39" s="2">
        <f t="shared" si="3"/>
        <v>4253885</v>
      </c>
    </row>
    <row r="40" spans="1:5" x14ac:dyDescent="0.25">
      <c r="A40" t="s">
        <v>1525</v>
      </c>
      <c r="B40" t="s">
        <v>54</v>
      </c>
      <c r="C40" t="s">
        <v>1889</v>
      </c>
      <c r="D40">
        <f t="shared" si="2"/>
        <v>9</v>
      </c>
      <c r="E40" s="2">
        <f t="shared" si="3"/>
        <v>8420729</v>
      </c>
    </row>
    <row r="41" spans="1:5" x14ac:dyDescent="0.25">
      <c r="A41" t="s">
        <v>1525</v>
      </c>
      <c r="B41" t="s">
        <v>52</v>
      </c>
      <c r="C41" t="s">
        <v>1888</v>
      </c>
      <c r="D41">
        <f t="shared" si="2"/>
        <v>9</v>
      </c>
      <c r="E41" s="2">
        <f t="shared" si="3"/>
        <v>1527250</v>
      </c>
    </row>
    <row r="42" spans="1:5" x14ac:dyDescent="0.25">
      <c r="A42" t="s">
        <v>1525</v>
      </c>
      <c r="B42" t="s">
        <v>50</v>
      </c>
      <c r="C42" t="s">
        <v>1887</v>
      </c>
      <c r="D42">
        <f t="shared" si="2"/>
        <v>9</v>
      </c>
      <c r="E42" s="2">
        <f t="shared" si="3"/>
        <v>5839488</v>
      </c>
    </row>
    <row r="43" spans="1:5" x14ac:dyDescent="0.25">
      <c r="A43" t="s">
        <v>1525</v>
      </c>
      <c r="B43" t="s">
        <v>46</v>
      </c>
      <c r="C43" t="s">
        <v>1886</v>
      </c>
      <c r="D43">
        <f t="shared" si="2"/>
        <v>9</v>
      </c>
      <c r="E43" s="2">
        <f t="shared" si="3"/>
        <v>1053991</v>
      </c>
    </row>
    <row r="44" spans="1:5" x14ac:dyDescent="0.25">
      <c r="A44" t="s">
        <v>1300</v>
      </c>
      <c r="B44" t="s">
        <v>58</v>
      </c>
      <c r="C44" t="s">
        <v>1524</v>
      </c>
      <c r="D44">
        <f t="shared" si="2"/>
        <v>8</v>
      </c>
      <c r="E44" s="2">
        <f t="shared" si="3"/>
        <v>512497</v>
      </c>
    </row>
    <row r="45" spans="1:5" x14ac:dyDescent="0.25">
      <c r="A45" t="s">
        <v>1300</v>
      </c>
      <c r="B45" t="s">
        <v>56</v>
      </c>
      <c r="C45" t="s">
        <v>1523</v>
      </c>
      <c r="D45">
        <f t="shared" si="2"/>
        <v>8</v>
      </c>
      <c r="E45" s="2">
        <f t="shared" si="3"/>
        <v>513089</v>
      </c>
    </row>
    <row r="46" spans="1:5" x14ac:dyDescent="0.25">
      <c r="A46" t="s">
        <v>1300</v>
      </c>
      <c r="B46" t="s">
        <v>54</v>
      </c>
      <c r="C46" t="s">
        <v>1522</v>
      </c>
      <c r="D46">
        <f t="shared" si="2"/>
        <v>9</v>
      </c>
      <c r="E46" s="2">
        <f t="shared" si="3"/>
        <v>1025586</v>
      </c>
    </row>
    <row r="47" spans="1:5" x14ac:dyDescent="0.25">
      <c r="A47" t="s">
        <v>1300</v>
      </c>
      <c r="B47" t="s">
        <v>52</v>
      </c>
      <c r="C47" t="s">
        <v>1521</v>
      </c>
      <c r="D47">
        <f t="shared" si="2"/>
        <v>8</v>
      </c>
      <c r="E47" s="2">
        <f t="shared" si="3"/>
        <v>190517</v>
      </c>
    </row>
    <row r="48" spans="1:5" x14ac:dyDescent="0.25">
      <c r="A48" t="s">
        <v>1300</v>
      </c>
      <c r="B48" t="s">
        <v>50</v>
      </c>
      <c r="C48" t="s">
        <v>1520</v>
      </c>
      <c r="D48">
        <f t="shared" si="2"/>
        <v>8</v>
      </c>
      <c r="E48" s="2">
        <f t="shared" si="3"/>
        <v>677098</v>
      </c>
    </row>
    <row r="49" spans="1:5" x14ac:dyDescent="0.25">
      <c r="A49" t="s">
        <v>1300</v>
      </c>
      <c r="B49" t="s">
        <v>46</v>
      </c>
      <c r="C49" t="s">
        <v>1519</v>
      </c>
      <c r="D49">
        <f t="shared" si="2"/>
        <v>8</v>
      </c>
      <c r="E49" s="2">
        <f t="shared" si="3"/>
        <v>157971</v>
      </c>
    </row>
    <row r="50" spans="1:5" x14ac:dyDescent="0.25">
      <c r="A50" t="s">
        <v>1090</v>
      </c>
      <c r="B50" t="s">
        <v>58</v>
      </c>
      <c r="C50" t="s">
        <v>1299</v>
      </c>
      <c r="D50">
        <f t="shared" si="2"/>
        <v>8</v>
      </c>
      <c r="E50" s="2">
        <f t="shared" si="3"/>
        <v>574048</v>
      </c>
    </row>
    <row r="51" spans="1:5" x14ac:dyDescent="0.25">
      <c r="A51" t="s">
        <v>1090</v>
      </c>
      <c r="B51" t="s">
        <v>56</v>
      </c>
      <c r="C51" t="s">
        <v>1298</v>
      </c>
      <c r="D51">
        <f t="shared" si="2"/>
        <v>8</v>
      </c>
      <c r="E51" s="2">
        <f t="shared" si="3"/>
        <v>597934</v>
      </c>
    </row>
    <row r="52" spans="1:5" x14ac:dyDescent="0.25">
      <c r="A52" t="s">
        <v>1090</v>
      </c>
      <c r="B52" t="s">
        <v>54</v>
      </c>
      <c r="C52" t="s">
        <v>1297</v>
      </c>
      <c r="D52">
        <f t="shared" si="2"/>
        <v>9</v>
      </c>
      <c r="E52" s="2">
        <f t="shared" si="3"/>
        <v>1171982</v>
      </c>
    </row>
    <row r="53" spans="1:5" x14ac:dyDescent="0.25">
      <c r="A53" t="s">
        <v>1090</v>
      </c>
      <c r="B53" t="s">
        <v>52</v>
      </c>
      <c r="C53" t="s">
        <v>1296</v>
      </c>
      <c r="D53">
        <f t="shared" si="2"/>
        <v>8</v>
      </c>
      <c r="E53" s="2">
        <f t="shared" si="3"/>
        <v>218832</v>
      </c>
    </row>
    <row r="54" spans="1:5" x14ac:dyDescent="0.25">
      <c r="A54" t="s">
        <v>1090</v>
      </c>
      <c r="B54" t="s">
        <v>50</v>
      </c>
      <c r="C54" t="s">
        <v>1295</v>
      </c>
      <c r="D54">
        <f t="shared" si="2"/>
        <v>8</v>
      </c>
      <c r="E54" s="2">
        <f t="shared" si="3"/>
        <v>769415</v>
      </c>
    </row>
    <row r="55" spans="1:5" x14ac:dyDescent="0.25">
      <c r="A55" t="s">
        <v>1090</v>
      </c>
      <c r="B55" t="s">
        <v>46</v>
      </c>
      <c r="C55" t="s">
        <v>1294</v>
      </c>
      <c r="D55">
        <f t="shared" si="2"/>
        <v>8</v>
      </c>
      <c r="E55" s="2">
        <f t="shared" si="3"/>
        <v>183735</v>
      </c>
    </row>
    <row r="56" spans="1:5" x14ac:dyDescent="0.25">
      <c r="A56" t="s">
        <v>961</v>
      </c>
      <c r="B56" t="s">
        <v>58</v>
      </c>
      <c r="C56" t="s">
        <v>1088</v>
      </c>
      <c r="D56">
        <f t="shared" si="2"/>
        <v>8</v>
      </c>
      <c r="E56" s="2">
        <f t="shared" si="3"/>
        <v>251232</v>
      </c>
    </row>
    <row r="57" spans="1:5" x14ac:dyDescent="0.25">
      <c r="A57" t="s">
        <v>961</v>
      </c>
      <c r="B57" t="s">
        <v>56</v>
      </c>
      <c r="C57" t="s">
        <v>1087</v>
      </c>
      <c r="D57">
        <f t="shared" si="2"/>
        <v>8</v>
      </c>
      <c r="E57" s="2">
        <f t="shared" si="3"/>
        <v>270479</v>
      </c>
    </row>
    <row r="58" spans="1:5" x14ac:dyDescent="0.25">
      <c r="A58" t="s">
        <v>961</v>
      </c>
      <c r="B58" t="s">
        <v>54</v>
      </c>
      <c r="C58" t="s">
        <v>1086</v>
      </c>
      <c r="D58">
        <f t="shared" si="2"/>
        <v>8</v>
      </c>
      <c r="E58" s="2">
        <f t="shared" si="3"/>
        <v>521711</v>
      </c>
    </row>
    <row r="59" spans="1:5" x14ac:dyDescent="0.25">
      <c r="A59" t="s">
        <v>961</v>
      </c>
      <c r="B59" t="s">
        <v>52</v>
      </c>
      <c r="C59" t="s">
        <v>1085</v>
      </c>
      <c r="D59">
        <f t="shared" si="2"/>
        <v>7</v>
      </c>
      <c r="E59" s="2">
        <f t="shared" si="3"/>
        <v>91717</v>
      </c>
    </row>
    <row r="60" spans="1:5" x14ac:dyDescent="0.25">
      <c r="A60" t="s">
        <v>961</v>
      </c>
      <c r="B60" t="s">
        <v>50</v>
      </c>
      <c r="C60" t="s">
        <v>1084</v>
      </c>
      <c r="D60">
        <f t="shared" si="2"/>
        <v>8</v>
      </c>
      <c r="E60" s="2">
        <f t="shared" si="3"/>
        <v>339587</v>
      </c>
    </row>
    <row r="61" spans="1:5" x14ac:dyDescent="0.25">
      <c r="A61" t="s">
        <v>961</v>
      </c>
      <c r="B61" t="s">
        <v>46</v>
      </c>
      <c r="C61" t="s">
        <v>1083</v>
      </c>
      <c r="D61">
        <f t="shared" si="2"/>
        <v>7</v>
      </c>
      <c r="E61" s="2">
        <f t="shared" si="3"/>
        <v>90407</v>
      </c>
    </row>
    <row r="62" spans="1:5" x14ac:dyDescent="0.25">
      <c r="A62" t="s">
        <v>728</v>
      </c>
      <c r="B62" t="s">
        <v>58</v>
      </c>
      <c r="C62" t="s">
        <v>959</v>
      </c>
      <c r="D62">
        <f t="shared" si="2"/>
        <v>8</v>
      </c>
      <c r="E62" s="2">
        <f t="shared" si="3"/>
        <v>819922</v>
      </c>
    </row>
    <row r="63" spans="1:5" x14ac:dyDescent="0.25">
      <c r="A63" t="s">
        <v>728</v>
      </c>
      <c r="B63" t="s">
        <v>56</v>
      </c>
      <c r="C63" t="s">
        <v>958</v>
      </c>
      <c r="D63">
        <f t="shared" si="2"/>
        <v>8</v>
      </c>
      <c r="E63" s="2">
        <f t="shared" si="3"/>
        <v>866303</v>
      </c>
    </row>
    <row r="64" spans="1:5" x14ac:dyDescent="0.25">
      <c r="A64" t="s">
        <v>728</v>
      </c>
      <c r="B64" t="s">
        <v>54</v>
      </c>
      <c r="C64" t="s">
        <v>957</v>
      </c>
      <c r="D64">
        <f t="shared" si="2"/>
        <v>9</v>
      </c>
      <c r="E64" s="2">
        <f t="shared" si="3"/>
        <v>1686225</v>
      </c>
    </row>
    <row r="65" spans="1:5" x14ac:dyDescent="0.25">
      <c r="A65" t="s">
        <v>728</v>
      </c>
      <c r="B65" t="s">
        <v>52</v>
      </c>
      <c r="C65" t="s">
        <v>956</v>
      </c>
      <c r="D65">
        <f t="shared" si="2"/>
        <v>8</v>
      </c>
      <c r="E65" s="2">
        <f t="shared" si="3"/>
        <v>304476</v>
      </c>
    </row>
    <row r="66" spans="1:5" x14ac:dyDescent="0.25">
      <c r="A66" t="s">
        <v>728</v>
      </c>
      <c r="B66" t="s">
        <v>50</v>
      </c>
      <c r="C66" t="s">
        <v>955</v>
      </c>
      <c r="D66">
        <f t="shared" ref="D66:D97" si="4">+FIND(".",C66)</f>
        <v>9</v>
      </c>
      <c r="E66" s="2">
        <f t="shared" ref="E66:E97" si="5">+LEFT(C66,(D66-1))*1</f>
        <v>1130592</v>
      </c>
    </row>
    <row r="67" spans="1:5" x14ac:dyDescent="0.25">
      <c r="A67" t="s">
        <v>728</v>
      </c>
      <c r="B67" t="s">
        <v>46</v>
      </c>
      <c r="C67" t="s">
        <v>954</v>
      </c>
      <c r="D67">
        <f t="shared" si="4"/>
        <v>8</v>
      </c>
      <c r="E67" s="2">
        <f t="shared" si="5"/>
        <v>251157</v>
      </c>
    </row>
    <row r="68" spans="1:5" x14ac:dyDescent="0.25">
      <c r="A68" t="s">
        <v>502</v>
      </c>
      <c r="B68" t="s">
        <v>58</v>
      </c>
      <c r="C68" t="s">
        <v>726</v>
      </c>
      <c r="D68">
        <f t="shared" si="4"/>
        <v>8</v>
      </c>
      <c r="E68" s="2">
        <f t="shared" si="5"/>
        <v>503438</v>
      </c>
    </row>
    <row r="69" spans="1:5" x14ac:dyDescent="0.25">
      <c r="A69" t="s">
        <v>502</v>
      </c>
      <c r="B69" t="s">
        <v>56</v>
      </c>
      <c r="C69" t="s">
        <v>725</v>
      </c>
      <c r="D69">
        <f t="shared" si="4"/>
        <v>8</v>
      </c>
      <c r="E69" s="2">
        <f t="shared" si="5"/>
        <v>528726</v>
      </c>
    </row>
    <row r="70" spans="1:5" x14ac:dyDescent="0.25">
      <c r="A70" t="s">
        <v>502</v>
      </c>
      <c r="B70" t="s">
        <v>54</v>
      </c>
      <c r="C70" t="s">
        <v>724</v>
      </c>
      <c r="D70">
        <f t="shared" si="4"/>
        <v>9</v>
      </c>
      <c r="E70" s="2">
        <f t="shared" si="5"/>
        <v>1032164</v>
      </c>
    </row>
    <row r="71" spans="1:5" x14ac:dyDescent="0.25">
      <c r="A71" t="s">
        <v>502</v>
      </c>
      <c r="B71" t="s">
        <v>52</v>
      </c>
      <c r="C71" t="s">
        <v>723</v>
      </c>
      <c r="D71">
        <f t="shared" si="4"/>
        <v>8</v>
      </c>
      <c r="E71" s="2">
        <f t="shared" si="5"/>
        <v>196063</v>
      </c>
    </row>
    <row r="72" spans="1:5" x14ac:dyDescent="0.25">
      <c r="A72" t="s">
        <v>502</v>
      </c>
      <c r="B72" t="s">
        <v>50</v>
      </c>
      <c r="C72" t="s">
        <v>722</v>
      </c>
      <c r="D72">
        <f t="shared" si="4"/>
        <v>8</v>
      </c>
      <c r="E72" s="2">
        <f t="shared" si="5"/>
        <v>675894</v>
      </c>
    </row>
    <row r="73" spans="1:5" x14ac:dyDescent="0.25">
      <c r="A73" t="s">
        <v>502</v>
      </c>
      <c r="B73" t="s">
        <v>46</v>
      </c>
      <c r="C73" t="s">
        <v>721</v>
      </c>
      <c r="D73">
        <f t="shared" si="4"/>
        <v>8</v>
      </c>
      <c r="E73" s="2">
        <f t="shared" si="5"/>
        <v>160207</v>
      </c>
    </row>
    <row r="74" spans="1:5" x14ac:dyDescent="0.25">
      <c r="A74" t="s">
        <v>424</v>
      </c>
      <c r="B74" t="s">
        <v>58</v>
      </c>
      <c r="C74" t="s">
        <v>500</v>
      </c>
      <c r="D74">
        <f t="shared" si="4"/>
        <v>8</v>
      </c>
      <c r="E74" s="2">
        <f t="shared" si="5"/>
        <v>201540</v>
      </c>
    </row>
    <row r="75" spans="1:5" x14ac:dyDescent="0.25">
      <c r="A75" t="s">
        <v>424</v>
      </c>
      <c r="B75" t="s">
        <v>56</v>
      </c>
      <c r="C75" t="s">
        <v>499</v>
      </c>
      <c r="D75">
        <f t="shared" si="4"/>
        <v>8</v>
      </c>
      <c r="E75" s="2">
        <f t="shared" si="5"/>
        <v>211246</v>
      </c>
    </row>
    <row r="76" spans="1:5" x14ac:dyDescent="0.25">
      <c r="A76" t="s">
        <v>424</v>
      </c>
      <c r="B76" t="s">
        <v>54</v>
      </c>
      <c r="C76" t="s">
        <v>498</v>
      </c>
      <c r="D76">
        <f t="shared" si="4"/>
        <v>8</v>
      </c>
      <c r="E76" s="2">
        <f t="shared" si="5"/>
        <v>412786</v>
      </c>
    </row>
    <row r="77" spans="1:5" x14ac:dyDescent="0.25">
      <c r="A77" t="s">
        <v>424</v>
      </c>
      <c r="B77" t="s">
        <v>52</v>
      </c>
      <c r="C77" t="s">
        <v>497</v>
      </c>
      <c r="D77">
        <f t="shared" si="4"/>
        <v>7</v>
      </c>
      <c r="E77" s="2">
        <f t="shared" si="5"/>
        <v>73654</v>
      </c>
    </row>
    <row r="78" spans="1:5" x14ac:dyDescent="0.25">
      <c r="A78" t="s">
        <v>424</v>
      </c>
      <c r="B78" t="s">
        <v>50</v>
      </c>
      <c r="C78" t="s">
        <v>496</v>
      </c>
      <c r="D78">
        <f t="shared" si="4"/>
        <v>8</v>
      </c>
      <c r="E78" s="2">
        <f t="shared" si="5"/>
        <v>275126</v>
      </c>
    </row>
    <row r="79" spans="1:5" x14ac:dyDescent="0.25">
      <c r="A79" t="s">
        <v>424</v>
      </c>
      <c r="B79" t="s">
        <v>46</v>
      </c>
      <c r="C79" t="s">
        <v>495</v>
      </c>
      <c r="D79">
        <f t="shared" si="4"/>
        <v>7</v>
      </c>
      <c r="E79" s="2">
        <f t="shared" si="5"/>
        <v>64006</v>
      </c>
    </row>
    <row r="80" spans="1:5" x14ac:dyDescent="0.25">
      <c r="A80" t="s">
        <v>211</v>
      </c>
      <c r="B80" t="s">
        <v>58</v>
      </c>
      <c r="C80" t="s">
        <v>422</v>
      </c>
      <c r="D80">
        <f t="shared" si="4"/>
        <v>8</v>
      </c>
      <c r="E80" s="2">
        <f t="shared" si="5"/>
        <v>453413</v>
      </c>
    </row>
    <row r="81" spans="1:5" x14ac:dyDescent="0.25">
      <c r="A81" t="s">
        <v>211</v>
      </c>
      <c r="B81" t="s">
        <v>56</v>
      </c>
      <c r="C81" t="s">
        <v>421</v>
      </c>
      <c r="D81">
        <f t="shared" si="4"/>
        <v>8</v>
      </c>
      <c r="E81" s="2">
        <f t="shared" si="5"/>
        <v>458758</v>
      </c>
    </row>
    <row r="82" spans="1:5" x14ac:dyDescent="0.25">
      <c r="A82" t="s">
        <v>211</v>
      </c>
      <c r="B82" t="s">
        <v>54</v>
      </c>
      <c r="C82" t="s">
        <v>420</v>
      </c>
      <c r="D82">
        <f t="shared" si="4"/>
        <v>8</v>
      </c>
      <c r="E82" s="2">
        <f t="shared" si="5"/>
        <v>912171</v>
      </c>
    </row>
    <row r="83" spans="1:5" x14ac:dyDescent="0.25">
      <c r="A83" t="s">
        <v>211</v>
      </c>
      <c r="B83" t="s">
        <v>52</v>
      </c>
      <c r="C83" t="s">
        <v>419</v>
      </c>
      <c r="D83">
        <f t="shared" si="4"/>
        <v>8</v>
      </c>
      <c r="E83" s="2">
        <f t="shared" si="5"/>
        <v>165246</v>
      </c>
    </row>
    <row r="84" spans="1:5" x14ac:dyDescent="0.25">
      <c r="A84" t="s">
        <v>211</v>
      </c>
      <c r="B84" t="s">
        <v>50</v>
      </c>
      <c r="C84" t="s">
        <v>418</v>
      </c>
      <c r="D84">
        <f t="shared" si="4"/>
        <v>8</v>
      </c>
      <c r="E84" s="2">
        <f t="shared" si="5"/>
        <v>619349</v>
      </c>
    </row>
    <row r="85" spans="1:5" x14ac:dyDescent="0.25">
      <c r="A85" t="s">
        <v>211</v>
      </c>
      <c r="B85" t="s">
        <v>46</v>
      </c>
      <c r="C85" t="s">
        <v>417</v>
      </c>
      <c r="D85">
        <f t="shared" si="4"/>
        <v>8</v>
      </c>
      <c r="E85" s="2">
        <f t="shared" si="5"/>
        <v>127576</v>
      </c>
    </row>
    <row r="86" spans="1:5" x14ac:dyDescent="0.25">
      <c r="A86" t="s">
        <v>136</v>
      </c>
      <c r="B86" t="s">
        <v>58</v>
      </c>
      <c r="C86" t="s">
        <v>209</v>
      </c>
      <c r="D86">
        <f t="shared" si="4"/>
        <v>7</v>
      </c>
      <c r="E86" s="2">
        <f t="shared" si="5"/>
        <v>54651</v>
      </c>
    </row>
    <row r="87" spans="1:5" x14ac:dyDescent="0.25">
      <c r="A87" t="s">
        <v>136</v>
      </c>
      <c r="B87" t="s">
        <v>56</v>
      </c>
      <c r="C87" t="s">
        <v>208</v>
      </c>
      <c r="D87">
        <f t="shared" si="4"/>
        <v>7</v>
      </c>
      <c r="E87" s="2">
        <f t="shared" si="5"/>
        <v>53887</v>
      </c>
    </row>
    <row r="88" spans="1:5" x14ac:dyDescent="0.25">
      <c r="A88" t="s">
        <v>136</v>
      </c>
      <c r="B88" t="s">
        <v>54</v>
      </c>
      <c r="C88" t="s">
        <v>207</v>
      </c>
      <c r="D88">
        <f t="shared" si="4"/>
        <v>8</v>
      </c>
      <c r="E88" s="2">
        <f t="shared" si="5"/>
        <v>108538</v>
      </c>
    </row>
    <row r="89" spans="1:5" x14ac:dyDescent="0.25">
      <c r="A89" t="s">
        <v>136</v>
      </c>
      <c r="B89" t="s">
        <v>52</v>
      </c>
      <c r="C89" t="s">
        <v>206</v>
      </c>
      <c r="D89">
        <f t="shared" si="4"/>
        <v>7</v>
      </c>
      <c r="E89" s="2">
        <f t="shared" si="5"/>
        <v>21702</v>
      </c>
    </row>
    <row r="90" spans="1:5" x14ac:dyDescent="0.25">
      <c r="A90" t="s">
        <v>136</v>
      </c>
      <c r="B90" t="s">
        <v>50</v>
      </c>
      <c r="C90" t="s">
        <v>205</v>
      </c>
      <c r="D90">
        <f t="shared" si="4"/>
        <v>7</v>
      </c>
      <c r="E90" s="2">
        <f t="shared" si="5"/>
        <v>73341</v>
      </c>
    </row>
    <row r="91" spans="1:5" x14ac:dyDescent="0.25">
      <c r="A91" t="s">
        <v>136</v>
      </c>
      <c r="B91" t="s">
        <v>46</v>
      </c>
      <c r="C91" t="s">
        <v>204</v>
      </c>
      <c r="D91">
        <f t="shared" si="4"/>
        <v>7</v>
      </c>
      <c r="E91" s="2">
        <f t="shared" si="5"/>
        <v>13495</v>
      </c>
    </row>
    <row r="92" spans="1:5" x14ac:dyDescent="0.25">
      <c r="A92" t="s">
        <v>47</v>
      </c>
      <c r="B92" t="s">
        <v>58</v>
      </c>
      <c r="C92" t="s">
        <v>134</v>
      </c>
      <c r="D92">
        <f t="shared" si="4"/>
        <v>7</v>
      </c>
      <c r="E92" s="2">
        <f t="shared" si="5"/>
        <v>93226</v>
      </c>
    </row>
    <row r="93" spans="1:5" x14ac:dyDescent="0.25">
      <c r="A93" t="s">
        <v>47</v>
      </c>
      <c r="B93" t="s">
        <v>56</v>
      </c>
      <c r="C93" t="s">
        <v>133</v>
      </c>
      <c r="D93">
        <f t="shared" si="4"/>
        <v>7</v>
      </c>
      <c r="E93" s="2">
        <f t="shared" si="5"/>
        <v>90009</v>
      </c>
    </row>
    <row r="94" spans="1:5" x14ac:dyDescent="0.25">
      <c r="A94" t="s">
        <v>47</v>
      </c>
      <c r="B94" t="s">
        <v>54</v>
      </c>
      <c r="C94" t="s">
        <v>132</v>
      </c>
      <c r="D94">
        <f t="shared" si="4"/>
        <v>8</v>
      </c>
      <c r="E94" s="2">
        <f t="shared" si="5"/>
        <v>183235</v>
      </c>
    </row>
    <row r="95" spans="1:5" x14ac:dyDescent="0.25">
      <c r="A95" t="s">
        <v>47</v>
      </c>
      <c r="B95" t="s">
        <v>52</v>
      </c>
      <c r="C95" t="s">
        <v>131</v>
      </c>
      <c r="D95">
        <f t="shared" si="4"/>
        <v>7</v>
      </c>
      <c r="E95" s="2">
        <f t="shared" si="5"/>
        <v>31094</v>
      </c>
    </row>
    <row r="96" spans="1:5" x14ac:dyDescent="0.25">
      <c r="A96" t="s">
        <v>47</v>
      </c>
      <c r="B96" t="s">
        <v>50</v>
      </c>
      <c r="C96" t="s">
        <v>130</v>
      </c>
      <c r="D96">
        <f t="shared" si="4"/>
        <v>8</v>
      </c>
      <c r="E96" s="2">
        <f t="shared" si="5"/>
        <v>125987</v>
      </c>
    </row>
    <row r="97" spans="1:5" x14ac:dyDescent="0.25">
      <c r="A97" t="s">
        <v>47</v>
      </c>
      <c r="B97" t="s">
        <v>46</v>
      </c>
      <c r="C97" t="s">
        <v>129</v>
      </c>
      <c r="D97">
        <f t="shared" si="4"/>
        <v>7</v>
      </c>
      <c r="E97" s="2">
        <f t="shared" si="5"/>
        <v>26154</v>
      </c>
    </row>
    <row r="98" spans="1:5" x14ac:dyDescent="0.25">
      <c r="E98"/>
    </row>
    <row r="99" spans="1:5" x14ac:dyDescent="0.25">
      <c r="E99"/>
    </row>
    <row r="100" spans="1:5" x14ac:dyDescent="0.25">
      <c r="E100"/>
    </row>
    <row r="101" spans="1:5" x14ac:dyDescent="0.25">
      <c r="E101"/>
    </row>
    <row r="102" spans="1:5" x14ac:dyDescent="0.25">
      <c r="E102"/>
    </row>
    <row r="103" spans="1:5" x14ac:dyDescent="0.25">
      <c r="E103"/>
    </row>
    <row r="104" spans="1:5" x14ac:dyDescent="0.25">
      <c r="E104"/>
    </row>
    <row r="105" spans="1:5" x14ac:dyDescent="0.25">
      <c r="E105"/>
    </row>
    <row r="106" spans="1:5" x14ac:dyDescent="0.25">
      <c r="E106"/>
    </row>
    <row r="107" spans="1:5" x14ac:dyDescent="0.25">
      <c r="E107"/>
    </row>
    <row r="108" spans="1:5" x14ac:dyDescent="0.25">
      <c r="E108"/>
    </row>
    <row r="109" spans="1:5" x14ac:dyDescent="0.25">
      <c r="E109"/>
    </row>
    <row r="110" spans="1:5" x14ac:dyDescent="0.25">
      <c r="E110"/>
    </row>
    <row r="111" spans="1:5" x14ac:dyDescent="0.25">
      <c r="E111"/>
    </row>
    <row r="112" spans="1:5" x14ac:dyDescent="0.25">
      <c r="E112"/>
    </row>
    <row r="113" spans="5:5" x14ac:dyDescent="0.25">
      <c r="E113"/>
    </row>
    <row r="114" spans="5:5" x14ac:dyDescent="0.25">
      <c r="E114"/>
    </row>
    <row r="115" spans="5:5" x14ac:dyDescent="0.25">
      <c r="E115"/>
    </row>
    <row r="116" spans="5:5" x14ac:dyDescent="0.25">
      <c r="E116"/>
    </row>
    <row r="117" spans="5:5" x14ac:dyDescent="0.25">
      <c r="E117"/>
    </row>
    <row r="118" spans="5:5" x14ac:dyDescent="0.25">
      <c r="E118"/>
    </row>
    <row r="119" spans="5:5" x14ac:dyDescent="0.25">
      <c r="E119"/>
    </row>
    <row r="120" spans="5:5" x14ac:dyDescent="0.25">
      <c r="E120"/>
    </row>
    <row r="121" spans="5:5" x14ac:dyDescent="0.25">
      <c r="E121"/>
    </row>
    <row r="122" spans="5:5" x14ac:dyDescent="0.25">
      <c r="E122"/>
    </row>
    <row r="123" spans="5:5" x14ac:dyDescent="0.25">
      <c r="E123"/>
    </row>
    <row r="124" spans="5:5" x14ac:dyDescent="0.25">
      <c r="E124"/>
    </row>
    <row r="125" spans="5:5" x14ac:dyDescent="0.25">
      <c r="E125"/>
    </row>
    <row r="126" spans="5:5" x14ac:dyDescent="0.25">
      <c r="E126"/>
    </row>
    <row r="127" spans="5:5" x14ac:dyDescent="0.25">
      <c r="E127"/>
    </row>
    <row r="128" spans="5:5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x14ac:dyDescent="0.25">
      <c r="E290"/>
    </row>
    <row r="291" spans="5:5" x14ac:dyDescent="0.25">
      <c r="E291"/>
    </row>
    <row r="292" spans="5:5" x14ac:dyDescent="0.25">
      <c r="E292"/>
    </row>
    <row r="293" spans="5:5" x14ac:dyDescent="0.25">
      <c r="E293"/>
    </row>
    <row r="294" spans="5:5" x14ac:dyDescent="0.25">
      <c r="E294"/>
    </row>
    <row r="295" spans="5:5" x14ac:dyDescent="0.25">
      <c r="E295"/>
    </row>
    <row r="296" spans="5:5" x14ac:dyDescent="0.25">
      <c r="E296"/>
    </row>
    <row r="297" spans="5:5" x14ac:dyDescent="0.25">
      <c r="E297"/>
    </row>
    <row r="298" spans="5:5" x14ac:dyDescent="0.25">
      <c r="E298"/>
    </row>
    <row r="299" spans="5:5" x14ac:dyDescent="0.25">
      <c r="E299"/>
    </row>
    <row r="300" spans="5:5" x14ac:dyDescent="0.25">
      <c r="E300"/>
    </row>
    <row r="301" spans="5:5" x14ac:dyDescent="0.25">
      <c r="E301"/>
    </row>
    <row r="302" spans="5:5" x14ac:dyDescent="0.25">
      <c r="E302"/>
    </row>
    <row r="303" spans="5:5" x14ac:dyDescent="0.25">
      <c r="E303"/>
    </row>
    <row r="304" spans="5:5" x14ac:dyDescent="0.25">
      <c r="E304"/>
    </row>
    <row r="305" spans="5:5" x14ac:dyDescent="0.25">
      <c r="E305"/>
    </row>
    <row r="306" spans="5:5" x14ac:dyDescent="0.25">
      <c r="E306"/>
    </row>
    <row r="307" spans="5:5" x14ac:dyDescent="0.25">
      <c r="E307"/>
    </row>
    <row r="308" spans="5:5" x14ac:dyDescent="0.25">
      <c r="E308"/>
    </row>
    <row r="309" spans="5:5" x14ac:dyDescent="0.25">
      <c r="E309"/>
    </row>
    <row r="310" spans="5:5" x14ac:dyDescent="0.25">
      <c r="E310"/>
    </row>
    <row r="311" spans="5:5" x14ac:dyDescent="0.25">
      <c r="E311"/>
    </row>
    <row r="312" spans="5:5" x14ac:dyDescent="0.25">
      <c r="E312"/>
    </row>
    <row r="313" spans="5:5" x14ac:dyDescent="0.25">
      <c r="E313"/>
    </row>
    <row r="314" spans="5:5" x14ac:dyDescent="0.25">
      <c r="E314"/>
    </row>
    <row r="315" spans="5:5" x14ac:dyDescent="0.25">
      <c r="E315"/>
    </row>
    <row r="316" spans="5:5" x14ac:dyDescent="0.25">
      <c r="E316"/>
    </row>
    <row r="317" spans="5:5" x14ac:dyDescent="0.25">
      <c r="E317"/>
    </row>
    <row r="318" spans="5:5" x14ac:dyDescent="0.25">
      <c r="E318"/>
    </row>
    <row r="319" spans="5:5" x14ac:dyDescent="0.25">
      <c r="E319"/>
    </row>
    <row r="320" spans="5:5" x14ac:dyDescent="0.25">
      <c r="E320"/>
    </row>
    <row r="321" spans="5:5" x14ac:dyDescent="0.25">
      <c r="E321"/>
    </row>
    <row r="322" spans="5:5" x14ac:dyDescent="0.25">
      <c r="E322"/>
    </row>
    <row r="323" spans="5:5" x14ac:dyDescent="0.25">
      <c r="E323"/>
    </row>
    <row r="324" spans="5:5" x14ac:dyDescent="0.25">
      <c r="E324"/>
    </row>
    <row r="325" spans="5:5" x14ac:dyDescent="0.25">
      <c r="E325"/>
    </row>
    <row r="326" spans="5:5" x14ac:dyDescent="0.25">
      <c r="E326"/>
    </row>
    <row r="327" spans="5:5" x14ac:dyDescent="0.25">
      <c r="E327"/>
    </row>
    <row r="328" spans="5:5" x14ac:dyDescent="0.25">
      <c r="E328"/>
    </row>
    <row r="329" spans="5:5" x14ac:dyDescent="0.25">
      <c r="E329"/>
    </row>
    <row r="330" spans="5:5" x14ac:dyDescent="0.25">
      <c r="E330"/>
    </row>
    <row r="331" spans="5:5" x14ac:dyDescent="0.25">
      <c r="E331"/>
    </row>
    <row r="332" spans="5:5" x14ac:dyDescent="0.25">
      <c r="E332"/>
    </row>
    <row r="333" spans="5:5" x14ac:dyDescent="0.25">
      <c r="E333"/>
    </row>
    <row r="334" spans="5:5" x14ac:dyDescent="0.25">
      <c r="E334"/>
    </row>
    <row r="335" spans="5:5" x14ac:dyDescent="0.25">
      <c r="E335"/>
    </row>
    <row r="336" spans="5:5" x14ac:dyDescent="0.25">
      <c r="E336"/>
    </row>
    <row r="337" spans="5:5" x14ac:dyDescent="0.25">
      <c r="E337"/>
    </row>
    <row r="338" spans="5:5" x14ac:dyDescent="0.25">
      <c r="E338"/>
    </row>
    <row r="339" spans="5:5" x14ac:dyDescent="0.25">
      <c r="E339"/>
    </row>
    <row r="340" spans="5:5" x14ac:dyDescent="0.25">
      <c r="E340"/>
    </row>
    <row r="341" spans="5:5" x14ac:dyDescent="0.25">
      <c r="E341"/>
    </row>
    <row r="342" spans="5:5" x14ac:dyDescent="0.25">
      <c r="E342"/>
    </row>
    <row r="343" spans="5:5" x14ac:dyDescent="0.25">
      <c r="E343"/>
    </row>
    <row r="344" spans="5:5" x14ac:dyDescent="0.25">
      <c r="E344"/>
    </row>
    <row r="345" spans="5:5" x14ac:dyDescent="0.25">
      <c r="E345"/>
    </row>
    <row r="346" spans="5:5" x14ac:dyDescent="0.25">
      <c r="E346"/>
    </row>
    <row r="347" spans="5:5" x14ac:dyDescent="0.25">
      <c r="E347"/>
    </row>
    <row r="348" spans="5:5" x14ac:dyDescent="0.25">
      <c r="E348"/>
    </row>
    <row r="349" spans="5:5" x14ac:dyDescent="0.25">
      <c r="E349"/>
    </row>
    <row r="350" spans="5:5" x14ac:dyDescent="0.25">
      <c r="E350"/>
    </row>
    <row r="351" spans="5:5" x14ac:dyDescent="0.25">
      <c r="E351"/>
    </row>
    <row r="352" spans="5:5" x14ac:dyDescent="0.25">
      <c r="E352"/>
    </row>
    <row r="353" spans="5:5" x14ac:dyDescent="0.25">
      <c r="E353"/>
    </row>
    <row r="354" spans="5:5" x14ac:dyDescent="0.25">
      <c r="E354"/>
    </row>
    <row r="355" spans="5:5" x14ac:dyDescent="0.25">
      <c r="E355"/>
    </row>
    <row r="356" spans="5:5" x14ac:dyDescent="0.25">
      <c r="E356"/>
    </row>
    <row r="357" spans="5:5" x14ac:dyDescent="0.25">
      <c r="E357"/>
    </row>
    <row r="358" spans="5:5" x14ac:dyDescent="0.25">
      <c r="E358"/>
    </row>
    <row r="359" spans="5:5" x14ac:dyDescent="0.25">
      <c r="E359"/>
    </row>
    <row r="360" spans="5:5" x14ac:dyDescent="0.25">
      <c r="E360"/>
    </row>
    <row r="361" spans="5:5" x14ac:dyDescent="0.25">
      <c r="E361"/>
    </row>
    <row r="362" spans="5:5" x14ac:dyDescent="0.25">
      <c r="E362"/>
    </row>
    <row r="363" spans="5:5" x14ac:dyDescent="0.25">
      <c r="E363"/>
    </row>
    <row r="364" spans="5:5" x14ac:dyDescent="0.25">
      <c r="E364"/>
    </row>
    <row r="365" spans="5:5" x14ac:dyDescent="0.25">
      <c r="E365"/>
    </row>
    <row r="366" spans="5:5" x14ac:dyDescent="0.25">
      <c r="E366"/>
    </row>
    <row r="367" spans="5:5" x14ac:dyDescent="0.25">
      <c r="E367"/>
    </row>
    <row r="368" spans="5:5" x14ac:dyDescent="0.25">
      <c r="E368"/>
    </row>
    <row r="369" spans="5:5" x14ac:dyDescent="0.25">
      <c r="E369"/>
    </row>
    <row r="370" spans="5:5" x14ac:dyDescent="0.25">
      <c r="E370"/>
    </row>
    <row r="371" spans="5:5" x14ac:dyDescent="0.25">
      <c r="E371"/>
    </row>
    <row r="372" spans="5:5" x14ac:dyDescent="0.25">
      <c r="E372"/>
    </row>
    <row r="373" spans="5:5" x14ac:dyDescent="0.25">
      <c r="E373"/>
    </row>
    <row r="374" spans="5:5" x14ac:dyDescent="0.25">
      <c r="E374"/>
    </row>
    <row r="375" spans="5:5" x14ac:dyDescent="0.25">
      <c r="E375"/>
    </row>
    <row r="376" spans="5:5" x14ac:dyDescent="0.25">
      <c r="E376"/>
    </row>
    <row r="377" spans="5:5" x14ac:dyDescent="0.25">
      <c r="E377"/>
    </row>
    <row r="378" spans="5:5" x14ac:dyDescent="0.25">
      <c r="E378"/>
    </row>
    <row r="379" spans="5:5" x14ac:dyDescent="0.25">
      <c r="E379"/>
    </row>
    <row r="380" spans="5:5" x14ac:dyDescent="0.25">
      <c r="E380"/>
    </row>
    <row r="381" spans="5:5" x14ac:dyDescent="0.25">
      <c r="E381"/>
    </row>
    <row r="382" spans="5:5" x14ac:dyDescent="0.25">
      <c r="E382"/>
    </row>
    <row r="383" spans="5:5" x14ac:dyDescent="0.25">
      <c r="E383"/>
    </row>
    <row r="384" spans="5:5" x14ac:dyDescent="0.25">
      <c r="E384"/>
    </row>
    <row r="385" spans="5:5" x14ac:dyDescent="0.25">
      <c r="E385"/>
    </row>
    <row r="386" spans="5:5" x14ac:dyDescent="0.25">
      <c r="E386"/>
    </row>
    <row r="387" spans="5:5" x14ac:dyDescent="0.25">
      <c r="E387"/>
    </row>
    <row r="388" spans="5:5" x14ac:dyDescent="0.25">
      <c r="E388"/>
    </row>
    <row r="389" spans="5:5" x14ac:dyDescent="0.25">
      <c r="E389"/>
    </row>
    <row r="390" spans="5:5" x14ac:dyDescent="0.25">
      <c r="E390"/>
    </row>
    <row r="391" spans="5:5" x14ac:dyDescent="0.25">
      <c r="E391"/>
    </row>
    <row r="392" spans="5:5" x14ac:dyDescent="0.25">
      <c r="E392"/>
    </row>
    <row r="393" spans="5:5" x14ac:dyDescent="0.25">
      <c r="E393"/>
    </row>
    <row r="394" spans="5:5" x14ac:dyDescent="0.25">
      <c r="E394"/>
    </row>
    <row r="395" spans="5:5" x14ac:dyDescent="0.25">
      <c r="E395"/>
    </row>
    <row r="396" spans="5:5" x14ac:dyDescent="0.25">
      <c r="E396"/>
    </row>
    <row r="397" spans="5:5" x14ac:dyDescent="0.25">
      <c r="E397"/>
    </row>
    <row r="398" spans="5:5" x14ac:dyDescent="0.25">
      <c r="E398"/>
    </row>
    <row r="399" spans="5:5" x14ac:dyDescent="0.25">
      <c r="E399"/>
    </row>
    <row r="400" spans="5:5" x14ac:dyDescent="0.25">
      <c r="E400"/>
    </row>
    <row r="401" spans="5:5" x14ac:dyDescent="0.25">
      <c r="E401"/>
    </row>
    <row r="402" spans="5:5" x14ac:dyDescent="0.25">
      <c r="E402"/>
    </row>
    <row r="403" spans="5:5" x14ac:dyDescent="0.25">
      <c r="E403"/>
    </row>
    <row r="404" spans="5:5" x14ac:dyDescent="0.25">
      <c r="E404"/>
    </row>
    <row r="405" spans="5:5" x14ac:dyDescent="0.25">
      <c r="E405"/>
    </row>
    <row r="406" spans="5:5" x14ac:dyDescent="0.25">
      <c r="E406"/>
    </row>
    <row r="407" spans="5:5" x14ac:dyDescent="0.25">
      <c r="E407"/>
    </row>
    <row r="408" spans="5:5" x14ac:dyDescent="0.25">
      <c r="E408"/>
    </row>
    <row r="409" spans="5:5" x14ac:dyDescent="0.25">
      <c r="E409"/>
    </row>
    <row r="410" spans="5:5" x14ac:dyDescent="0.25">
      <c r="E410"/>
    </row>
    <row r="411" spans="5:5" x14ac:dyDescent="0.25">
      <c r="E411"/>
    </row>
    <row r="412" spans="5:5" x14ac:dyDescent="0.25">
      <c r="E412"/>
    </row>
    <row r="413" spans="5:5" x14ac:dyDescent="0.25">
      <c r="E413"/>
    </row>
    <row r="414" spans="5:5" x14ac:dyDescent="0.25">
      <c r="E414"/>
    </row>
    <row r="415" spans="5:5" x14ac:dyDescent="0.25">
      <c r="E415"/>
    </row>
    <row r="416" spans="5:5" x14ac:dyDescent="0.25">
      <c r="E416"/>
    </row>
    <row r="417" spans="5:5" x14ac:dyDescent="0.25">
      <c r="E417"/>
    </row>
    <row r="418" spans="5:5" x14ac:dyDescent="0.25">
      <c r="E418"/>
    </row>
    <row r="419" spans="5:5" x14ac:dyDescent="0.25">
      <c r="E419"/>
    </row>
    <row r="420" spans="5:5" x14ac:dyDescent="0.25">
      <c r="E420"/>
    </row>
    <row r="421" spans="5:5" x14ac:dyDescent="0.25">
      <c r="E421"/>
    </row>
    <row r="422" spans="5:5" x14ac:dyDescent="0.25">
      <c r="E422"/>
    </row>
    <row r="423" spans="5:5" x14ac:dyDescent="0.25">
      <c r="E423"/>
    </row>
    <row r="424" spans="5:5" x14ac:dyDescent="0.25">
      <c r="E424"/>
    </row>
    <row r="425" spans="5:5" x14ac:dyDescent="0.25">
      <c r="E425"/>
    </row>
    <row r="426" spans="5:5" x14ac:dyDescent="0.25">
      <c r="E426"/>
    </row>
    <row r="427" spans="5:5" x14ac:dyDescent="0.25">
      <c r="E427"/>
    </row>
    <row r="428" spans="5:5" x14ac:dyDescent="0.25">
      <c r="E428"/>
    </row>
    <row r="429" spans="5:5" x14ac:dyDescent="0.25">
      <c r="E429"/>
    </row>
    <row r="430" spans="5:5" x14ac:dyDescent="0.25">
      <c r="E430"/>
    </row>
    <row r="431" spans="5:5" x14ac:dyDescent="0.25">
      <c r="E431"/>
    </row>
    <row r="432" spans="5:5" x14ac:dyDescent="0.25">
      <c r="E432"/>
    </row>
    <row r="433" spans="5:5" x14ac:dyDescent="0.25">
      <c r="E433"/>
    </row>
    <row r="434" spans="5:5" x14ac:dyDescent="0.25">
      <c r="E434"/>
    </row>
    <row r="435" spans="5:5" x14ac:dyDescent="0.25">
      <c r="E435"/>
    </row>
    <row r="436" spans="5:5" x14ac:dyDescent="0.25">
      <c r="E436"/>
    </row>
    <row r="437" spans="5:5" x14ac:dyDescent="0.25">
      <c r="E437"/>
    </row>
    <row r="438" spans="5:5" x14ac:dyDescent="0.25">
      <c r="E438"/>
    </row>
    <row r="439" spans="5:5" x14ac:dyDescent="0.25">
      <c r="E439"/>
    </row>
    <row r="440" spans="5:5" x14ac:dyDescent="0.25">
      <c r="E440"/>
    </row>
    <row r="441" spans="5:5" x14ac:dyDescent="0.25">
      <c r="E441"/>
    </row>
    <row r="442" spans="5:5" x14ac:dyDescent="0.25">
      <c r="E442"/>
    </row>
    <row r="443" spans="5:5" x14ac:dyDescent="0.25">
      <c r="E443"/>
    </row>
    <row r="444" spans="5:5" x14ac:dyDescent="0.25">
      <c r="E444"/>
    </row>
    <row r="445" spans="5:5" x14ac:dyDescent="0.25">
      <c r="E445"/>
    </row>
    <row r="446" spans="5:5" x14ac:dyDescent="0.25">
      <c r="E446"/>
    </row>
    <row r="447" spans="5:5" x14ac:dyDescent="0.25">
      <c r="E447"/>
    </row>
    <row r="448" spans="5:5" x14ac:dyDescent="0.25">
      <c r="E448"/>
    </row>
    <row r="449" spans="5:5" x14ac:dyDescent="0.25">
      <c r="E449"/>
    </row>
    <row r="450" spans="5:5" x14ac:dyDescent="0.25">
      <c r="E450"/>
    </row>
    <row r="451" spans="5:5" x14ac:dyDescent="0.25">
      <c r="E451"/>
    </row>
    <row r="452" spans="5:5" x14ac:dyDescent="0.25">
      <c r="E452"/>
    </row>
    <row r="453" spans="5:5" x14ac:dyDescent="0.25">
      <c r="E453"/>
    </row>
    <row r="454" spans="5:5" x14ac:dyDescent="0.25">
      <c r="E454"/>
    </row>
    <row r="455" spans="5:5" x14ac:dyDescent="0.25">
      <c r="E455"/>
    </row>
    <row r="456" spans="5:5" x14ac:dyDescent="0.25">
      <c r="E456"/>
    </row>
    <row r="457" spans="5:5" x14ac:dyDescent="0.25">
      <c r="E457"/>
    </row>
    <row r="458" spans="5:5" x14ac:dyDescent="0.25">
      <c r="E458"/>
    </row>
    <row r="459" spans="5:5" x14ac:dyDescent="0.25">
      <c r="E459"/>
    </row>
    <row r="460" spans="5:5" x14ac:dyDescent="0.25">
      <c r="E460"/>
    </row>
    <row r="461" spans="5:5" x14ac:dyDescent="0.25">
      <c r="E461"/>
    </row>
    <row r="462" spans="5:5" x14ac:dyDescent="0.25">
      <c r="E462"/>
    </row>
    <row r="463" spans="5:5" x14ac:dyDescent="0.25">
      <c r="E463"/>
    </row>
    <row r="464" spans="5:5" x14ac:dyDescent="0.25">
      <c r="E464"/>
    </row>
    <row r="465" spans="5:5" x14ac:dyDescent="0.25">
      <c r="E465"/>
    </row>
    <row r="466" spans="5:5" x14ac:dyDescent="0.25">
      <c r="E466"/>
    </row>
    <row r="467" spans="5:5" x14ac:dyDescent="0.25">
      <c r="E467"/>
    </row>
    <row r="468" spans="5:5" x14ac:dyDescent="0.25">
      <c r="E468"/>
    </row>
    <row r="469" spans="5:5" x14ac:dyDescent="0.25">
      <c r="E469"/>
    </row>
    <row r="470" spans="5:5" x14ac:dyDescent="0.25">
      <c r="E470"/>
    </row>
    <row r="471" spans="5:5" x14ac:dyDescent="0.25">
      <c r="E471"/>
    </row>
    <row r="472" spans="5:5" x14ac:dyDescent="0.25">
      <c r="E472"/>
    </row>
    <row r="473" spans="5:5" x14ac:dyDescent="0.25">
      <c r="E473"/>
    </row>
    <row r="474" spans="5:5" x14ac:dyDescent="0.25">
      <c r="E474"/>
    </row>
    <row r="475" spans="5:5" x14ac:dyDescent="0.25">
      <c r="E475"/>
    </row>
    <row r="476" spans="5:5" x14ac:dyDescent="0.25">
      <c r="E476"/>
    </row>
    <row r="477" spans="5:5" x14ac:dyDescent="0.25">
      <c r="E477"/>
    </row>
    <row r="478" spans="5:5" x14ac:dyDescent="0.25">
      <c r="E478"/>
    </row>
    <row r="479" spans="5:5" x14ac:dyDescent="0.25">
      <c r="E479"/>
    </row>
    <row r="480" spans="5:5" x14ac:dyDescent="0.25">
      <c r="E480"/>
    </row>
    <row r="481" spans="5:5" x14ac:dyDescent="0.25">
      <c r="E481"/>
    </row>
    <row r="482" spans="5:5" x14ac:dyDescent="0.25">
      <c r="E482"/>
    </row>
    <row r="483" spans="5:5" x14ac:dyDescent="0.25">
      <c r="E483"/>
    </row>
    <row r="484" spans="5:5" x14ac:dyDescent="0.25">
      <c r="E484"/>
    </row>
    <row r="485" spans="5:5" x14ac:dyDescent="0.25">
      <c r="E485"/>
    </row>
    <row r="486" spans="5:5" x14ac:dyDescent="0.25">
      <c r="E486"/>
    </row>
    <row r="487" spans="5:5" x14ac:dyDescent="0.25">
      <c r="E487"/>
    </row>
    <row r="488" spans="5:5" x14ac:dyDescent="0.25">
      <c r="E488"/>
    </row>
    <row r="489" spans="5:5" x14ac:dyDescent="0.25">
      <c r="E489"/>
    </row>
    <row r="490" spans="5:5" x14ac:dyDescent="0.25">
      <c r="E490"/>
    </row>
    <row r="491" spans="5:5" x14ac:dyDescent="0.25">
      <c r="E491"/>
    </row>
    <row r="492" spans="5:5" x14ac:dyDescent="0.25">
      <c r="E492"/>
    </row>
    <row r="493" spans="5:5" x14ac:dyDescent="0.25">
      <c r="E493"/>
    </row>
    <row r="494" spans="5:5" x14ac:dyDescent="0.25">
      <c r="E494"/>
    </row>
    <row r="495" spans="5:5" x14ac:dyDescent="0.25">
      <c r="E495"/>
    </row>
    <row r="496" spans="5:5" x14ac:dyDescent="0.25">
      <c r="E496"/>
    </row>
    <row r="497" spans="5:5" x14ac:dyDescent="0.25">
      <c r="E497"/>
    </row>
    <row r="498" spans="5:5" x14ac:dyDescent="0.25">
      <c r="E498"/>
    </row>
    <row r="499" spans="5:5" x14ac:dyDescent="0.25">
      <c r="E499"/>
    </row>
    <row r="500" spans="5:5" x14ac:dyDescent="0.25">
      <c r="E500"/>
    </row>
    <row r="501" spans="5:5" x14ac:dyDescent="0.25">
      <c r="E501"/>
    </row>
    <row r="502" spans="5:5" x14ac:dyDescent="0.25">
      <c r="E502"/>
    </row>
    <row r="503" spans="5:5" x14ac:dyDescent="0.25">
      <c r="E503"/>
    </row>
    <row r="504" spans="5:5" x14ac:dyDescent="0.25">
      <c r="E504"/>
    </row>
    <row r="505" spans="5:5" x14ac:dyDescent="0.25">
      <c r="E505"/>
    </row>
    <row r="506" spans="5:5" x14ac:dyDescent="0.25">
      <c r="E506"/>
    </row>
    <row r="507" spans="5:5" x14ac:dyDescent="0.25">
      <c r="E507"/>
    </row>
    <row r="508" spans="5:5" x14ac:dyDescent="0.25">
      <c r="E508"/>
    </row>
    <row r="509" spans="5:5" x14ac:dyDescent="0.25">
      <c r="E509"/>
    </row>
    <row r="510" spans="5:5" x14ac:dyDescent="0.25">
      <c r="E510"/>
    </row>
    <row r="511" spans="5:5" x14ac:dyDescent="0.25">
      <c r="E511"/>
    </row>
    <row r="512" spans="5:5" x14ac:dyDescent="0.25">
      <c r="E512"/>
    </row>
    <row r="513" spans="5:5" x14ac:dyDescent="0.25">
      <c r="E513"/>
    </row>
    <row r="514" spans="5:5" x14ac:dyDescent="0.25">
      <c r="E514"/>
    </row>
    <row r="515" spans="5:5" x14ac:dyDescent="0.25">
      <c r="E515"/>
    </row>
    <row r="516" spans="5:5" x14ac:dyDescent="0.25">
      <c r="E516"/>
    </row>
    <row r="517" spans="5:5" x14ac:dyDescent="0.25">
      <c r="E517"/>
    </row>
    <row r="518" spans="5:5" x14ac:dyDescent="0.25">
      <c r="E518"/>
    </row>
    <row r="519" spans="5:5" x14ac:dyDescent="0.25">
      <c r="E519"/>
    </row>
    <row r="520" spans="5:5" x14ac:dyDescent="0.25">
      <c r="E520"/>
    </row>
    <row r="521" spans="5:5" x14ac:dyDescent="0.25">
      <c r="E521"/>
    </row>
    <row r="522" spans="5:5" x14ac:dyDescent="0.25">
      <c r="E522"/>
    </row>
    <row r="523" spans="5:5" x14ac:dyDescent="0.25">
      <c r="E523"/>
    </row>
    <row r="524" spans="5:5" x14ac:dyDescent="0.25">
      <c r="E524"/>
    </row>
    <row r="525" spans="5:5" x14ac:dyDescent="0.25">
      <c r="E525"/>
    </row>
    <row r="526" spans="5:5" x14ac:dyDescent="0.25">
      <c r="E526"/>
    </row>
    <row r="527" spans="5:5" x14ac:dyDescent="0.25">
      <c r="E527"/>
    </row>
    <row r="528" spans="5:5" x14ac:dyDescent="0.25">
      <c r="E528"/>
    </row>
    <row r="529" spans="5:5" x14ac:dyDescent="0.25">
      <c r="E529"/>
    </row>
    <row r="530" spans="5:5" x14ac:dyDescent="0.25">
      <c r="E530"/>
    </row>
    <row r="531" spans="5:5" x14ac:dyDescent="0.25">
      <c r="E531"/>
    </row>
    <row r="532" spans="5:5" x14ac:dyDescent="0.25">
      <c r="E532"/>
    </row>
    <row r="533" spans="5:5" x14ac:dyDescent="0.25">
      <c r="E533"/>
    </row>
    <row r="534" spans="5:5" x14ac:dyDescent="0.25">
      <c r="E534"/>
    </row>
    <row r="535" spans="5:5" x14ac:dyDescent="0.25">
      <c r="E535"/>
    </row>
    <row r="536" spans="5:5" x14ac:dyDescent="0.25">
      <c r="E536"/>
    </row>
    <row r="537" spans="5:5" x14ac:dyDescent="0.25">
      <c r="E537"/>
    </row>
    <row r="538" spans="5:5" x14ac:dyDescent="0.25">
      <c r="E538"/>
    </row>
    <row r="539" spans="5:5" x14ac:dyDescent="0.25">
      <c r="E539"/>
    </row>
    <row r="540" spans="5:5" x14ac:dyDescent="0.25">
      <c r="E540"/>
    </row>
    <row r="541" spans="5:5" x14ac:dyDescent="0.25">
      <c r="E541"/>
    </row>
    <row r="542" spans="5:5" x14ac:dyDescent="0.25">
      <c r="E542"/>
    </row>
    <row r="543" spans="5:5" x14ac:dyDescent="0.25">
      <c r="E543"/>
    </row>
    <row r="544" spans="5:5" x14ac:dyDescent="0.25">
      <c r="E544"/>
    </row>
    <row r="545" spans="5:5" x14ac:dyDescent="0.25">
      <c r="E545"/>
    </row>
    <row r="546" spans="5:5" x14ac:dyDescent="0.25">
      <c r="E546"/>
    </row>
    <row r="547" spans="5:5" x14ac:dyDescent="0.25">
      <c r="E547"/>
    </row>
    <row r="548" spans="5:5" x14ac:dyDescent="0.25">
      <c r="E548"/>
    </row>
    <row r="549" spans="5:5" x14ac:dyDescent="0.25">
      <c r="E549"/>
    </row>
    <row r="550" spans="5:5" x14ac:dyDescent="0.25">
      <c r="E550"/>
    </row>
    <row r="551" spans="5:5" x14ac:dyDescent="0.25">
      <c r="E551"/>
    </row>
    <row r="552" spans="5:5" x14ac:dyDescent="0.25">
      <c r="E552"/>
    </row>
    <row r="553" spans="5:5" x14ac:dyDescent="0.25">
      <c r="E553"/>
    </row>
    <row r="554" spans="5:5" x14ac:dyDescent="0.25">
      <c r="E554"/>
    </row>
    <row r="555" spans="5:5" x14ac:dyDescent="0.25">
      <c r="E555"/>
    </row>
    <row r="556" spans="5:5" x14ac:dyDescent="0.25">
      <c r="E556"/>
    </row>
    <row r="557" spans="5:5" x14ac:dyDescent="0.25">
      <c r="E557"/>
    </row>
    <row r="558" spans="5:5" x14ac:dyDescent="0.25">
      <c r="E558"/>
    </row>
    <row r="559" spans="5:5" x14ac:dyDescent="0.25">
      <c r="E559"/>
    </row>
    <row r="560" spans="5:5" x14ac:dyDescent="0.25">
      <c r="E560"/>
    </row>
    <row r="561" spans="5:5" x14ac:dyDescent="0.25">
      <c r="E561"/>
    </row>
    <row r="562" spans="5:5" x14ac:dyDescent="0.25">
      <c r="E562"/>
    </row>
    <row r="563" spans="5:5" x14ac:dyDescent="0.25">
      <c r="E563"/>
    </row>
    <row r="564" spans="5:5" x14ac:dyDescent="0.25">
      <c r="E564"/>
    </row>
    <row r="565" spans="5:5" x14ac:dyDescent="0.25">
      <c r="E565"/>
    </row>
    <row r="566" spans="5:5" x14ac:dyDescent="0.25">
      <c r="E566"/>
    </row>
    <row r="567" spans="5:5" x14ac:dyDescent="0.25">
      <c r="E567"/>
    </row>
    <row r="568" spans="5:5" x14ac:dyDescent="0.25">
      <c r="E568"/>
    </row>
    <row r="569" spans="5:5" x14ac:dyDescent="0.25">
      <c r="E569"/>
    </row>
    <row r="570" spans="5:5" x14ac:dyDescent="0.25">
      <c r="E570"/>
    </row>
    <row r="571" spans="5:5" x14ac:dyDescent="0.25">
      <c r="E571"/>
    </row>
    <row r="572" spans="5:5" x14ac:dyDescent="0.25">
      <c r="E572"/>
    </row>
    <row r="573" spans="5:5" x14ac:dyDescent="0.25">
      <c r="E573"/>
    </row>
    <row r="574" spans="5:5" x14ac:dyDescent="0.25">
      <c r="E574"/>
    </row>
    <row r="575" spans="5:5" x14ac:dyDescent="0.25">
      <c r="E575"/>
    </row>
    <row r="576" spans="5:5" x14ac:dyDescent="0.25">
      <c r="E576"/>
    </row>
    <row r="577" spans="5:5" x14ac:dyDescent="0.25">
      <c r="E577"/>
    </row>
    <row r="578" spans="5:5" x14ac:dyDescent="0.25">
      <c r="E578"/>
    </row>
    <row r="579" spans="5:5" x14ac:dyDescent="0.25">
      <c r="E579"/>
    </row>
    <row r="580" spans="5:5" x14ac:dyDescent="0.25">
      <c r="E580"/>
    </row>
    <row r="581" spans="5:5" x14ac:dyDescent="0.25">
      <c r="E581"/>
    </row>
    <row r="582" spans="5:5" x14ac:dyDescent="0.25">
      <c r="E582"/>
    </row>
    <row r="583" spans="5:5" x14ac:dyDescent="0.25">
      <c r="E583"/>
    </row>
    <row r="584" spans="5:5" x14ac:dyDescent="0.25">
      <c r="E584"/>
    </row>
    <row r="585" spans="5:5" x14ac:dyDescent="0.25">
      <c r="E585"/>
    </row>
    <row r="586" spans="5:5" x14ac:dyDescent="0.25">
      <c r="E586"/>
    </row>
    <row r="587" spans="5:5" x14ac:dyDescent="0.25">
      <c r="E587"/>
    </row>
    <row r="588" spans="5:5" x14ac:dyDescent="0.25">
      <c r="E588"/>
    </row>
    <row r="589" spans="5:5" x14ac:dyDescent="0.25">
      <c r="E589"/>
    </row>
    <row r="590" spans="5:5" x14ac:dyDescent="0.25">
      <c r="E590"/>
    </row>
    <row r="591" spans="5:5" x14ac:dyDescent="0.25">
      <c r="E591"/>
    </row>
    <row r="592" spans="5:5" x14ac:dyDescent="0.25">
      <c r="E592"/>
    </row>
    <row r="593" spans="5:5" x14ac:dyDescent="0.25">
      <c r="E593"/>
    </row>
    <row r="594" spans="5:5" x14ac:dyDescent="0.25">
      <c r="E594"/>
    </row>
    <row r="595" spans="5:5" x14ac:dyDescent="0.25">
      <c r="E595"/>
    </row>
    <row r="596" spans="5:5" x14ac:dyDescent="0.25">
      <c r="E596"/>
    </row>
    <row r="597" spans="5:5" x14ac:dyDescent="0.25">
      <c r="E597"/>
    </row>
    <row r="598" spans="5:5" x14ac:dyDescent="0.25">
      <c r="E598"/>
    </row>
    <row r="599" spans="5:5" x14ac:dyDescent="0.25">
      <c r="E599"/>
    </row>
    <row r="600" spans="5:5" x14ac:dyDescent="0.25">
      <c r="E600"/>
    </row>
    <row r="601" spans="5:5" x14ac:dyDescent="0.25">
      <c r="E601"/>
    </row>
    <row r="602" spans="5:5" x14ac:dyDescent="0.25">
      <c r="E602"/>
    </row>
    <row r="603" spans="5:5" x14ac:dyDescent="0.25">
      <c r="E603"/>
    </row>
    <row r="604" spans="5:5" x14ac:dyDescent="0.25">
      <c r="E604"/>
    </row>
    <row r="605" spans="5:5" x14ac:dyDescent="0.25">
      <c r="E605"/>
    </row>
    <row r="606" spans="5:5" x14ac:dyDescent="0.25">
      <c r="E606"/>
    </row>
    <row r="607" spans="5:5" x14ac:dyDescent="0.25">
      <c r="E607"/>
    </row>
    <row r="608" spans="5:5" x14ac:dyDescent="0.25">
      <c r="E608"/>
    </row>
    <row r="609" spans="5:5" x14ac:dyDescent="0.25">
      <c r="E609"/>
    </row>
    <row r="610" spans="5:5" x14ac:dyDescent="0.25">
      <c r="E610"/>
    </row>
    <row r="611" spans="5:5" x14ac:dyDescent="0.25">
      <c r="E611"/>
    </row>
    <row r="612" spans="5:5" x14ac:dyDescent="0.25">
      <c r="E612"/>
    </row>
    <row r="613" spans="5:5" x14ac:dyDescent="0.25">
      <c r="E613"/>
    </row>
    <row r="614" spans="5:5" x14ac:dyDescent="0.25">
      <c r="E614"/>
    </row>
    <row r="615" spans="5:5" x14ac:dyDescent="0.25">
      <c r="E615"/>
    </row>
    <row r="616" spans="5:5" x14ac:dyDescent="0.25">
      <c r="E616"/>
    </row>
    <row r="617" spans="5:5" x14ac:dyDescent="0.25">
      <c r="E617"/>
    </row>
    <row r="618" spans="5:5" x14ac:dyDescent="0.25">
      <c r="E618"/>
    </row>
    <row r="619" spans="5:5" x14ac:dyDescent="0.25">
      <c r="E619"/>
    </row>
    <row r="620" spans="5:5" x14ac:dyDescent="0.25">
      <c r="E620"/>
    </row>
    <row r="621" spans="5:5" x14ac:dyDescent="0.25">
      <c r="E621"/>
    </row>
    <row r="622" spans="5:5" x14ac:dyDescent="0.25">
      <c r="E622"/>
    </row>
    <row r="623" spans="5:5" x14ac:dyDescent="0.25">
      <c r="E623"/>
    </row>
    <row r="624" spans="5:5" x14ac:dyDescent="0.25">
      <c r="E624"/>
    </row>
    <row r="625" spans="5:5" x14ac:dyDescent="0.25">
      <c r="E625"/>
    </row>
    <row r="626" spans="5:5" x14ac:dyDescent="0.25">
      <c r="E626"/>
    </row>
    <row r="627" spans="5:5" x14ac:dyDescent="0.25">
      <c r="E627"/>
    </row>
    <row r="628" spans="5:5" x14ac:dyDescent="0.25">
      <c r="E628"/>
    </row>
    <row r="629" spans="5:5" x14ac:dyDescent="0.25">
      <c r="E629"/>
    </row>
    <row r="630" spans="5:5" x14ac:dyDescent="0.25">
      <c r="E630"/>
    </row>
    <row r="631" spans="5:5" x14ac:dyDescent="0.25">
      <c r="E631"/>
    </row>
    <row r="632" spans="5:5" x14ac:dyDescent="0.25">
      <c r="E632"/>
    </row>
    <row r="633" spans="5:5" x14ac:dyDescent="0.25">
      <c r="E633"/>
    </row>
    <row r="634" spans="5:5" x14ac:dyDescent="0.25">
      <c r="E634"/>
    </row>
    <row r="635" spans="5:5" x14ac:dyDescent="0.25">
      <c r="E635"/>
    </row>
    <row r="636" spans="5:5" x14ac:dyDescent="0.25">
      <c r="E636"/>
    </row>
    <row r="637" spans="5:5" x14ac:dyDescent="0.25">
      <c r="E637"/>
    </row>
    <row r="638" spans="5:5" x14ac:dyDescent="0.25">
      <c r="E638"/>
    </row>
    <row r="639" spans="5:5" x14ac:dyDescent="0.25">
      <c r="E639"/>
    </row>
    <row r="640" spans="5:5" x14ac:dyDescent="0.25">
      <c r="E640"/>
    </row>
    <row r="641" spans="5:5" x14ac:dyDescent="0.25">
      <c r="E641"/>
    </row>
    <row r="642" spans="5:5" x14ac:dyDescent="0.25">
      <c r="E642"/>
    </row>
    <row r="643" spans="5:5" x14ac:dyDescent="0.25">
      <c r="E643"/>
    </row>
    <row r="644" spans="5:5" x14ac:dyDescent="0.25">
      <c r="E644"/>
    </row>
    <row r="645" spans="5:5" x14ac:dyDescent="0.25">
      <c r="E645"/>
    </row>
    <row r="646" spans="5:5" x14ac:dyDescent="0.25">
      <c r="E646"/>
    </row>
    <row r="647" spans="5:5" x14ac:dyDescent="0.25">
      <c r="E647"/>
    </row>
    <row r="648" spans="5:5" x14ac:dyDescent="0.25">
      <c r="E648"/>
    </row>
    <row r="649" spans="5:5" x14ac:dyDescent="0.25">
      <c r="E649"/>
    </row>
    <row r="650" spans="5:5" x14ac:dyDescent="0.25">
      <c r="E650"/>
    </row>
    <row r="651" spans="5:5" x14ac:dyDescent="0.25">
      <c r="E651"/>
    </row>
    <row r="652" spans="5:5" x14ac:dyDescent="0.25">
      <c r="E652"/>
    </row>
    <row r="653" spans="5:5" x14ac:dyDescent="0.25">
      <c r="E653"/>
    </row>
    <row r="654" spans="5:5" x14ac:dyDescent="0.25">
      <c r="E654"/>
    </row>
    <row r="655" spans="5:5" x14ac:dyDescent="0.25">
      <c r="E655"/>
    </row>
    <row r="656" spans="5:5" x14ac:dyDescent="0.25">
      <c r="E656"/>
    </row>
    <row r="657" spans="5:5" x14ac:dyDescent="0.25">
      <c r="E657"/>
    </row>
    <row r="658" spans="5:5" x14ac:dyDescent="0.25">
      <c r="E658"/>
    </row>
    <row r="659" spans="5:5" x14ac:dyDescent="0.25">
      <c r="E659"/>
    </row>
    <row r="660" spans="5:5" x14ac:dyDescent="0.25">
      <c r="E660"/>
    </row>
    <row r="661" spans="5:5" x14ac:dyDescent="0.25">
      <c r="E661"/>
    </row>
    <row r="662" spans="5:5" x14ac:dyDescent="0.25">
      <c r="E662"/>
    </row>
    <row r="663" spans="5:5" x14ac:dyDescent="0.25">
      <c r="E663"/>
    </row>
    <row r="664" spans="5:5" x14ac:dyDescent="0.25">
      <c r="E664"/>
    </row>
    <row r="665" spans="5:5" x14ac:dyDescent="0.25">
      <c r="E665"/>
    </row>
    <row r="666" spans="5:5" x14ac:dyDescent="0.25">
      <c r="E666"/>
    </row>
    <row r="667" spans="5:5" x14ac:dyDescent="0.25">
      <c r="E667"/>
    </row>
    <row r="668" spans="5:5" x14ac:dyDescent="0.25">
      <c r="E668"/>
    </row>
    <row r="669" spans="5:5" x14ac:dyDescent="0.25">
      <c r="E669"/>
    </row>
    <row r="670" spans="5:5" x14ac:dyDescent="0.25">
      <c r="E670"/>
    </row>
    <row r="671" spans="5:5" x14ac:dyDescent="0.25">
      <c r="E671"/>
    </row>
    <row r="672" spans="5:5" x14ac:dyDescent="0.25">
      <c r="E672"/>
    </row>
    <row r="673" spans="5:5" x14ac:dyDescent="0.25">
      <c r="E673"/>
    </row>
    <row r="674" spans="5:5" x14ac:dyDescent="0.25">
      <c r="E674"/>
    </row>
    <row r="675" spans="5:5" x14ac:dyDescent="0.25">
      <c r="E675"/>
    </row>
    <row r="676" spans="5:5" x14ac:dyDescent="0.25">
      <c r="E676"/>
    </row>
    <row r="677" spans="5:5" x14ac:dyDescent="0.25">
      <c r="E677"/>
    </row>
    <row r="678" spans="5:5" x14ac:dyDescent="0.25">
      <c r="E678"/>
    </row>
    <row r="679" spans="5:5" x14ac:dyDescent="0.25">
      <c r="E679"/>
    </row>
    <row r="680" spans="5:5" x14ac:dyDescent="0.25">
      <c r="E680"/>
    </row>
    <row r="681" spans="5:5" x14ac:dyDescent="0.25">
      <c r="E681"/>
    </row>
    <row r="682" spans="5:5" x14ac:dyDescent="0.25">
      <c r="E682"/>
    </row>
    <row r="683" spans="5:5" x14ac:dyDescent="0.25">
      <c r="E683"/>
    </row>
    <row r="684" spans="5:5" x14ac:dyDescent="0.25">
      <c r="E684"/>
    </row>
    <row r="685" spans="5:5" x14ac:dyDescent="0.25">
      <c r="E685"/>
    </row>
    <row r="686" spans="5:5" x14ac:dyDescent="0.25">
      <c r="E686"/>
    </row>
    <row r="687" spans="5:5" x14ac:dyDescent="0.25">
      <c r="E687"/>
    </row>
    <row r="688" spans="5:5" x14ac:dyDescent="0.25">
      <c r="E688"/>
    </row>
    <row r="689" spans="5:5" x14ac:dyDescent="0.25">
      <c r="E689"/>
    </row>
    <row r="690" spans="5:5" x14ac:dyDescent="0.25">
      <c r="E690"/>
    </row>
    <row r="691" spans="5:5" x14ac:dyDescent="0.25">
      <c r="E691"/>
    </row>
    <row r="692" spans="5:5" x14ac:dyDescent="0.25">
      <c r="E692"/>
    </row>
    <row r="693" spans="5:5" x14ac:dyDescent="0.25">
      <c r="E693"/>
    </row>
    <row r="694" spans="5:5" x14ac:dyDescent="0.25">
      <c r="E694"/>
    </row>
    <row r="695" spans="5:5" x14ac:dyDescent="0.25">
      <c r="E695"/>
    </row>
    <row r="696" spans="5:5" x14ac:dyDescent="0.25">
      <c r="E696"/>
    </row>
    <row r="697" spans="5:5" x14ac:dyDescent="0.25">
      <c r="E697"/>
    </row>
    <row r="698" spans="5:5" x14ac:dyDescent="0.25">
      <c r="E698"/>
    </row>
    <row r="699" spans="5:5" x14ac:dyDescent="0.25">
      <c r="E699"/>
    </row>
    <row r="700" spans="5:5" x14ac:dyDescent="0.25">
      <c r="E700"/>
    </row>
    <row r="701" spans="5:5" x14ac:dyDescent="0.25">
      <c r="E701"/>
    </row>
    <row r="702" spans="5:5" x14ac:dyDescent="0.25">
      <c r="E702"/>
    </row>
    <row r="703" spans="5:5" x14ac:dyDescent="0.25">
      <c r="E703"/>
    </row>
    <row r="704" spans="5:5" x14ac:dyDescent="0.25">
      <c r="E704"/>
    </row>
    <row r="705" spans="5:5" x14ac:dyDescent="0.25">
      <c r="E705"/>
    </row>
    <row r="706" spans="5:5" x14ac:dyDescent="0.25">
      <c r="E706"/>
    </row>
    <row r="707" spans="5:5" x14ac:dyDescent="0.25">
      <c r="E707"/>
    </row>
    <row r="708" spans="5:5" x14ac:dyDescent="0.25">
      <c r="E708"/>
    </row>
    <row r="709" spans="5:5" x14ac:dyDescent="0.25">
      <c r="E709"/>
    </row>
    <row r="710" spans="5:5" x14ac:dyDescent="0.25">
      <c r="E710"/>
    </row>
    <row r="711" spans="5:5" x14ac:dyDescent="0.25">
      <c r="E711"/>
    </row>
    <row r="712" spans="5:5" x14ac:dyDescent="0.25">
      <c r="E712"/>
    </row>
    <row r="713" spans="5:5" x14ac:dyDescent="0.25">
      <c r="E713"/>
    </row>
    <row r="714" spans="5:5" x14ac:dyDescent="0.25">
      <c r="E714"/>
    </row>
    <row r="715" spans="5:5" x14ac:dyDescent="0.25">
      <c r="E715"/>
    </row>
    <row r="716" spans="5:5" x14ac:dyDescent="0.25">
      <c r="E716"/>
    </row>
    <row r="717" spans="5:5" x14ac:dyDescent="0.25">
      <c r="E717"/>
    </row>
    <row r="718" spans="5:5" x14ac:dyDescent="0.25">
      <c r="E718"/>
    </row>
    <row r="719" spans="5:5" x14ac:dyDescent="0.25">
      <c r="E719"/>
    </row>
    <row r="720" spans="5:5" x14ac:dyDescent="0.25">
      <c r="E720"/>
    </row>
    <row r="721" spans="5:5" x14ac:dyDescent="0.25">
      <c r="E721"/>
    </row>
    <row r="722" spans="5:5" x14ac:dyDescent="0.25">
      <c r="E722"/>
    </row>
    <row r="723" spans="5:5" x14ac:dyDescent="0.25">
      <c r="E723"/>
    </row>
    <row r="724" spans="5:5" x14ac:dyDescent="0.25">
      <c r="E724"/>
    </row>
    <row r="725" spans="5:5" x14ac:dyDescent="0.25">
      <c r="E725"/>
    </row>
    <row r="726" spans="5:5" x14ac:dyDescent="0.25">
      <c r="E726"/>
    </row>
    <row r="727" spans="5:5" x14ac:dyDescent="0.25">
      <c r="E727"/>
    </row>
    <row r="728" spans="5:5" x14ac:dyDescent="0.25">
      <c r="E728"/>
    </row>
    <row r="729" spans="5:5" x14ac:dyDescent="0.25">
      <c r="E729"/>
    </row>
    <row r="730" spans="5:5" x14ac:dyDescent="0.25">
      <c r="E730"/>
    </row>
    <row r="731" spans="5:5" x14ac:dyDescent="0.25">
      <c r="E731"/>
    </row>
    <row r="732" spans="5:5" x14ac:dyDescent="0.25">
      <c r="E732"/>
    </row>
    <row r="733" spans="5:5" x14ac:dyDescent="0.25">
      <c r="E733"/>
    </row>
    <row r="734" spans="5:5" x14ac:dyDescent="0.25">
      <c r="E734"/>
    </row>
    <row r="735" spans="5:5" x14ac:dyDescent="0.25">
      <c r="E735"/>
    </row>
    <row r="736" spans="5:5" x14ac:dyDescent="0.25">
      <c r="E736"/>
    </row>
    <row r="737" spans="5:5" x14ac:dyDescent="0.25">
      <c r="E737"/>
    </row>
    <row r="738" spans="5:5" x14ac:dyDescent="0.25">
      <c r="E738"/>
    </row>
    <row r="739" spans="5:5" x14ac:dyDescent="0.25">
      <c r="E739"/>
    </row>
    <row r="740" spans="5:5" x14ac:dyDescent="0.25">
      <c r="E740"/>
    </row>
    <row r="741" spans="5:5" x14ac:dyDescent="0.25">
      <c r="E741"/>
    </row>
    <row r="742" spans="5:5" x14ac:dyDescent="0.25">
      <c r="E742"/>
    </row>
    <row r="743" spans="5:5" x14ac:dyDescent="0.25">
      <c r="E743"/>
    </row>
    <row r="744" spans="5:5" x14ac:dyDescent="0.25">
      <c r="E744"/>
    </row>
    <row r="745" spans="5:5" x14ac:dyDescent="0.25">
      <c r="E745"/>
    </row>
    <row r="746" spans="5:5" x14ac:dyDescent="0.25">
      <c r="E746"/>
    </row>
    <row r="747" spans="5:5" x14ac:dyDescent="0.25">
      <c r="E747"/>
    </row>
    <row r="748" spans="5:5" x14ac:dyDescent="0.25">
      <c r="E748"/>
    </row>
    <row r="749" spans="5:5" x14ac:dyDescent="0.25">
      <c r="E749"/>
    </row>
    <row r="750" spans="5:5" x14ac:dyDescent="0.25">
      <c r="E750"/>
    </row>
    <row r="751" spans="5:5" x14ac:dyDescent="0.25">
      <c r="E751"/>
    </row>
    <row r="752" spans="5:5" x14ac:dyDescent="0.25">
      <c r="E752"/>
    </row>
    <row r="753" spans="5:5" x14ac:dyDescent="0.25">
      <c r="E753"/>
    </row>
    <row r="754" spans="5:5" x14ac:dyDescent="0.25">
      <c r="E754"/>
    </row>
    <row r="755" spans="5:5" x14ac:dyDescent="0.25">
      <c r="E755"/>
    </row>
    <row r="756" spans="5:5" x14ac:dyDescent="0.25">
      <c r="E756"/>
    </row>
    <row r="757" spans="5:5" x14ac:dyDescent="0.25">
      <c r="E757"/>
    </row>
    <row r="758" spans="5:5" x14ac:dyDescent="0.25">
      <c r="E758"/>
    </row>
    <row r="759" spans="5:5" x14ac:dyDescent="0.25">
      <c r="E759"/>
    </row>
    <row r="760" spans="5:5" x14ac:dyDescent="0.25">
      <c r="E760"/>
    </row>
    <row r="761" spans="5:5" x14ac:dyDescent="0.25">
      <c r="E761"/>
    </row>
    <row r="762" spans="5:5" x14ac:dyDescent="0.25">
      <c r="E762"/>
    </row>
    <row r="763" spans="5:5" x14ac:dyDescent="0.25">
      <c r="E763"/>
    </row>
    <row r="764" spans="5:5" x14ac:dyDescent="0.25">
      <c r="E764"/>
    </row>
    <row r="765" spans="5:5" x14ac:dyDescent="0.25">
      <c r="E765"/>
    </row>
    <row r="766" spans="5:5" x14ac:dyDescent="0.25">
      <c r="E766"/>
    </row>
    <row r="767" spans="5:5" x14ac:dyDescent="0.25">
      <c r="E767"/>
    </row>
    <row r="768" spans="5:5" x14ac:dyDescent="0.25">
      <c r="E768"/>
    </row>
    <row r="769" spans="5:5" x14ac:dyDescent="0.25">
      <c r="E769"/>
    </row>
    <row r="770" spans="5:5" x14ac:dyDescent="0.25">
      <c r="E770"/>
    </row>
    <row r="771" spans="5:5" x14ac:dyDescent="0.25">
      <c r="E771"/>
    </row>
    <row r="772" spans="5:5" x14ac:dyDescent="0.25">
      <c r="E772"/>
    </row>
    <row r="773" spans="5:5" x14ac:dyDescent="0.25">
      <c r="E773"/>
    </row>
    <row r="774" spans="5:5" x14ac:dyDescent="0.25">
      <c r="E774"/>
    </row>
    <row r="775" spans="5:5" x14ac:dyDescent="0.25">
      <c r="E775"/>
    </row>
    <row r="776" spans="5:5" x14ac:dyDescent="0.25">
      <c r="E776"/>
    </row>
    <row r="777" spans="5:5" x14ac:dyDescent="0.25">
      <c r="E777"/>
    </row>
    <row r="778" spans="5:5" x14ac:dyDescent="0.25">
      <c r="E778"/>
    </row>
    <row r="779" spans="5:5" x14ac:dyDescent="0.25">
      <c r="E779"/>
    </row>
    <row r="780" spans="5:5" x14ac:dyDescent="0.25">
      <c r="E780"/>
    </row>
    <row r="781" spans="5:5" x14ac:dyDescent="0.25">
      <c r="E781"/>
    </row>
    <row r="782" spans="5:5" x14ac:dyDescent="0.25">
      <c r="E782"/>
    </row>
    <row r="783" spans="5:5" x14ac:dyDescent="0.25">
      <c r="E783"/>
    </row>
    <row r="784" spans="5:5" x14ac:dyDescent="0.25">
      <c r="E784"/>
    </row>
    <row r="785" spans="5:5" x14ac:dyDescent="0.25">
      <c r="E785"/>
    </row>
    <row r="786" spans="5:5" x14ac:dyDescent="0.25">
      <c r="E786"/>
    </row>
    <row r="787" spans="5:5" x14ac:dyDescent="0.25">
      <c r="E787"/>
    </row>
    <row r="788" spans="5:5" x14ac:dyDescent="0.25">
      <c r="E788"/>
    </row>
    <row r="789" spans="5:5" x14ac:dyDescent="0.25">
      <c r="E789"/>
    </row>
    <row r="790" spans="5:5" x14ac:dyDescent="0.25">
      <c r="E790"/>
    </row>
    <row r="791" spans="5:5" x14ac:dyDescent="0.25">
      <c r="E791"/>
    </row>
    <row r="792" spans="5:5" x14ac:dyDescent="0.25">
      <c r="E792"/>
    </row>
    <row r="793" spans="5:5" x14ac:dyDescent="0.25">
      <c r="E793"/>
    </row>
    <row r="794" spans="5:5" x14ac:dyDescent="0.25">
      <c r="E794"/>
    </row>
    <row r="795" spans="5:5" x14ac:dyDescent="0.25">
      <c r="E795"/>
    </row>
    <row r="796" spans="5:5" x14ac:dyDescent="0.25">
      <c r="E796"/>
    </row>
    <row r="797" spans="5:5" x14ac:dyDescent="0.25">
      <c r="E797"/>
    </row>
    <row r="798" spans="5:5" x14ac:dyDescent="0.25">
      <c r="E798"/>
    </row>
    <row r="799" spans="5:5" x14ac:dyDescent="0.25">
      <c r="E799"/>
    </row>
    <row r="800" spans="5:5" x14ac:dyDescent="0.25">
      <c r="E800"/>
    </row>
    <row r="801" spans="5:5" x14ac:dyDescent="0.25">
      <c r="E801"/>
    </row>
    <row r="802" spans="5:5" x14ac:dyDescent="0.25">
      <c r="E802"/>
    </row>
    <row r="803" spans="5:5" x14ac:dyDescent="0.25">
      <c r="E803"/>
    </row>
    <row r="804" spans="5:5" x14ac:dyDescent="0.25">
      <c r="E804"/>
    </row>
    <row r="805" spans="5:5" x14ac:dyDescent="0.25">
      <c r="E805"/>
    </row>
    <row r="806" spans="5:5" x14ac:dyDescent="0.25">
      <c r="E806"/>
    </row>
    <row r="807" spans="5:5" x14ac:dyDescent="0.25">
      <c r="E807"/>
    </row>
    <row r="808" spans="5:5" x14ac:dyDescent="0.25">
      <c r="E808"/>
    </row>
    <row r="809" spans="5:5" x14ac:dyDescent="0.25">
      <c r="E809"/>
    </row>
    <row r="810" spans="5:5" x14ac:dyDescent="0.25">
      <c r="E810"/>
    </row>
    <row r="811" spans="5:5" x14ac:dyDescent="0.25">
      <c r="E811"/>
    </row>
    <row r="812" spans="5:5" x14ac:dyDescent="0.25">
      <c r="E812"/>
    </row>
    <row r="813" spans="5:5" x14ac:dyDescent="0.25">
      <c r="E813"/>
    </row>
    <row r="814" spans="5:5" x14ac:dyDescent="0.25">
      <c r="E814"/>
    </row>
    <row r="815" spans="5:5" x14ac:dyDescent="0.25">
      <c r="E815"/>
    </row>
    <row r="816" spans="5:5" x14ac:dyDescent="0.25">
      <c r="E816"/>
    </row>
    <row r="817" spans="5:5" x14ac:dyDescent="0.25">
      <c r="E817"/>
    </row>
    <row r="818" spans="5:5" x14ac:dyDescent="0.25">
      <c r="E818"/>
    </row>
    <row r="819" spans="5:5" x14ac:dyDescent="0.25">
      <c r="E819"/>
    </row>
    <row r="820" spans="5:5" x14ac:dyDescent="0.25">
      <c r="E820"/>
    </row>
    <row r="821" spans="5:5" x14ac:dyDescent="0.25">
      <c r="E821"/>
    </row>
    <row r="822" spans="5:5" x14ac:dyDescent="0.25">
      <c r="E822"/>
    </row>
    <row r="823" spans="5:5" x14ac:dyDescent="0.25">
      <c r="E823"/>
    </row>
    <row r="824" spans="5:5" x14ac:dyDescent="0.25">
      <c r="E824"/>
    </row>
    <row r="825" spans="5:5" x14ac:dyDescent="0.25">
      <c r="E825"/>
    </row>
    <row r="826" spans="5:5" x14ac:dyDescent="0.25">
      <c r="E826"/>
    </row>
    <row r="827" spans="5:5" x14ac:dyDescent="0.25">
      <c r="E827"/>
    </row>
    <row r="828" spans="5:5" x14ac:dyDescent="0.25">
      <c r="E828"/>
    </row>
    <row r="829" spans="5:5" x14ac:dyDescent="0.25">
      <c r="E829"/>
    </row>
    <row r="830" spans="5:5" x14ac:dyDescent="0.25">
      <c r="E830"/>
    </row>
    <row r="831" spans="5:5" x14ac:dyDescent="0.25">
      <c r="E831"/>
    </row>
    <row r="832" spans="5:5" x14ac:dyDescent="0.25">
      <c r="E832"/>
    </row>
    <row r="833" spans="5:5" x14ac:dyDescent="0.25">
      <c r="E833"/>
    </row>
    <row r="834" spans="5:5" x14ac:dyDescent="0.25">
      <c r="E834"/>
    </row>
    <row r="835" spans="5:5" x14ac:dyDescent="0.25">
      <c r="E835"/>
    </row>
    <row r="836" spans="5:5" x14ac:dyDescent="0.25">
      <c r="E836"/>
    </row>
    <row r="837" spans="5:5" x14ac:dyDescent="0.25">
      <c r="E837"/>
    </row>
    <row r="838" spans="5:5" x14ac:dyDescent="0.25">
      <c r="E838"/>
    </row>
    <row r="839" spans="5:5" x14ac:dyDescent="0.25">
      <c r="E839"/>
    </row>
    <row r="840" spans="5:5" x14ac:dyDescent="0.25">
      <c r="E840"/>
    </row>
    <row r="841" spans="5:5" x14ac:dyDescent="0.25">
      <c r="E841"/>
    </row>
    <row r="842" spans="5:5" x14ac:dyDescent="0.25">
      <c r="E842"/>
    </row>
    <row r="843" spans="5:5" x14ac:dyDescent="0.25">
      <c r="E843"/>
    </row>
    <row r="844" spans="5:5" x14ac:dyDescent="0.25">
      <c r="E844"/>
    </row>
    <row r="845" spans="5:5" x14ac:dyDescent="0.25">
      <c r="E845"/>
    </row>
    <row r="846" spans="5:5" x14ac:dyDescent="0.25">
      <c r="E846"/>
    </row>
    <row r="847" spans="5:5" x14ac:dyDescent="0.25">
      <c r="E847"/>
    </row>
    <row r="848" spans="5:5" x14ac:dyDescent="0.25">
      <c r="E848"/>
    </row>
    <row r="849" spans="5:5" x14ac:dyDescent="0.25">
      <c r="E849"/>
    </row>
    <row r="850" spans="5:5" x14ac:dyDescent="0.25">
      <c r="E850"/>
    </row>
    <row r="851" spans="5:5" x14ac:dyDescent="0.25">
      <c r="E851"/>
    </row>
    <row r="852" spans="5:5" x14ac:dyDescent="0.25">
      <c r="E852"/>
    </row>
    <row r="853" spans="5:5" x14ac:dyDescent="0.25">
      <c r="E853"/>
    </row>
    <row r="854" spans="5:5" x14ac:dyDescent="0.25">
      <c r="E854"/>
    </row>
    <row r="855" spans="5:5" x14ac:dyDescent="0.25">
      <c r="E855"/>
    </row>
    <row r="856" spans="5:5" x14ac:dyDescent="0.25">
      <c r="E856"/>
    </row>
    <row r="857" spans="5:5" x14ac:dyDescent="0.25">
      <c r="E857"/>
    </row>
    <row r="858" spans="5:5" x14ac:dyDescent="0.25">
      <c r="E858"/>
    </row>
    <row r="859" spans="5:5" x14ac:dyDescent="0.25">
      <c r="E859"/>
    </row>
    <row r="860" spans="5:5" x14ac:dyDescent="0.25">
      <c r="E860"/>
    </row>
    <row r="861" spans="5:5" x14ac:dyDescent="0.25">
      <c r="E861"/>
    </row>
    <row r="862" spans="5:5" x14ac:dyDescent="0.25">
      <c r="E862"/>
    </row>
    <row r="863" spans="5:5" x14ac:dyDescent="0.25">
      <c r="E863"/>
    </row>
    <row r="864" spans="5:5" x14ac:dyDescent="0.25">
      <c r="E864"/>
    </row>
    <row r="865" spans="5:5" x14ac:dyDescent="0.25">
      <c r="E865"/>
    </row>
    <row r="866" spans="5:5" x14ac:dyDescent="0.25">
      <c r="E866"/>
    </row>
    <row r="867" spans="5:5" x14ac:dyDescent="0.25">
      <c r="E867"/>
    </row>
    <row r="868" spans="5:5" x14ac:dyDescent="0.25">
      <c r="E868"/>
    </row>
    <row r="869" spans="5:5" x14ac:dyDescent="0.25">
      <c r="E869"/>
    </row>
    <row r="870" spans="5:5" x14ac:dyDescent="0.25">
      <c r="E870"/>
    </row>
    <row r="871" spans="5:5" x14ac:dyDescent="0.25">
      <c r="E871"/>
    </row>
    <row r="872" spans="5:5" x14ac:dyDescent="0.25">
      <c r="E872"/>
    </row>
    <row r="873" spans="5:5" x14ac:dyDescent="0.25">
      <c r="E873"/>
    </row>
    <row r="874" spans="5:5" x14ac:dyDescent="0.25">
      <c r="E874"/>
    </row>
    <row r="875" spans="5:5" x14ac:dyDescent="0.25">
      <c r="E875"/>
    </row>
    <row r="876" spans="5:5" x14ac:dyDescent="0.25">
      <c r="E876"/>
    </row>
    <row r="877" spans="5:5" x14ac:dyDescent="0.25">
      <c r="E877"/>
    </row>
    <row r="878" spans="5:5" x14ac:dyDescent="0.25">
      <c r="E878"/>
    </row>
    <row r="879" spans="5:5" x14ac:dyDescent="0.25">
      <c r="E879"/>
    </row>
    <row r="880" spans="5:5" x14ac:dyDescent="0.25">
      <c r="E880"/>
    </row>
    <row r="881" spans="5:5" x14ac:dyDescent="0.25">
      <c r="E881"/>
    </row>
    <row r="882" spans="5:5" x14ac:dyDescent="0.25">
      <c r="E882"/>
    </row>
    <row r="883" spans="5:5" x14ac:dyDescent="0.25">
      <c r="E883"/>
    </row>
    <row r="884" spans="5:5" x14ac:dyDescent="0.25">
      <c r="E884"/>
    </row>
    <row r="885" spans="5:5" x14ac:dyDescent="0.25">
      <c r="E885"/>
    </row>
    <row r="886" spans="5:5" x14ac:dyDescent="0.25">
      <c r="E886"/>
    </row>
    <row r="887" spans="5:5" x14ac:dyDescent="0.25">
      <c r="E887"/>
    </row>
    <row r="888" spans="5:5" x14ac:dyDescent="0.25">
      <c r="E888"/>
    </row>
    <row r="889" spans="5:5" x14ac:dyDescent="0.25">
      <c r="E889"/>
    </row>
    <row r="890" spans="5:5" x14ac:dyDescent="0.25">
      <c r="E890"/>
    </row>
    <row r="891" spans="5:5" x14ac:dyDescent="0.25">
      <c r="E891"/>
    </row>
    <row r="892" spans="5:5" x14ac:dyDescent="0.25">
      <c r="E892"/>
    </row>
    <row r="893" spans="5:5" x14ac:dyDescent="0.25">
      <c r="E893"/>
    </row>
    <row r="894" spans="5:5" x14ac:dyDescent="0.25">
      <c r="E894"/>
    </row>
    <row r="895" spans="5:5" x14ac:dyDescent="0.25">
      <c r="E895"/>
    </row>
    <row r="896" spans="5:5" x14ac:dyDescent="0.25">
      <c r="E896"/>
    </row>
    <row r="897" spans="5:5" x14ac:dyDescent="0.25">
      <c r="E897"/>
    </row>
    <row r="898" spans="5:5" x14ac:dyDescent="0.25">
      <c r="E898"/>
    </row>
    <row r="899" spans="5:5" x14ac:dyDescent="0.25">
      <c r="E899"/>
    </row>
    <row r="900" spans="5:5" x14ac:dyDescent="0.25">
      <c r="E900"/>
    </row>
    <row r="901" spans="5:5" x14ac:dyDescent="0.25">
      <c r="E901"/>
    </row>
    <row r="902" spans="5:5" x14ac:dyDescent="0.25">
      <c r="E902"/>
    </row>
    <row r="903" spans="5:5" x14ac:dyDescent="0.25">
      <c r="E903"/>
    </row>
    <row r="904" spans="5:5" x14ac:dyDescent="0.25">
      <c r="E904"/>
    </row>
    <row r="905" spans="5:5" x14ac:dyDescent="0.25">
      <c r="E905"/>
    </row>
    <row r="906" spans="5:5" x14ac:dyDescent="0.25">
      <c r="E906"/>
    </row>
    <row r="907" spans="5:5" x14ac:dyDescent="0.25">
      <c r="E907"/>
    </row>
    <row r="908" spans="5:5" x14ac:dyDescent="0.25">
      <c r="E908"/>
    </row>
    <row r="909" spans="5:5" x14ac:dyDescent="0.25">
      <c r="E909"/>
    </row>
    <row r="910" spans="5:5" x14ac:dyDescent="0.25">
      <c r="E910"/>
    </row>
    <row r="911" spans="5:5" x14ac:dyDescent="0.25">
      <c r="E911"/>
    </row>
    <row r="912" spans="5:5" x14ac:dyDescent="0.25">
      <c r="E912"/>
    </row>
    <row r="913" spans="5:5" x14ac:dyDescent="0.25">
      <c r="E913"/>
    </row>
    <row r="914" spans="5:5" x14ac:dyDescent="0.25">
      <c r="E914"/>
    </row>
    <row r="915" spans="5:5" x14ac:dyDescent="0.25">
      <c r="E915"/>
    </row>
    <row r="916" spans="5:5" x14ac:dyDescent="0.25">
      <c r="E916"/>
    </row>
    <row r="917" spans="5:5" x14ac:dyDescent="0.25">
      <c r="E917"/>
    </row>
    <row r="918" spans="5:5" x14ac:dyDescent="0.25">
      <c r="E918"/>
    </row>
    <row r="919" spans="5:5" x14ac:dyDescent="0.25">
      <c r="E919"/>
    </row>
    <row r="920" spans="5:5" x14ac:dyDescent="0.25">
      <c r="E920"/>
    </row>
    <row r="921" spans="5:5" x14ac:dyDescent="0.25">
      <c r="E921"/>
    </row>
    <row r="922" spans="5:5" x14ac:dyDescent="0.25">
      <c r="E922"/>
    </row>
    <row r="923" spans="5:5" x14ac:dyDescent="0.25">
      <c r="E923"/>
    </row>
    <row r="924" spans="5:5" x14ac:dyDescent="0.25">
      <c r="E924"/>
    </row>
    <row r="925" spans="5:5" x14ac:dyDescent="0.25">
      <c r="E925"/>
    </row>
    <row r="926" spans="5:5" x14ac:dyDescent="0.25">
      <c r="E926"/>
    </row>
    <row r="927" spans="5:5" x14ac:dyDescent="0.25">
      <c r="E927"/>
    </row>
    <row r="928" spans="5:5" x14ac:dyDescent="0.25">
      <c r="E928"/>
    </row>
    <row r="929" spans="5:5" x14ac:dyDescent="0.25">
      <c r="E929"/>
    </row>
    <row r="930" spans="5:5" x14ac:dyDescent="0.25">
      <c r="E930"/>
    </row>
    <row r="931" spans="5:5" x14ac:dyDescent="0.25">
      <c r="E931"/>
    </row>
    <row r="932" spans="5:5" x14ac:dyDescent="0.25">
      <c r="E932"/>
    </row>
    <row r="933" spans="5:5" x14ac:dyDescent="0.25">
      <c r="E933"/>
    </row>
    <row r="934" spans="5:5" x14ac:dyDescent="0.25">
      <c r="E934"/>
    </row>
    <row r="935" spans="5:5" x14ac:dyDescent="0.25">
      <c r="E935"/>
    </row>
    <row r="936" spans="5:5" x14ac:dyDescent="0.25">
      <c r="E936"/>
    </row>
    <row r="937" spans="5:5" x14ac:dyDescent="0.25">
      <c r="E937"/>
    </row>
    <row r="938" spans="5:5" x14ac:dyDescent="0.25">
      <c r="E938"/>
    </row>
    <row r="939" spans="5:5" x14ac:dyDescent="0.25">
      <c r="E939"/>
    </row>
    <row r="940" spans="5:5" x14ac:dyDescent="0.25">
      <c r="E940"/>
    </row>
    <row r="941" spans="5:5" x14ac:dyDescent="0.25">
      <c r="E941"/>
    </row>
    <row r="942" spans="5:5" x14ac:dyDescent="0.25">
      <c r="E942"/>
    </row>
    <row r="943" spans="5:5" x14ac:dyDescent="0.25">
      <c r="E943"/>
    </row>
    <row r="944" spans="5:5" x14ac:dyDescent="0.25">
      <c r="E944"/>
    </row>
    <row r="945" spans="5:5" x14ac:dyDescent="0.25">
      <c r="E945"/>
    </row>
    <row r="946" spans="5:5" x14ac:dyDescent="0.25">
      <c r="E946"/>
    </row>
    <row r="947" spans="5:5" x14ac:dyDescent="0.25">
      <c r="E947"/>
    </row>
    <row r="948" spans="5:5" x14ac:dyDescent="0.25">
      <c r="E948"/>
    </row>
    <row r="949" spans="5:5" x14ac:dyDescent="0.25">
      <c r="E949"/>
    </row>
    <row r="950" spans="5:5" x14ac:dyDescent="0.25">
      <c r="E950"/>
    </row>
    <row r="951" spans="5:5" x14ac:dyDescent="0.25">
      <c r="E951"/>
    </row>
    <row r="952" spans="5:5" x14ac:dyDescent="0.25">
      <c r="E952"/>
    </row>
    <row r="953" spans="5:5" x14ac:dyDescent="0.25">
      <c r="E953"/>
    </row>
    <row r="954" spans="5:5" x14ac:dyDescent="0.25">
      <c r="E954"/>
    </row>
    <row r="955" spans="5:5" x14ac:dyDescent="0.25">
      <c r="E955"/>
    </row>
    <row r="956" spans="5:5" x14ac:dyDescent="0.25">
      <c r="E956"/>
    </row>
    <row r="957" spans="5:5" x14ac:dyDescent="0.25">
      <c r="E957"/>
    </row>
    <row r="958" spans="5:5" x14ac:dyDescent="0.25">
      <c r="E958"/>
    </row>
    <row r="959" spans="5:5" x14ac:dyDescent="0.25">
      <c r="E959"/>
    </row>
    <row r="960" spans="5:5" x14ac:dyDescent="0.25">
      <c r="E960"/>
    </row>
    <row r="961" spans="5:5" x14ac:dyDescent="0.25">
      <c r="E961"/>
    </row>
    <row r="962" spans="5:5" x14ac:dyDescent="0.25">
      <c r="E962"/>
    </row>
    <row r="963" spans="5:5" x14ac:dyDescent="0.25">
      <c r="E963"/>
    </row>
    <row r="964" spans="5:5" x14ac:dyDescent="0.25">
      <c r="E964"/>
    </row>
    <row r="965" spans="5:5" x14ac:dyDescent="0.25">
      <c r="E965"/>
    </row>
    <row r="966" spans="5:5" x14ac:dyDescent="0.25">
      <c r="E966"/>
    </row>
    <row r="967" spans="5:5" x14ac:dyDescent="0.25">
      <c r="E967"/>
    </row>
    <row r="968" spans="5:5" x14ac:dyDescent="0.25">
      <c r="E968"/>
    </row>
    <row r="969" spans="5:5" x14ac:dyDescent="0.25">
      <c r="E969"/>
    </row>
    <row r="970" spans="5:5" x14ac:dyDescent="0.25">
      <c r="E970"/>
    </row>
    <row r="971" spans="5:5" x14ac:dyDescent="0.25">
      <c r="E971"/>
    </row>
    <row r="972" spans="5:5" x14ac:dyDescent="0.25">
      <c r="E972"/>
    </row>
    <row r="973" spans="5:5" x14ac:dyDescent="0.25">
      <c r="E973"/>
    </row>
    <row r="974" spans="5:5" x14ac:dyDescent="0.25">
      <c r="E974"/>
    </row>
    <row r="975" spans="5:5" x14ac:dyDescent="0.25">
      <c r="E975"/>
    </row>
    <row r="976" spans="5:5" x14ac:dyDescent="0.25">
      <c r="E976"/>
    </row>
    <row r="977" spans="5:5" x14ac:dyDescent="0.25">
      <c r="E977"/>
    </row>
    <row r="978" spans="5:5" x14ac:dyDescent="0.25">
      <c r="E978"/>
    </row>
    <row r="979" spans="5:5" x14ac:dyDescent="0.25">
      <c r="E979"/>
    </row>
    <row r="980" spans="5:5" x14ac:dyDescent="0.25">
      <c r="E980"/>
    </row>
    <row r="981" spans="5:5" x14ac:dyDescent="0.25">
      <c r="E981"/>
    </row>
    <row r="982" spans="5:5" x14ac:dyDescent="0.25">
      <c r="E982"/>
    </row>
    <row r="983" spans="5:5" x14ac:dyDescent="0.25">
      <c r="E983"/>
    </row>
    <row r="984" spans="5:5" x14ac:dyDescent="0.25">
      <c r="E984"/>
    </row>
    <row r="985" spans="5:5" x14ac:dyDescent="0.25">
      <c r="E985"/>
    </row>
    <row r="986" spans="5:5" x14ac:dyDescent="0.25">
      <c r="E986"/>
    </row>
    <row r="987" spans="5:5" x14ac:dyDescent="0.25">
      <c r="E987"/>
    </row>
    <row r="988" spans="5:5" x14ac:dyDescent="0.25">
      <c r="E988"/>
    </row>
    <row r="989" spans="5:5" x14ac:dyDescent="0.25">
      <c r="E989"/>
    </row>
    <row r="990" spans="5:5" x14ac:dyDescent="0.25">
      <c r="E990"/>
    </row>
    <row r="991" spans="5:5" x14ac:dyDescent="0.25">
      <c r="E991"/>
    </row>
    <row r="992" spans="5:5" x14ac:dyDescent="0.25">
      <c r="E992"/>
    </row>
    <row r="993" spans="5:5" x14ac:dyDescent="0.25">
      <c r="E993"/>
    </row>
    <row r="994" spans="5:5" x14ac:dyDescent="0.25">
      <c r="E994"/>
    </row>
    <row r="995" spans="5:5" x14ac:dyDescent="0.25">
      <c r="E995"/>
    </row>
    <row r="996" spans="5:5" x14ac:dyDescent="0.25">
      <c r="E996"/>
    </row>
    <row r="997" spans="5:5" x14ac:dyDescent="0.25">
      <c r="E997"/>
    </row>
    <row r="998" spans="5:5" x14ac:dyDescent="0.25">
      <c r="E998"/>
    </row>
    <row r="999" spans="5:5" x14ac:dyDescent="0.25">
      <c r="E999"/>
    </row>
    <row r="1000" spans="5:5" x14ac:dyDescent="0.25">
      <c r="E1000"/>
    </row>
    <row r="1001" spans="5:5" x14ac:dyDescent="0.25">
      <c r="E1001"/>
    </row>
    <row r="1002" spans="5:5" x14ac:dyDescent="0.25">
      <c r="E1002"/>
    </row>
    <row r="1003" spans="5:5" x14ac:dyDescent="0.25">
      <c r="E1003"/>
    </row>
    <row r="1004" spans="5:5" x14ac:dyDescent="0.25">
      <c r="E1004"/>
    </row>
    <row r="1005" spans="5:5" x14ac:dyDescent="0.25">
      <c r="E1005"/>
    </row>
    <row r="1006" spans="5:5" x14ac:dyDescent="0.25">
      <c r="E1006"/>
    </row>
    <row r="1007" spans="5:5" x14ac:dyDescent="0.25">
      <c r="E1007"/>
    </row>
    <row r="1008" spans="5:5" x14ac:dyDescent="0.25">
      <c r="E1008"/>
    </row>
    <row r="1009" spans="5:5" x14ac:dyDescent="0.25">
      <c r="E1009"/>
    </row>
    <row r="1010" spans="5:5" x14ac:dyDescent="0.25">
      <c r="E1010"/>
    </row>
    <row r="1011" spans="5:5" x14ac:dyDescent="0.25">
      <c r="E1011"/>
    </row>
    <row r="1012" spans="5:5" x14ac:dyDescent="0.25">
      <c r="E1012"/>
    </row>
    <row r="1013" spans="5:5" x14ac:dyDescent="0.25">
      <c r="E1013"/>
    </row>
    <row r="1014" spans="5:5" x14ac:dyDescent="0.25">
      <c r="E1014"/>
    </row>
    <row r="1015" spans="5:5" x14ac:dyDescent="0.25">
      <c r="E1015"/>
    </row>
    <row r="1016" spans="5:5" x14ac:dyDescent="0.25">
      <c r="E1016"/>
    </row>
    <row r="1017" spans="5:5" x14ac:dyDescent="0.25">
      <c r="E1017"/>
    </row>
    <row r="1018" spans="5:5" x14ac:dyDescent="0.25">
      <c r="E1018"/>
    </row>
    <row r="1019" spans="5:5" x14ac:dyDescent="0.25">
      <c r="E1019"/>
    </row>
    <row r="1020" spans="5:5" x14ac:dyDescent="0.25">
      <c r="E1020"/>
    </row>
    <row r="1021" spans="5:5" x14ac:dyDescent="0.25">
      <c r="E1021"/>
    </row>
    <row r="1022" spans="5:5" x14ac:dyDescent="0.25">
      <c r="E1022"/>
    </row>
    <row r="1023" spans="5:5" x14ac:dyDescent="0.25">
      <c r="E1023"/>
    </row>
    <row r="1024" spans="5:5" x14ac:dyDescent="0.25">
      <c r="E1024"/>
    </row>
    <row r="1025" spans="5:5" x14ac:dyDescent="0.25">
      <c r="E1025"/>
    </row>
    <row r="1026" spans="5:5" x14ac:dyDescent="0.25">
      <c r="E1026"/>
    </row>
    <row r="1027" spans="5:5" x14ac:dyDescent="0.25">
      <c r="E1027"/>
    </row>
    <row r="1028" spans="5:5" x14ac:dyDescent="0.25">
      <c r="E1028"/>
    </row>
    <row r="1029" spans="5:5" x14ac:dyDescent="0.25">
      <c r="E1029"/>
    </row>
    <row r="1030" spans="5:5" x14ac:dyDescent="0.25">
      <c r="E1030"/>
    </row>
    <row r="1031" spans="5:5" x14ac:dyDescent="0.25">
      <c r="E1031"/>
    </row>
    <row r="1032" spans="5:5" x14ac:dyDescent="0.25">
      <c r="E1032"/>
    </row>
    <row r="1033" spans="5:5" x14ac:dyDescent="0.25">
      <c r="E1033"/>
    </row>
    <row r="1034" spans="5:5" x14ac:dyDescent="0.25">
      <c r="E1034"/>
    </row>
    <row r="1035" spans="5:5" x14ac:dyDescent="0.25">
      <c r="E1035"/>
    </row>
    <row r="1036" spans="5:5" x14ac:dyDescent="0.25">
      <c r="E1036"/>
    </row>
    <row r="1037" spans="5:5" x14ac:dyDescent="0.25">
      <c r="E1037"/>
    </row>
    <row r="1038" spans="5:5" x14ac:dyDescent="0.25">
      <c r="E1038"/>
    </row>
    <row r="1039" spans="5:5" x14ac:dyDescent="0.25">
      <c r="E1039"/>
    </row>
    <row r="1040" spans="5:5" x14ac:dyDescent="0.25">
      <c r="E1040"/>
    </row>
    <row r="1041" spans="5:5" x14ac:dyDescent="0.25">
      <c r="E1041"/>
    </row>
    <row r="1042" spans="5:5" x14ac:dyDescent="0.25">
      <c r="E1042"/>
    </row>
    <row r="1043" spans="5:5" x14ac:dyDescent="0.25">
      <c r="E1043"/>
    </row>
    <row r="1044" spans="5:5" x14ac:dyDescent="0.25">
      <c r="E1044"/>
    </row>
    <row r="1045" spans="5:5" x14ac:dyDescent="0.25">
      <c r="E1045"/>
    </row>
    <row r="1046" spans="5:5" x14ac:dyDescent="0.25">
      <c r="E1046"/>
    </row>
    <row r="1047" spans="5:5" x14ac:dyDescent="0.25">
      <c r="E1047"/>
    </row>
    <row r="1048" spans="5:5" x14ac:dyDescent="0.25">
      <c r="E1048"/>
    </row>
    <row r="1049" spans="5:5" x14ac:dyDescent="0.25">
      <c r="E1049"/>
    </row>
    <row r="1050" spans="5:5" x14ac:dyDescent="0.25">
      <c r="E1050"/>
    </row>
    <row r="1051" spans="5:5" x14ac:dyDescent="0.25">
      <c r="E1051"/>
    </row>
    <row r="1052" spans="5:5" x14ac:dyDescent="0.25">
      <c r="E1052"/>
    </row>
    <row r="1053" spans="5:5" x14ac:dyDescent="0.25">
      <c r="E1053"/>
    </row>
    <row r="1054" spans="5:5" x14ac:dyDescent="0.25">
      <c r="E1054"/>
    </row>
    <row r="1055" spans="5:5" x14ac:dyDescent="0.25">
      <c r="E1055"/>
    </row>
    <row r="1056" spans="5:5" x14ac:dyDescent="0.25">
      <c r="E1056"/>
    </row>
    <row r="1057" spans="5:5" x14ac:dyDescent="0.25">
      <c r="E1057"/>
    </row>
    <row r="1058" spans="5:5" x14ac:dyDescent="0.25">
      <c r="E1058"/>
    </row>
    <row r="1059" spans="5:5" x14ac:dyDescent="0.25">
      <c r="E1059"/>
    </row>
    <row r="1060" spans="5:5" x14ac:dyDescent="0.25">
      <c r="E1060"/>
    </row>
    <row r="1061" spans="5:5" x14ac:dyDescent="0.25">
      <c r="E1061"/>
    </row>
    <row r="1062" spans="5:5" x14ac:dyDescent="0.25">
      <c r="E1062"/>
    </row>
    <row r="1063" spans="5:5" x14ac:dyDescent="0.25">
      <c r="E1063"/>
    </row>
    <row r="1064" spans="5:5" x14ac:dyDescent="0.25">
      <c r="E1064"/>
    </row>
    <row r="1065" spans="5:5" x14ac:dyDescent="0.25">
      <c r="E1065"/>
    </row>
    <row r="1066" spans="5:5" x14ac:dyDescent="0.25">
      <c r="E1066"/>
    </row>
    <row r="1067" spans="5:5" x14ac:dyDescent="0.25">
      <c r="E1067"/>
    </row>
    <row r="1068" spans="5:5" x14ac:dyDescent="0.25">
      <c r="E1068"/>
    </row>
    <row r="1069" spans="5:5" x14ac:dyDescent="0.25">
      <c r="E1069"/>
    </row>
    <row r="1070" spans="5:5" x14ac:dyDescent="0.25">
      <c r="E1070"/>
    </row>
    <row r="1071" spans="5:5" x14ac:dyDescent="0.25">
      <c r="E1071"/>
    </row>
    <row r="1072" spans="5:5" x14ac:dyDescent="0.25">
      <c r="E1072"/>
    </row>
    <row r="1073" spans="5:5" x14ac:dyDescent="0.25">
      <c r="E1073"/>
    </row>
    <row r="1074" spans="5:5" x14ac:dyDescent="0.25">
      <c r="E1074"/>
    </row>
    <row r="1075" spans="5:5" x14ac:dyDescent="0.25">
      <c r="E1075"/>
    </row>
    <row r="1076" spans="5:5" x14ac:dyDescent="0.25">
      <c r="E1076"/>
    </row>
    <row r="1077" spans="5:5" x14ac:dyDescent="0.25">
      <c r="E1077"/>
    </row>
    <row r="1078" spans="5:5" x14ac:dyDescent="0.25">
      <c r="E1078"/>
    </row>
    <row r="1079" spans="5:5" x14ac:dyDescent="0.25">
      <c r="E1079"/>
    </row>
    <row r="1080" spans="5:5" x14ac:dyDescent="0.25">
      <c r="E1080"/>
    </row>
    <row r="1081" spans="5:5" x14ac:dyDescent="0.25">
      <c r="E1081"/>
    </row>
    <row r="1082" spans="5:5" x14ac:dyDescent="0.25">
      <c r="E1082"/>
    </row>
    <row r="1083" spans="5:5" x14ac:dyDescent="0.25">
      <c r="E1083"/>
    </row>
    <row r="1084" spans="5:5" x14ac:dyDescent="0.25">
      <c r="E1084"/>
    </row>
    <row r="1085" spans="5:5" x14ac:dyDescent="0.25">
      <c r="E1085"/>
    </row>
    <row r="1086" spans="5:5" x14ac:dyDescent="0.25">
      <c r="E1086"/>
    </row>
    <row r="1087" spans="5:5" x14ac:dyDescent="0.25">
      <c r="E1087"/>
    </row>
    <row r="1088" spans="5:5" x14ac:dyDescent="0.25">
      <c r="E1088"/>
    </row>
    <row r="1089" spans="5:5" x14ac:dyDescent="0.25">
      <c r="E1089"/>
    </row>
    <row r="1090" spans="5:5" x14ac:dyDescent="0.25">
      <c r="E1090"/>
    </row>
    <row r="1091" spans="5:5" x14ac:dyDescent="0.25">
      <c r="E1091"/>
    </row>
    <row r="1092" spans="5:5" x14ac:dyDescent="0.25">
      <c r="E1092"/>
    </row>
    <row r="1093" spans="5:5" x14ac:dyDescent="0.25">
      <c r="E1093"/>
    </row>
    <row r="1094" spans="5:5" x14ac:dyDescent="0.25">
      <c r="E1094"/>
    </row>
    <row r="1095" spans="5:5" x14ac:dyDescent="0.25">
      <c r="E1095"/>
    </row>
    <row r="1096" spans="5:5" x14ac:dyDescent="0.25">
      <c r="E1096"/>
    </row>
    <row r="1097" spans="5:5" x14ac:dyDescent="0.25">
      <c r="E1097"/>
    </row>
    <row r="1098" spans="5:5" x14ac:dyDescent="0.25">
      <c r="E1098"/>
    </row>
    <row r="1099" spans="5:5" x14ac:dyDescent="0.25">
      <c r="E1099"/>
    </row>
    <row r="1100" spans="5:5" x14ac:dyDescent="0.25">
      <c r="E1100"/>
    </row>
    <row r="1101" spans="5:5" x14ac:dyDescent="0.25">
      <c r="E1101"/>
    </row>
    <row r="1102" spans="5:5" x14ac:dyDescent="0.25">
      <c r="E1102"/>
    </row>
    <row r="1103" spans="5:5" x14ac:dyDescent="0.25">
      <c r="E1103"/>
    </row>
    <row r="1104" spans="5:5" x14ac:dyDescent="0.25">
      <c r="E1104"/>
    </row>
    <row r="1105" spans="5:5" x14ac:dyDescent="0.25">
      <c r="E1105"/>
    </row>
    <row r="1106" spans="5:5" x14ac:dyDescent="0.25">
      <c r="E1106"/>
    </row>
    <row r="1107" spans="5:5" x14ac:dyDescent="0.25">
      <c r="E1107"/>
    </row>
    <row r="1108" spans="5:5" x14ac:dyDescent="0.25">
      <c r="E1108"/>
    </row>
    <row r="1109" spans="5:5" x14ac:dyDescent="0.25">
      <c r="E1109"/>
    </row>
    <row r="1110" spans="5:5" x14ac:dyDescent="0.25">
      <c r="E1110"/>
    </row>
    <row r="1111" spans="5:5" x14ac:dyDescent="0.25">
      <c r="E1111"/>
    </row>
    <row r="1112" spans="5:5" x14ac:dyDescent="0.25">
      <c r="E1112"/>
    </row>
    <row r="1113" spans="5:5" x14ac:dyDescent="0.25">
      <c r="E1113"/>
    </row>
    <row r="1114" spans="5:5" x14ac:dyDescent="0.25">
      <c r="E1114"/>
    </row>
    <row r="1115" spans="5:5" x14ac:dyDescent="0.25">
      <c r="E1115"/>
    </row>
    <row r="1116" spans="5:5" x14ac:dyDescent="0.25">
      <c r="E1116"/>
    </row>
    <row r="1117" spans="5:5" x14ac:dyDescent="0.25">
      <c r="E1117"/>
    </row>
    <row r="1118" spans="5:5" x14ac:dyDescent="0.25">
      <c r="E1118"/>
    </row>
    <row r="1119" spans="5:5" x14ac:dyDescent="0.25">
      <c r="E1119"/>
    </row>
    <row r="1120" spans="5:5" x14ac:dyDescent="0.25">
      <c r="E1120"/>
    </row>
    <row r="1121" spans="5:5" x14ac:dyDescent="0.25">
      <c r="E1121"/>
    </row>
    <row r="1122" spans="5:5" x14ac:dyDescent="0.25">
      <c r="E1122"/>
    </row>
    <row r="1123" spans="5:5" x14ac:dyDescent="0.25">
      <c r="E1123"/>
    </row>
    <row r="1124" spans="5:5" x14ac:dyDescent="0.25">
      <c r="E1124"/>
    </row>
    <row r="1125" spans="5:5" x14ac:dyDescent="0.25">
      <c r="E1125"/>
    </row>
    <row r="1126" spans="5:5" x14ac:dyDescent="0.25">
      <c r="E1126"/>
    </row>
    <row r="1127" spans="5:5" x14ac:dyDescent="0.25">
      <c r="E1127"/>
    </row>
    <row r="1128" spans="5:5" x14ac:dyDescent="0.25">
      <c r="E1128"/>
    </row>
    <row r="1129" spans="5:5" x14ac:dyDescent="0.25">
      <c r="E1129"/>
    </row>
    <row r="1130" spans="5:5" x14ac:dyDescent="0.25">
      <c r="E1130"/>
    </row>
    <row r="1131" spans="5:5" x14ac:dyDescent="0.25">
      <c r="E1131"/>
    </row>
    <row r="1132" spans="5:5" x14ac:dyDescent="0.25">
      <c r="E1132"/>
    </row>
    <row r="1133" spans="5:5" x14ac:dyDescent="0.25">
      <c r="E1133"/>
    </row>
    <row r="1134" spans="5:5" x14ac:dyDescent="0.25">
      <c r="E1134"/>
    </row>
    <row r="1135" spans="5:5" x14ac:dyDescent="0.25">
      <c r="E1135"/>
    </row>
    <row r="1136" spans="5:5" x14ac:dyDescent="0.25">
      <c r="E1136"/>
    </row>
    <row r="1137" spans="5:5" x14ac:dyDescent="0.25">
      <c r="E1137"/>
    </row>
    <row r="1138" spans="5:5" x14ac:dyDescent="0.25">
      <c r="E1138"/>
    </row>
    <row r="1139" spans="5:5" x14ac:dyDescent="0.25">
      <c r="E1139"/>
    </row>
    <row r="1140" spans="5:5" x14ac:dyDescent="0.25">
      <c r="E1140"/>
    </row>
    <row r="1141" spans="5:5" x14ac:dyDescent="0.25">
      <c r="E1141"/>
    </row>
    <row r="1142" spans="5:5" x14ac:dyDescent="0.25">
      <c r="E1142"/>
    </row>
    <row r="1143" spans="5:5" x14ac:dyDescent="0.25">
      <c r="E1143"/>
    </row>
    <row r="1144" spans="5:5" x14ac:dyDescent="0.25">
      <c r="E1144"/>
    </row>
    <row r="1145" spans="5:5" x14ac:dyDescent="0.25">
      <c r="E1145"/>
    </row>
    <row r="1146" spans="5:5" x14ac:dyDescent="0.25">
      <c r="E1146"/>
    </row>
    <row r="1147" spans="5:5" x14ac:dyDescent="0.25">
      <c r="E1147"/>
    </row>
    <row r="1148" spans="5:5" x14ac:dyDescent="0.25">
      <c r="E1148"/>
    </row>
    <row r="1149" spans="5:5" x14ac:dyDescent="0.25">
      <c r="E1149"/>
    </row>
    <row r="1150" spans="5:5" x14ac:dyDescent="0.25">
      <c r="E1150"/>
    </row>
    <row r="1151" spans="5:5" x14ac:dyDescent="0.25">
      <c r="E1151"/>
    </row>
    <row r="1152" spans="5:5" x14ac:dyDescent="0.25">
      <c r="E1152"/>
    </row>
    <row r="1153" spans="5:5" x14ac:dyDescent="0.25">
      <c r="E1153"/>
    </row>
    <row r="1154" spans="5:5" x14ac:dyDescent="0.25">
      <c r="E1154"/>
    </row>
    <row r="1155" spans="5:5" x14ac:dyDescent="0.25">
      <c r="E1155"/>
    </row>
    <row r="1156" spans="5:5" x14ac:dyDescent="0.25">
      <c r="E1156"/>
    </row>
    <row r="1157" spans="5:5" x14ac:dyDescent="0.25">
      <c r="E1157"/>
    </row>
    <row r="1158" spans="5:5" x14ac:dyDescent="0.25">
      <c r="E1158"/>
    </row>
    <row r="1159" spans="5:5" x14ac:dyDescent="0.25">
      <c r="E1159"/>
    </row>
    <row r="1160" spans="5:5" x14ac:dyDescent="0.25">
      <c r="E1160"/>
    </row>
    <row r="1161" spans="5:5" x14ac:dyDescent="0.25">
      <c r="E1161"/>
    </row>
    <row r="1162" spans="5:5" x14ac:dyDescent="0.25">
      <c r="E1162"/>
    </row>
    <row r="1163" spans="5:5" x14ac:dyDescent="0.25">
      <c r="E1163"/>
    </row>
    <row r="1164" spans="5:5" x14ac:dyDescent="0.25">
      <c r="E1164"/>
    </row>
    <row r="1165" spans="5:5" x14ac:dyDescent="0.25">
      <c r="E1165"/>
    </row>
    <row r="1166" spans="5:5" x14ac:dyDescent="0.25">
      <c r="E1166"/>
    </row>
    <row r="1167" spans="5:5" x14ac:dyDescent="0.25">
      <c r="E1167"/>
    </row>
    <row r="1168" spans="5:5" x14ac:dyDescent="0.25">
      <c r="E1168"/>
    </row>
    <row r="1169" spans="5:5" x14ac:dyDescent="0.25">
      <c r="E1169"/>
    </row>
    <row r="1170" spans="5:5" x14ac:dyDescent="0.25">
      <c r="E1170"/>
    </row>
    <row r="1171" spans="5:5" x14ac:dyDescent="0.25">
      <c r="E1171"/>
    </row>
    <row r="1172" spans="5:5" x14ac:dyDescent="0.25">
      <c r="E1172"/>
    </row>
    <row r="1173" spans="5:5" x14ac:dyDescent="0.25">
      <c r="E1173"/>
    </row>
    <row r="1174" spans="5:5" x14ac:dyDescent="0.25">
      <c r="E1174"/>
    </row>
    <row r="1175" spans="5:5" x14ac:dyDescent="0.25">
      <c r="E1175"/>
    </row>
    <row r="1176" spans="5:5" x14ac:dyDescent="0.25">
      <c r="E1176"/>
    </row>
    <row r="1177" spans="5:5" x14ac:dyDescent="0.25">
      <c r="E1177"/>
    </row>
    <row r="1178" spans="5:5" x14ac:dyDescent="0.25">
      <c r="E1178"/>
    </row>
    <row r="1179" spans="5:5" x14ac:dyDescent="0.25">
      <c r="E1179"/>
    </row>
    <row r="1180" spans="5:5" x14ac:dyDescent="0.25">
      <c r="E1180"/>
    </row>
    <row r="1181" spans="5:5" x14ac:dyDescent="0.25">
      <c r="E1181"/>
    </row>
    <row r="1182" spans="5:5" x14ac:dyDescent="0.25">
      <c r="E1182"/>
    </row>
    <row r="1183" spans="5:5" x14ac:dyDescent="0.25">
      <c r="E1183"/>
    </row>
    <row r="1184" spans="5:5" x14ac:dyDescent="0.25">
      <c r="E1184"/>
    </row>
    <row r="1185" spans="5:5" x14ac:dyDescent="0.25">
      <c r="E1185"/>
    </row>
    <row r="1186" spans="5:5" x14ac:dyDescent="0.25">
      <c r="E1186"/>
    </row>
    <row r="1187" spans="5:5" x14ac:dyDescent="0.25">
      <c r="E1187"/>
    </row>
    <row r="1188" spans="5:5" x14ac:dyDescent="0.25">
      <c r="E1188"/>
    </row>
    <row r="1189" spans="5:5" x14ac:dyDescent="0.25">
      <c r="E1189"/>
    </row>
    <row r="1190" spans="5:5" x14ac:dyDescent="0.25">
      <c r="E1190"/>
    </row>
    <row r="1191" spans="5:5" x14ac:dyDescent="0.25">
      <c r="E1191"/>
    </row>
    <row r="1192" spans="5:5" x14ac:dyDescent="0.25">
      <c r="E1192"/>
    </row>
    <row r="1193" spans="5:5" x14ac:dyDescent="0.25">
      <c r="E1193"/>
    </row>
    <row r="1194" spans="5:5" x14ac:dyDescent="0.25">
      <c r="E1194"/>
    </row>
    <row r="1195" spans="5:5" x14ac:dyDescent="0.25">
      <c r="E1195"/>
    </row>
    <row r="1196" spans="5:5" x14ac:dyDescent="0.25">
      <c r="E1196"/>
    </row>
    <row r="1197" spans="5:5" x14ac:dyDescent="0.25">
      <c r="E1197"/>
    </row>
    <row r="1198" spans="5:5" x14ac:dyDescent="0.25">
      <c r="E1198"/>
    </row>
    <row r="1199" spans="5:5" x14ac:dyDescent="0.25">
      <c r="E1199"/>
    </row>
    <row r="1200" spans="5:5" x14ac:dyDescent="0.25">
      <c r="E1200"/>
    </row>
    <row r="1201" spans="5:5" x14ac:dyDescent="0.25">
      <c r="E1201"/>
    </row>
    <row r="1202" spans="5:5" x14ac:dyDescent="0.25">
      <c r="E1202"/>
    </row>
    <row r="1203" spans="5:5" x14ac:dyDescent="0.25">
      <c r="E1203"/>
    </row>
    <row r="1204" spans="5:5" x14ac:dyDescent="0.25">
      <c r="E1204"/>
    </row>
    <row r="1205" spans="5:5" x14ac:dyDescent="0.25">
      <c r="E1205"/>
    </row>
    <row r="1206" spans="5:5" x14ac:dyDescent="0.25">
      <c r="E1206"/>
    </row>
    <row r="1207" spans="5:5" x14ac:dyDescent="0.25">
      <c r="E1207"/>
    </row>
    <row r="1208" spans="5:5" x14ac:dyDescent="0.25">
      <c r="E1208"/>
    </row>
    <row r="1209" spans="5:5" x14ac:dyDescent="0.25">
      <c r="E1209"/>
    </row>
    <row r="1210" spans="5:5" x14ac:dyDescent="0.25">
      <c r="E1210"/>
    </row>
    <row r="1211" spans="5:5" x14ac:dyDescent="0.25">
      <c r="E1211"/>
    </row>
    <row r="1212" spans="5:5" x14ac:dyDescent="0.25">
      <c r="E1212"/>
    </row>
    <row r="1213" spans="5:5" x14ac:dyDescent="0.25">
      <c r="E1213"/>
    </row>
    <row r="1214" spans="5:5" x14ac:dyDescent="0.25">
      <c r="E1214"/>
    </row>
    <row r="1215" spans="5:5" x14ac:dyDescent="0.25">
      <c r="E1215"/>
    </row>
    <row r="1216" spans="5:5" x14ac:dyDescent="0.25">
      <c r="E1216"/>
    </row>
    <row r="1217" spans="5:5" x14ac:dyDescent="0.25">
      <c r="E1217"/>
    </row>
    <row r="1218" spans="5:5" x14ac:dyDescent="0.25">
      <c r="E1218"/>
    </row>
    <row r="1219" spans="5:5" x14ac:dyDescent="0.25">
      <c r="E1219"/>
    </row>
    <row r="1220" spans="5:5" x14ac:dyDescent="0.25">
      <c r="E1220"/>
    </row>
    <row r="1221" spans="5:5" x14ac:dyDescent="0.25">
      <c r="E1221"/>
    </row>
    <row r="1222" spans="5:5" x14ac:dyDescent="0.25">
      <c r="E1222"/>
    </row>
    <row r="1223" spans="5:5" x14ac:dyDescent="0.25">
      <c r="E1223"/>
    </row>
    <row r="1224" spans="5:5" x14ac:dyDescent="0.25">
      <c r="E1224"/>
    </row>
    <row r="1225" spans="5:5" x14ac:dyDescent="0.25">
      <c r="E1225"/>
    </row>
    <row r="1226" spans="5:5" x14ac:dyDescent="0.25">
      <c r="E1226"/>
    </row>
    <row r="1227" spans="5:5" x14ac:dyDescent="0.25">
      <c r="E1227"/>
    </row>
    <row r="1228" spans="5:5" x14ac:dyDescent="0.25">
      <c r="E1228"/>
    </row>
    <row r="1229" spans="5:5" x14ac:dyDescent="0.25">
      <c r="E1229"/>
    </row>
    <row r="1230" spans="5:5" x14ac:dyDescent="0.25">
      <c r="E1230"/>
    </row>
    <row r="1231" spans="5:5" x14ac:dyDescent="0.25">
      <c r="E1231"/>
    </row>
    <row r="1232" spans="5:5" x14ac:dyDescent="0.25">
      <c r="E1232"/>
    </row>
    <row r="1233" spans="5:5" x14ac:dyDescent="0.25">
      <c r="E1233"/>
    </row>
    <row r="1234" spans="5:5" x14ac:dyDescent="0.25">
      <c r="E1234"/>
    </row>
    <row r="1235" spans="5:5" x14ac:dyDescent="0.25">
      <c r="E1235"/>
    </row>
    <row r="1236" spans="5:5" x14ac:dyDescent="0.25">
      <c r="E1236"/>
    </row>
    <row r="1237" spans="5:5" x14ac:dyDescent="0.25">
      <c r="E1237"/>
    </row>
    <row r="1238" spans="5:5" x14ac:dyDescent="0.25">
      <c r="E1238"/>
    </row>
    <row r="1239" spans="5:5" x14ac:dyDescent="0.25">
      <c r="E1239"/>
    </row>
    <row r="1240" spans="5:5" x14ac:dyDescent="0.25">
      <c r="E1240"/>
    </row>
    <row r="1241" spans="5:5" x14ac:dyDescent="0.25">
      <c r="E1241"/>
    </row>
    <row r="1242" spans="5:5" x14ac:dyDescent="0.25">
      <c r="E1242"/>
    </row>
    <row r="1243" spans="5:5" x14ac:dyDescent="0.25">
      <c r="E1243"/>
    </row>
    <row r="1244" spans="5:5" x14ac:dyDescent="0.25">
      <c r="E1244"/>
    </row>
    <row r="1245" spans="5:5" x14ac:dyDescent="0.25">
      <c r="E1245"/>
    </row>
    <row r="1246" spans="5:5" x14ac:dyDescent="0.25">
      <c r="E1246"/>
    </row>
    <row r="1247" spans="5:5" x14ac:dyDescent="0.25">
      <c r="E1247"/>
    </row>
    <row r="1248" spans="5:5" x14ac:dyDescent="0.25">
      <c r="E1248"/>
    </row>
    <row r="1249" spans="5:5" x14ac:dyDescent="0.25">
      <c r="E1249"/>
    </row>
    <row r="1250" spans="5:5" x14ac:dyDescent="0.25">
      <c r="E1250"/>
    </row>
    <row r="1251" spans="5:5" x14ac:dyDescent="0.25">
      <c r="E1251"/>
    </row>
    <row r="1252" spans="5:5" x14ac:dyDescent="0.25">
      <c r="E1252"/>
    </row>
    <row r="1253" spans="5:5" x14ac:dyDescent="0.25">
      <c r="E1253"/>
    </row>
    <row r="1254" spans="5:5" x14ac:dyDescent="0.25">
      <c r="E1254"/>
    </row>
    <row r="1255" spans="5:5" x14ac:dyDescent="0.25">
      <c r="E1255"/>
    </row>
    <row r="1256" spans="5:5" x14ac:dyDescent="0.25">
      <c r="E1256"/>
    </row>
    <row r="1257" spans="5:5" x14ac:dyDescent="0.25">
      <c r="E1257"/>
    </row>
    <row r="1258" spans="5:5" x14ac:dyDescent="0.25">
      <c r="E1258"/>
    </row>
    <row r="1259" spans="5:5" x14ac:dyDescent="0.25">
      <c r="E1259"/>
    </row>
    <row r="1260" spans="5:5" x14ac:dyDescent="0.25">
      <c r="E1260"/>
    </row>
    <row r="1261" spans="5:5" x14ac:dyDescent="0.25">
      <c r="E1261"/>
    </row>
    <row r="1262" spans="5:5" x14ac:dyDescent="0.25">
      <c r="E1262"/>
    </row>
    <row r="1263" spans="5:5" x14ac:dyDescent="0.25">
      <c r="E1263"/>
    </row>
    <row r="1264" spans="5:5" x14ac:dyDescent="0.25">
      <c r="E1264"/>
    </row>
    <row r="1265" spans="5:5" x14ac:dyDescent="0.25">
      <c r="E1265"/>
    </row>
    <row r="1266" spans="5:5" x14ac:dyDescent="0.25">
      <c r="E1266"/>
    </row>
    <row r="1267" spans="5:5" x14ac:dyDescent="0.25">
      <c r="E1267"/>
    </row>
    <row r="1268" spans="5:5" x14ac:dyDescent="0.25">
      <c r="E1268"/>
    </row>
    <row r="1269" spans="5:5" x14ac:dyDescent="0.25">
      <c r="E1269"/>
    </row>
    <row r="1270" spans="5:5" x14ac:dyDescent="0.25">
      <c r="E1270"/>
    </row>
    <row r="1271" spans="5:5" x14ac:dyDescent="0.25">
      <c r="E1271"/>
    </row>
    <row r="1272" spans="5:5" x14ac:dyDescent="0.25">
      <c r="E1272"/>
    </row>
    <row r="1273" spans="5:5" x14ac:dyDescent="0.25">
      <c r="E1273"/>
    </row>
    <row r="1274" spans="5:5" x14ac:dyDescent="0.25">
      <c r="E1274"/>
    </row>
    <row r="1275" spans="5:5" x14ac:dyDescent="0.25">
      <c r="E1275"/>
    </row>
    <row r="1276" spans="5:5" x14ac:dyDescent="0.25">
      <c r="E1276"/>
    </row>
    <row r="1277" spans="5:5" x14ac:dyDescent="0.25">
      <c r="E1277"/>
    </row>
    <row r="1278" spans="5:5" x14ac:dyDescent="0.25">
      <c r="E1278"/>
    </row>
    <row r="1279" spans="5:5" x14ac:dyDescent="0.25">
      <c r="E1279"/>
    </row>
    <row r="1280" spans="5:5" x14ac:dyDescent="0.25">
      <c r="E1280"/>
    </row>
    <row r="1281" spans="5:5" x14ac:dyDescent="0.25">
      <c r="E1281"/>
    </row>
    <row r="1282" spans="5:5" x14ac:dyDescent="0.25">
      <c r="E1282"/>
    </row>
    <row r="1283" spans="5:5" x14ac:dyDescent="0.25">
      <c r="E1283"/>
    </row>
    <row r="1284" spans="5:5" x14ac:dyDescent="0.25">
      <c r="E1284"/>
    </row>
    <row r="1285" spans="5:5" x14ac:dyDescent="0.25">
      <c r="E1285"/>
    </row>
    <row r="1286" spans="5:5" x14ac:dyDescent="0.25">
      <c r="E1286"/>
    </row>
    <row r="1287" spans="5:5" x14ac:dyDescent="0.25">
      <c r="E1287"/>
    </row>
    <row r="1288" spans="5:5" x14ac:dyDescent="0.25">
      <c r="E1288"/>
    </row>
    <row r="1289" spans="5:5" x14ac:dyDescent="0.25">
      <c r="E1289"/>
    </row>
    <row r="1290" spans="5:5" x14ac:dyDescent="0.25">
      <c r="E1290"/>
    </row>
    <row r="1291" spans="5:5" x14ac:dyDescent="0.25">
      <c r="E1291"/>
    </row>
    <row r="1292" spans="5:5" x14ac:dyDescent="0.25">
      <c r="E1292"/>
    </row>
    <row r="1293" spans="5:5" x14ac:dyDescent="0.25">
      <c r="E1293"/>
    </row>
    <row r="1294" spans="5:5" x14ac:dyDescent="0.25">
      <c r="E1294"/>
    </row>
    <row r="1295" spans="5:5" x14ac:dyDescent="0.25">
      <c r="E1295"/>
    </row>
    <row r="1296" spans="5:5" x14ac:dyDescent="0.25">
      <c r="E1296"/>
    </row>
    <row r="1297" spans="5:5" x14ac:dyDescent="0.25">
      <c r="E1297"/>
    </row>
    <row r="1298" spans="5:5" x14ac:dyDescent="0.25">
      <c r="E1298"/>
    </row>
    <row r="1299" spans="5:5" x14ac:dyDescent="0.25">
      <c r="E1299"/>
    </row>
    <row r="1300" spans="5:5" x14ac:dyDescent="0.25">
      <c r="E1300"/>
    </row>
    <row r="1301" spans="5:5" x14ac:dyDescent="0.25">
      <c r="E1301"/>
    </row>
    <row r="1302" spans="5:5" x14ac:dyDescent="0.25">
      <c r="E1302"/>
    </row>
    <row r="1303" spans="5:5" x14ac:dyDescent="0.25">
      <c r="E1303"/>
    </row>
    <row r="1304" spans="5:5" x14ac:dyDescent="0.25">
      <c r="E1304"/>
    </row>
    <row r="1305" spans="5:5" x14ac:dyDescent="0.25">
      <c r="E1305"/>
    </row>
    <row r="1306" spans="5:5" x14ac:dyDescent="0.25">
      <c r="E1306"/>
    </row>
    <row r="1307" spans="5:5" x14ac:dyDescent="0.25">
      <c r="E1307"/>
    </row>
    <row r="1308" spans="5:5" x14ac:dyDescent="0.25">
      <c r="E1308"/>
    </row>
    <row r="1309" spans="5:5" x14ac:dyDescent="0.25">
      <c r="E1309"/>
    </row>
    <row r="1310" spans="5:5" x14ac:dyDescent="0.25">
      <c r="E1310"/>
    </row>
    <row r="1311" spans="5:5" x14ac:dyDescent="0.25">
      <c r="E1311"/>
    </row>
    <row r="1312" spans="5:5" x14ac:dyDescent="0.25">
      <c r="E1312"/>
    </row>
    <row r="1313" spans="5:5" x14ac:dyDescent="0.25">
      <c r="E1313"/>
    </row>
    <row r="1314" spans="5:5" x14ac:dyDescent="0.25">
      <c r="E1314"/>
    </row>
    <row r="1315" spans="5:5" x14ac:dyDescent="0.25">
      <c r="E1315"/>
    </row>
    <row r="1316" spans="5:5" x14ac:dyDescent="0.25">
      <c r="E1316"/>
    </row>
    <row r="1317" spans="5:5" x14ac:dyDescent="0.25">
      <c r="E1317"/>
    </row>
    <row r="1318" spans="5:5" x14ac:dyDescent="0.25">
      <c r="E1318"/>
    </row>
    <row r="1319" spans="5:5" x14ac:dyDescent="0.25">
      <c r="E1319"/>
    </row>
    <row r="1320" spans="5:5" x14ac:dyDescent="0.25">
      <c r="E1320"/>
    </row>
    <row r="1321" spans="5:5" x14ac:dyDescent="0.25">
      <c r="E1321"/>
    </row>
    <row r="1322" spans="5:5" x14ac:dyDescent="0.25">
      <c r="E1322"/>
    </row>
    <row r="1323" spans="5:5" x14ac:dyDescent="0.25">
      <c r="E1323"/>
    </row>
    <row r="1324" spans="5:5" x14ac:dyDescent="0.25">
      <c r="E1324"/>
    </row>
    <row r="1325" spans="5:5" x14ac:dyDescent="0.25">
      <c r="E1325"/>
    </row>
    <row r="1326" spans="5:5" x14ac:dyDescent="0.25">
      <c r="E1326"/>
    </row>
    <row r="1327" spans="5:5" x14ac:dyDescent="0.25">
      <c r="E1327"/>
    </row>
    <row r="1328" spans="5:5" x14ac:dyDescent="0.25">
      <c r="E1328"/>
    </row>
    <row r="1329" spans="5:5" x14ac:dyDescent="0.25">
      <c r="E1329"/>
    </row>
    <row r="1330" spans="5:5" x14ac:dyDescent="0.25">
      <c r="E1330"/>
    </row>
    <row r="1331" spans="5:5" x14ac:dyDescent="0.25">
      <c r="E1331"/>
    </row>
    <row r="1332" spans="5:5" x14ac:dyDescent="0.25">
      <c r="E1332"/>
    </row>
    <row r="1333" spans="5:5" x14ac:dyDescent="0.25">
      <c r="E1333"/>
    </row>
    <row r="1334" spans="5:5" x14ac:dyDescent="0.25">
      <c r="E1334"/>
    </row>
    <row r="1335" spans="5:5" x14ac:dyDescent="0.25">
      <c r="E1335"/>
    </row>
    <row r="1336" spans="5:5" x14ac:dyDescent="0.25">
      <c r="E1336"/>
    </row>
    <row r="1337" spans="5:5" x14ac:dyDescent="0.25">
      <c r="E1337"/>
    </row>
    <row r="1338" spans="5:5" x14ac:dyDescent="0.25">
      <c r="E1338"/>
    </row>
    <row r="1339" spans="5:5" x14ac:dyDescent="0.25">
      <c r="E1339"/>
    </row>
    <row r="1340" spans="5:5" x14ac:dyDescent="0.25">
      <c r="E1340"/>
    </row>
    <row r="1341" spans="5:5" x14ac:dyDescent="0.25">
      <c r="E1341"/>
    </row>
    <row r="1342" spans="5:5" x14ac:dyDescent="0.25">
      <c r="E1342"/>
    </row>
    <row r="1343" spans="5:5" x14ac:dyDescent="0.25">
      <c r="E1343"/>
    </row>
    <row r="1344" spans="5:5" x14ac:dyDescent="0.25">
      <c r="E1344"/>
    </row>
    <row r="1345" spans="5:5" x14ac:dyDescent="0.25">
      <c r="E1345"/>
    </row>
    <row r="1346" spans="5:5" x14ac:dyDescent="0.25">
      <c r="E1346"/>
    </row>
    <row r="1347" spans="5:5" x14ac:dyDescent="0.25">
      <c r="E1347"/>
    </row>
    <row r="1348" spans="5:5" x14ac:dyDescent="0.25">
      <c r="E1348"/>
    </row>
    <row r="1349" spans="5:5" x14ac:dyDescent="0.25">
      <c r="E1349"/>
    </row>
    <row r="1350" spans="5:5" x14ac:dyDescent="0.25">
      <c r="E1350"/>
    </row>
    <row r="1351" spans="5:5" x14ac:dyDescent="0.25">
      <c r="E1351"/>
    </row>
    <row r="1352" spans="5:5" x14ac:dyDescent="0.25">
      <c r="E1352"/>
    </row>
    <row r="1353" spans="5:5" x14ac:dyDescent="0.25">
      <c r="E1353"/>
    </row>
    <row r="1354" spans="5:5" x14ac:dyDescent="0.25">
      <c r="E1354"/>
    </row>
    <row r="1355" spans="5:5" x14ac:dyDescent="0.25">
      <c r="E1355"/>
    </row>
    <row r="1356" spans="5:5" x14ac:dyDescent="0.25">
      <c r="E1356"/>
    </row>
    <row r="1357" spans="5:5" x14ac:dyDescent="0.25">
      <c r="E1357"/>
    </row>
    <row r="1358" spans="5:5" x14ac:dyDescent="0.25">
      <c r="E1358"/>
    </row>
    <row r="1359" spans="5:5" x14ac:dyDescent="0.25">
      <c r="E1359"/>
    </row>
    <row r="1360" spans="5:5" x14ac:dyDescent="0.25">
      <c r="E1360"/>
    </row>
    <row r="1361" spans="5:5" x14ac:dyDescent="0.25">
      <c r="E1361"/>
    </row>
    <row r="1362" spans="5:5" x14ac:dyDescent="0.25">
      <c r="E1362"/>
    </row>
    <row r="1363" spans="5:5" x14ac:dyDescent="0.25">
      <c r="E1363"/>
    </row>
    <row r="1364" spans="5:5" x14ac:dyDescent="0.25">
      <c r="E1364"/>
    </row>
    <row r="1365" spans="5:5" x14ac:dyDescent="0.25">
      <c r="E1365"/>
    </row>
    <row r="1366" spans="5:5" x14ac:dyDescent="0.25">
      <c r="E1366"/>
    </row>
    <row r="1367" spans="5:5" x14ac:dyDescent="0.25">
      <c r="E1367"/>
    </row>
    <row r="1368" spans="5:5" x14ac:dyDescent="0.25">
      <c r="E1368"/>
    </row>
    <row r="1369" spans="5:5" x14ac:dyDescent="0.25">
      <c r="E1369"/>
    </row>
    <row r="1370" spans="5:5" x14ac:dyDescent="0.25">
      <c r="E1370"/>
    </row>
    <row r="1371" spans="5:5" x14ac:dyDescent="0.25">
      <c r="E1371"/>
    </row>
    <row r="1372" spans="5:5" x14ac:dyDescent="0.25">
      <c r="E1372"/>
    </row>
    <row r="1373" spans="5:5" x14ac:dyDescent="0.25">
      <c r="E1373"/>
    </row>
    <row r="1374" spans="5:5" x14ac:dyDescent="0.25">
      <c r="E1374"/>
    </row>
    <row r="1375" spans="5:5" x14ac:dyDescent="0.25">
      <c r="E1375"/>
    </row>
    <row r="1376" spans="5:5" x14ac:dyDescent="0.25">
      <c r="E1376"/>
    </row>
    <row r="1377" spans="5:5" x14ac:dyDescent="0.25">
      <c r="E1377"/>
    </row>
    <row r="1378" spans="5:5" x14ac:dyDescent="0.25">
      <c r="E1378"/>
    </row>
    <row r="1379" spans="5:5" x14ac:dyDescent="0.25">
      <c r="E1379"/>
    </row>
    <row r="1380" spans="5:5" x14ac:dyDescent="0.25">
      <c r="E1380"/>
    </row>
    <row r="1381" spans="5:5" x14ac:dyDescent="0.25">
      <c r="E1381"/>
    </row>
    <row r="1382" spans="5:5" x14ac:dyDescent="0.25">
      <c r="E1382"/>
    </row>
    <row r="1383" spans="5:5" x14ac:dyDescent="0.25">
      <c r="E1383"/>
    </row>
    <row r="1384" spans="5:5" x14ac:dyDescent="0.25">
      <c r="E1384"/>
    </row>
    <row r="1385" spans="5:5" x14ac:dyDescent="0.25">
      <c r="E1385"/>
    </row>
    <row r="1386" spans="5:5" x14ac:dyDescent="0.25">
      <c r="E1386"/>
    </row>
    <row r="1387" spans="5:5" x14ac:dyDescent="0.25">
      <c r="E1387"/>
    </row>
    <row r="1388" spans="5:5" x14ac:dyDescent="0.25">
      <c r="E1388"/>
    </row>
    <row r="1389" spans="5:5" x14ac:dyDescent="0.25">
      <c r="E1389"/>
    </row>
    <row r="1390" spans="5:5" x14ac:dyDescent="0.25">
      <c r="E1390"/>
    </row>
    <row r="1391" spans="5:5" x14ac:dyDescent="0.25">
      <c r="E1391"/>
    </row>
    <row r="1392" spans="5:5" x14ac:dyDescent="0.25">
      <c r="E1392"/>
    </row>
    <row r="1393" spans="5:5" x14ac:dyDescent="0.25">
      <c r="E1393"/>
    </row>
    <row r="1394" spans="5:5" x14ac:dyDescent="0.25">
      <c r="E1394"/>
    </row>
    <row r="1395" spans="5:5" x14ac:dyDescent="0.25">
      <c r="E1395"/>
    </row>
    <row r="1396" spans="5:5" x14ac:dyDescent="0.25">
      <c r="E1396"/>
    </row>
    <row r="1397" spans="5:5" x14ac:dyDescent="0.25">
      <c r="E1397"/>
    </row>
    <row r="1398" spans="5:5" x14ac:dyDescent="0.25">
      <c r="E1398"/>
    </row>
    <row r="1399" spans="5:5" x14ac:dyDescent="0.25">
      <c r="E1399"/>
    </row>
    <row r="1400" spans="5:5" x14ac:dyDescent="0.25">
      <c r="E1400"/>
    </row>
    <row r="1401" spans="5:5" x14ac:dyDescent="0.25">
      <c r="E1401"/>
    </row>
    <row r="1402" spans="5:5" x14ac:dyDescent="0.25">
      <c r="E1402"/>
    </row>
    <row r="1403" spans="5:5" x14ac:dyDescent="0.25">
      <c r="E1403"/>
    </row>
    <row r="1404" spans="5:5" x14ac:dyDescent="0.25">
      <c r="E1404"/>
    </row>
    <row r="1405" spans="5:5" x14ac:dyDescent="0.25">
      <c r="E1405"/>
    </row>
    <row r="1406" spans="5:5" x14ac:dyDescent="0.25">
      <c r="E1406"/>
    </row>
    <row r="1407" spans="5:5" x14ac:dyDescent="0.25">
      <c r="E1407"/>
    </row>
    <row r="1408" spans="5:5" x14ac:dyDescent="0.25">
      <c r="E1408"/>
    </row>
    <row r="1409" spans="5:5" x14ac:dyDescent="0.25">
      <c r="E1409"/>
    </row>
    <row r="1410" spans="5:5" x14ac:dyDescent="0.25">
      <c r="E1410"/>
    </row>
    <row r="1411" spans="5:5" x14ac:dyDescent="0.25">
      <c r="E1411"/>
    </row>
    <row r="1412" spans="5:5" x14ac:dyDescent="0.25">
      <c r="E1412"/>
    </row>
    <row r="1413" spans="5:5" x14ac:dyDescent="0.25">
      <c r="E1413"/>
    </row>
    <row r="1414" spans="5:5" x14ac:dyDescent="0.25">
      <c r="E1414"/>
    </row>
    <row r="1415" spans="5:5" x14ac:dyDescent="0.25">
      <c r="E1415"/>
    </row>
    <row r="1416" spans="5:5" x14ac:dyDescent="0.25">
      <c r="E1416"/>
    </row>
    <row r="1417" spans="5:5" x14ac:dyDescent="0.25">
      <c r="E1417"/>
    </row>
    <row r="1418" spans="5:5" x14ac:dyDescent="0.25">
      <c r="E1418"/>
    </row>
    <row r="1419" spans="5:5" x14ac:dyDescent="0.25">
      <c r="E1419"/>
    </row>
    <row r="1420" spans="5:5" x14ac:dyDescent="0.25">
      <c r="E1420"/>
    </row>
    <row r="1421" spans="5:5" x14ac:dyDescent="0.25">
      <c r="E1421"/>
    </row>
    <row r="1422" spans="5:5" x14ac:dyDescent="0.25">
      <c r="E1422"/>
    </row>
    <row r="1423" spans="5:5" x14ac:dyDescent="0.25">
      <c r="E1423"/>
    </row>
    <row r="1424" spans="5:5" x14ac:dyDescent="0.25">
      <c r="E1424"/>
    </row>
    <row r="1425" spans="5:5" x14ac:dyDescent="0.25">
      <c r="E1425"/>
    </row>
    <row r="1426" spans="5:5" x14ac:dyDescent="0.25">
      <c r="E1426"/>
    </row>
    <row r="1427" spans="5:5" x14ac:dyDescent="0.25">
      <c r="E1427"/>
    </row>
    <row r="1428" spans="5:5" x14ac:dyDescent="0.25">
      <c r="E1428"/>
    </row>
    <row r="1429" spans="5:5" x14ac:dyDescent="0.25">
      <c r="E1429"/>
    </row>
    <row r="1430" spans="5:5" x14ac:dyDescent="0.25">
      <c r="E1430"/>
    </row>
    <row r="1431" spans="5:5" x14ac:dyDescent="0.25">
      <c r="E1431"/>
    </row>
    <row r="1432" spans="5:5" x14ac:dyDescent="0.25">
      <c r="E1432"/>
    </row>
    <row r="1433" spans="5:5" x14ac:dyDescent="0.25">
      <c r="E1433"/>
    </row>
    <row r="1434" spans="5:5" x14ac:dyDescent="0.25">
      <c r="E1434"/>
    </row>
    <row r="1435" spans="5:5" x14ac:dyDescent="0.25">
      <c r="E1435"/>
    </row>
    <row r="1436" spans="5:5" x14ac:dyDescent="0.25">
      <c r="E1436"/>
    </row>
    <row r="1437" spans="5:5" x14ac:dyDescent="0.25">
      <c r="E1437"/>
    </row>
    <row r="1438" spans="5:5" x14ac:dyDescent="0.25">
      <c r="E1438"/>
    </row>
    <row r="1439" spans="5:5" x14ac:dyDescent="0.25">
      <c r="E1439"/>
    </row>
    <row r="1440" spans="5:5" x14ac:dyDescent="0.25">
      <c r="E1440"/>
    </row>
    <row r="1441" spans="5:5" x14ac:dyDescent="0.25">
      <c r="E1441"/>
    </row>
    <row r="1442" spans="5:5" x14ac:dyDescent="0.25">
      <c r="E1442"/>
    </row>
    <row r="1443" spans="5:5" x14ac:dyDescent="0.25">
      <c r="E1443"/>
    </row>
    <row r="1444" spans="5:5" x14ac:dyDescent="0.25">
      <c r="E1444"/>
    </row>
    <row r="1445" spans="5:5" x14ac:dyDescent="0.25">
      <c r="E1445"/>
    </row>
    <row r="1446" spans="5:5" x14ac:dyDescent="0.25">
      <c r="E1446"/>
    </row>
    <row r="1447" spans="5:5" x14ac:dyDescent="0.25">
      <c r="E1447"/>
    </row>
    <row r="1448" spans="5:5" x14ac:dyDescent="0.25">
      <c r="E1448"/>
    </row>
    <row r="1449" spans="5:5" x14ac:dyDescent="0.25">
      <c r="E1449"/>
    </row>
    <row r="1450" spans="5:5" x14ac:dyDescent="0.25">
      <c r="E1450"/>
    </row>
    <row r="1451" spans="5:5" x14ac:dyDescent="0.25">
      <c r="E1451"/>
    </row>
    <row r="1452" spans="5:5" x14ac:dyDescent="0.25">
      <c r="E1452"/>
    </row>
    <row r="1453" spans="5:5" x14ac:dyDescent="0.25">
      <c r="E1453"/>
    </row>
    <row r="1454" spans="5:5" x14ac:dyDescent="0.25">
      <c r="E1454"/>
    </row>
    <row r="1455" spans="5:5" x14ac:dyDescent="0.25">
      <c r="E1455"/>
    </row>
    <row r="1456" spans="5:5" x14ac:dyDescent="0.25">
      <c r="E1456"/>
    </row>
    <row r="1457" spans="5:5" x14ac:dyDescent="0.25">
      <c r="E1457"/>
    </row>
    <row r="1458" spans="5:5" x14ac:dyDescent="0.25">
      <c r="E1458"/>
    </row>
    <row r="1459" spans="5:5" x14ac:dyDescent="0.25">
      <c r="E1459"/>
    </row>
    <row r="1460" spans="5:5" x14ac:dyDescent="0.25">
      <c r="E1460"/>
    </row>
    <row r="1461" spans="5:5" x14ac:dyDescent="0.25">
      <c r="E1461"/>
    </row>
    <row r="1462" spans="5:5" x14ac:dyDescent="0.25">
      <c r="E1462"/>
    </row>
    <row r="1463" spans="5:5" x14ac:dyDescent="0.25">
      <c r="E1463"/>
    </row>
    <row r="1464" spans="5:5" x14ac:dyDescent="0.25">
      <c r="E1464"/>
    </row>
    <row r="1465" spans="5:5" x14ac:dyDescent="0.25">
      <c r="E1465"/>
    </row>
    <row r="1466" spans="5:5" x14ac:dyDescent="0.25">
      <c r="E1466"/>
    </row>
    <row r="1467" spans="5:5" x14ac:dyDescent="0.25">
      <c r="E1467"/>
    </row>
    <row r="1468" spans="5:5" x14ac:dyDescent="0.25">
      <c r="E1468"/>
    </row>
    <row r="1469" spans="5:5" x14ac:dyDescent="0.25">
      <c r="E1469"/>
    </row>
    <row r="1470" spans="5:5" x14ac:dyDescent="0.25">
      <c r="E1470"/>
    </row>
    <row r="1471" spans="5:5" x14ac:dyDescent="0.25">
      <c r="E1471"/>
    </row>
    <row r="1472" spans="5:5" x14ac:dyDescent="0.25">
      <c r="E1472"/>
    </row>
    <row r="1473" spans="5:5" x14ac:dyDescent="0.25">
      <c r="E1473"/>
    </row>
    <row r="1474" spans="5:5" x14ac:dyDescent="0.25">
      <c r="E1474"/>
    </row>
    <row r="1475" spans="5:5" x14ac:dyDescent="0.25">
      <c r="E1475"/>
    </row>
    <row r="1476" spans="5:5" x14ac:dyDescent="0.25">
      <c r="E1476"/>
    </row>
    <row r="1477" spans="5:5" x14ac:dyDescent="0.25">
      <c r="E1477"/>
    </row>
    <row r="1478" spans="5:5" x14ac:dyDescent="0.25">
      <c r="E1478"/>
    </row>
    <row r="1479" spans="5:5" x14ac:dyDescent="0.25">
      <c r="E1479"/>
    </row>
    <row r="1480" spans="5:5" x14ac:dyDescent="0.25">
      <c r="E1480"/>
    </row>
    <row r="1481" spans="5:5" x14ac:dyDescent="0.25">
      <c r="E1481"/>
    </row>
    <row r="1482" spans="5:5" x14ac:dyDescent="0.25">
      <c r="E1482"/>
    </row>
    <row r="1483" spans="5:5" x14ac:dyDescent="0.25">
      <c r="E1483"/>
    </row>
    <row r="1484" spans="5:5" x14ac:dyDescent="0.25">
      <c r="E1484"/>
    </row>
    <row r="1485" spans="5:5" x14ac:dyDescent="0.25">
      <c r="E1485"/>
    </row>
    <row r="1486" spans="5:5" x14ac:dyDescent="0.25">
      <c r="E1486"/>
    </row>
    <row r="1487" spans="5:5" x14ac:dyDescent="0.25">
      <c r="E1487"/>
    </row>
    <row r="1488" spans="5:5" x14ac:dyDescent="0.25">
      <c r="E1488"/>
    </row>
    <row r="1489" spans="5:5" x14ac:dyDescent="0.25">
      <c r="E1489"/>
    </row>
    <row r="1490" spans="5:5" x14ac:dyDescent="0.25">
      <c r="E1490"/>
    </row>
    <row r="1491" spans="5:5" x14ac:dyDescent="0.25">
      <c r="E1491"/>
    </row>
    <row r="1492" spans="5:5" x14ac:dyDescent="0.25">
      <c r="E1492"/>
    </row>
    <row r="1493" spans="5:5" x14ac:dyDescent="0.25">
      <c r="E1493"/>
    </row>
    <row r="1494" spans="5:5" x14ac:dyDescent="0.25">
      <c r="E1494"/>
    </row>
    <row r="1495" spans="5:5" x14ac:dyDescent="0.25">
      <c r="E1495"/>
    </row>
    <row r="1496" spans="5:5" x14ac:dyDescent="0.25">
      <c r="E1496"/>
    </row>
    <row r="1497" spans="5:5" x14ac:dyDescent="0.25">
      <c r="E1497"/>
    </row>
    <row r="1498" spans="5:5" x14ac:dyDescent="0.25">
      <c r="E1498"/>
    </row>
    <row r="1499" spans="5:5" x14ac:dyDescent="0.25">
      <c r="E1499"/>
    </row>
    <row r="1500" spans="5:5" x14ac:dyDescent="0.25">
      <c r="E1500"/>
    </row>
    <row r="1501" spans="5:5" x14ac:dyDescent="0.25">
      <c r="E1501"/>
    </row>
    <row r="1502" spans="5:5" x14ac:dyDescent="0.25">
      <c r="E1502"/>
    </row>
    <row r="1503" spans="5:5" x14ac:dyDescent="0.25">
      <c r="E1503"/>
    </row>
    <row r="1504" spans="5:5" x14ac:dyDescent="0.25">
      <c r="E1504"/>
    </row>
    <row r="1505" spans="5:5" x14ac:dyDescent="0.25">
      <c r="E1505"/>
    </row>
    <row r="1506" spans="5:5" x14ac:dyDescent="0.25">
      <c r="E1506"/>
    </row>
    <row r="1507" spans="5:5" x14ac:dyDescent="0.25">
      <c r="E1507"/>
    </row>
    <row r="1508" spans="5:5" x14ac:dyDescent="0.25">
      <c r="E1508"/>
    </row>
    <row r="1509" spans="5:5" x14ac:dyDescent="0.25">
      <c r="E1509"/>
    </row>
    <row r="1510" spans="5:5" x14ac:dyDescent="0.25">
      <c r="E1510"/>
    </row>
    <row r="1511" spans="5:5" x14ac:dyDescent="0.25">
      <c r="E1511"/>
    </row>
    <row r="1512" spans="5:5" x14ac:dyDescent="0.25">
      <c r="E1512"/>
    </row>
    <row r="1513" spans="5:5" x14ac:dyDescent="0.25">
      <c r="E1513"/>
    </row>
    <row r="1514" spans="5:5" x14ac:dyDescent="0.25">
      <c r="E1514"/>
    </row>
    <row r="1515" spans="5:5" x14ac:dyDescent="0.25">
      <c r="E1515"/>
    </row>
    <row r="1516" spans="5:5" x14ac:dyDescent="0.25">
      <c r="E1516"/>
    </row>
    <row r="1517" spans="5:5" x14ac:dyDescent="0.25">
      <c r="E1517"/>
    </row>
    <row r="1518" spans="5:5" x14ac:dyDescent="0.25">
      <c r="E1518"/>
    </row>
    <row r="1519" spans="5:5" x14ac:dyDescent="0.25">
      <c r="E1519"/>
    </row>
    <row r="1520" spans="5:5" x14ac:dyDescent="0.25">
      <c r="E1520"/>
    </row>
    <row r="1521" spans="5:5" x14ac:dyDescent="0.25">
      <c r="E1521"/>
    </row>
    <row r="1522" spans="5:5" x14ac:dyDescent="0.25">
      <c r="E1522"/>
    </row>
    <row r="1523" spans="5:5" x14ac:dyDescent="0.25">
      <c r="E1523"/>
    </row>
    <row r="1524" spans="5:5" x14ac:dyDescent="0.25">
      <c r="E1524"/>
    </row>
    <row r="1525" spans="5:5" x14ac:dyDescent="0.25">
      <c r="E1525"/>
    </row>
    <row r="1526" spans="5:5" x14ac:dyDescent="0.25">
      <c r="E1526"/>
    </row>
    <row r="1527" spans="5:5" x14ac:dyDescent="0.25">
      <c r="E1527"/>
    </row>
    <row r="1528" spans="5:5" x14ac:dyDescent="0.25">
      <c r="E1528"/>
    </row>
    <row r="1529" spans="5:5" x14ac:dyDescent="0.25">
      <c r="E1529"/>
    </row>
    <row r="1530" spans="5:5" x14ac:dyDescent="0.25">
      <c r="E1530"/>
    </row>
    <row r="1531" spans="5:5" x14ac:dyDescent="0.25">
      <c r="E1531"/>
    </row>
    <row r="1532" spans="5:5" x14ac:dyDescent="0.25">
      <c r="E1532"/>
    </row>
    <row r="1533" spans="5:5" x14ac:dyDescent="0.25">
      <c r="E1533"/>
    </row>
    <row r="1534" spans="5:5" x14ac:dyDescent="0.25">
      <c r="E1534"/>
    </row>
    <row r="1535" spans="5:5" x14ac:dyDescent="0.25">
      <c r="E1535"/>
    </row>
    <row r="1536" spans="5:5" x14ac:dyDescent="0.25">
      <c r="E1536"/>
    </row>
    <row r="1537" spans="5:5" x14ac:dyDescent="0.25">
      <c r="E1537"/>
    </row>
    <row r="1538" spans="5:5" x14ac:dyDescent="0.25">
      <c r="E1538"/>
    </row>
    <row r="1539" spans="5:5" x14ac:dyDescent="0.25">
      <c r="E1539"/>
    </row>
    <row r="1540" spans="5:5" x14ac:dyDescent="0.25">
      <c r="E1540"/>
    </row>
    <row r="1541" spans="5:5" x14ac:dyDescent="0.25">
      <c r="E1541"/>
    </row>
    <row r="1542" spans="5:5" x14ac:dyDescent="0.25">
      <c r="E1542"/>
    </row>
    <row r="1543" spans="5:5" x14ac:dyDescent="0.25">
      <c r="E1543"/>
    </row>
    <row r="1544" spans="5:5" x14ac:dyDescent="0.25">
      <c r="E1544"/>
    </row>
    <row r="1545" spans="5:5" x14ac:dyDescent="0.25">
      <c r="E1545"/>
    </row>
    <row r="1546" spans="5:5" x14ac:dyDescent="0.25">
      <c r="E1546"/>
    </row>
    <row r="1547" spans="5:5" x14ac:dyDescent="0.25">
      <c r="E1547"/>
    </row>
    <row r="1548" spans="5:5" x14ac:dyDescent="0.25">
      <c r="E1548"/>
    </row>
    <row r="1549" spans="5:5" x14ac:dyDescent="0.25">
      <c r="E1549"/>
    </row>
    <row r="1550" spans="5:5" x14ac:dyDescent="0.25">
      <c r="E1550"/>
    </row>
    <row r="1551" spans="5:5" x14ac:dyDescent="0.25">
      <c r="E1551"/>
    </row>
    <row r="1552" spans="5:5" x14ac:dyDescent="0.25">
      <c r="E1552"/>
    </row>
    <row r="1553" spans="5:5" x14ac:dyDescent="0.25">
      <c r="E1553"/>
    </row>
    <row r="1554" spans="5:5" x14ac:dyDescent="0.25">
      <c r="E1554"/>
    </row>
    <row r="1555" spans="5:5" x14ac:dyDescent="0.25">
      <c r="E1555"/>
    </row>
    <row r="1556" spans="5:5" x14ac:dyDescent="0.25">
      <c r="E1556"/>
    </row>
    <row r="1557" spans="5:5" x14ac:dyDescent="0.25">
      <c r="E1557"/>
    </row>
    <row r="1558" spans="5:5" x14ac:dyDescent="0.25">
      <c r="E1558"/>
    </row>
    <row r="1559" spans="5:5" x14ac:dyDescent="0.25">
      <c r="E1559"/>
    </row>
    <row r="1560" spans="5:5" x14ac:dyDescent="0.25">
      <c r="E1560"/>
    </row>
    <row r="1561" spans="5:5" x14ac:dyDescent="0.25">
      <c r="E1561"/>
    </row>
    <row r="1562" spans="5:5" x14ac:dyDescent="0.25">
      <c r="E1562"/>
    </row>
    <row r="1563" spans="5:5" x14ac:dyDescent="0.25">
      <c r="E1563"/>
    </row>
    <row r="1564" spans="5:5" x14ac:dyDescent="0.25">
      <c r="E1564"/>
    </row>
    <row r="1565" spans="5:5" x14ac:dyDescent="0.25">
      <c r="E1565"/>
    </row>
    <row r="1566" spans="5:5" x14ac:dyDescent="0.25">
      <c r="E1566"/>
    </row>
    <row r="1567" spans="5:5" x14ac:dyDescent="0.25">
      <c r="E1567"/>
    </row>
    <row r="1568" spans="5:5" x14ac:dyDescent="0.25">
      <c r="E1568"/>
    </row>
    <row r="1569" spans="5:5" x14ac:dyDescent="0.25">
      <c r="E1569"/>
    </row>
    <row r="1570" spans="5:5" x14ac:dyDescent="0.25">
      <c r="E1570"/>
    </row>
    <row r="1571" spans="5:5" x14ac:dyDescent="0.25">
      <c r="E1571"/>
    </row>
    <row r="1572" spans="5:5" x14ac:dyDescent="0.25">
      <c r="E1572"/>
    </row>
    <row r="1573" spans="5:5" x14ac:dyDescent="0.25">
      <c r="E1573"/>
    </row>
    <row r="1574" spans="5:5" x14ac:dyDescent="0.25">
      <c r="E1574"/>
    </row>
    <row r="1575" spans="5:5" x14ac:dyDescent="0.25">
      <c r="E1575"/>
    </row>
    <row r="1576" spans="5:5" x14ac:dyDescent="0.25">
      <c r="E1576"/>
    </row>
    <row r="1577" spans="5:5" x14ac:dyDescent="0.25">
      <c r="E1577"/>
    </row>
    <row r="1578" spans="5:5" x14ac:dyDescent="0.25">
      <c r="E1578"/>
    </row>
    <row r="1579" spans="5:5" x14ac:dyDescent="0.25">
      <c r="E1579"/>
    </row>
    <row r="1580" spans="5:5" x14ac:dyDescent="0.25">
      <c r="E1580"/>
    </row>
    <row r="1581" spans="5:5" x14ac:dyDescent="0.25">
      <c r="E1581"/>
    </row>
    <row r="1582" spans="5:5" x14ac:dyDescent="0.25">
      <c r="E1582"/>
    </row>
    <row r="1583" spans="5:5" x14ac:dyDescent="0.25">
      <c r="E1583"/>
    </row>
    <row r="1584" spans="5:5" x14ac:dyDescent="0.25">
      <c r="E1584"/>
    </row>
    <row r="1585" spans="5:5" x14ac:dyDescent="0.25">
      <c r="E1585"/>
    </row>
    <row r="1586" spans="5:5" x14ac:dyDescent="0.25">
      <c r="E1586"/>
    </row>
    <row r="1587" spans="5:5" x14ac:dyDescent="0.25">
      <c r="E1587"/>
    </row>
    <row r="1588" spans="5:5" x14ac:dyDescent="0.25">
      <c r="E1588"/>
    </row>
    <row r="1589" spans="5:5" x14ac:dyDescent="0.25">
      <c r="E1589"/>
    </row>
    <row r="1590" spans="5:5" x14ac:dyDescent="0.25">
      <c r="E1590"/>
    </row>
    <row r="1591" spans="5:5" x14ac:dyDescent="0.25">
      <c r="E1591"/>
    </row>
    <row r="1592" spans="5:5" x14ac:dyDescent="0.25">
      <c r="E1592"/>
    </row>
    <row r="1593" spans="5:5" x14ac:dyDescent="0.25">
      <c r="E1593"/>
    </row>
    <row r="1594" spans="5:5" x14ac:dyDescent="0.25">
      <c r="E1594"/>
    </row>
    <row r="1595" spans="5:5" x14ac:dyDescent="0.25">
      <c r="E1595"/>
    </row>
    <row r="1596" spans="5:5" x14ac:dyDescent="0.25">
      <c r="E1596"/>
    </row>
    <row r="1597" spans="5:5" x14ac:dyDescent="0.25">
      <c r="E1597"/>
    </row>
    <row r="1598" spans="5:5" x14ac:dyDescent="0.25">
      <c r="E1598"/>
    </row>
    <row r="1599" spans="5:5" x14ac:dyDescent="0.25">
      <c r="E1599"/>
    </row>
    <row r="1600" spans="5:5" x14ac:dyDescent="0.25">
      <c r="E1600"/>
    </row>
    <row r="1601" spans="5:5" x14ac:dyDescent="0.25">
      <c r="E1601"/>
    </row>
    <row r="1602" spans="5:5" x14ac:dyDescent="0.25">
      <c r="E1602"/>
    </row>
    <row r="1603" spans="5:5" x14ac:dyDescent="0.25">
      <c r="E1603"/>
    </row>
    <row r="1604" spans="5:5" x14ac:dyDescent="0.25">
      <c r="E1604"/>
    </row>
    <row r="1605" spans="5:5" x14ac:dyDescent="0.25">
      <c r="E1605"/>
    </row>
    <row r="1606" spans="5:5" x14ac:dyDescent="0.25">
      <c r="E1606"/>
    </row>
    <row r="1607" spans="5:5" x14ac:dyDescent="0.25">
      <c r="E1607"/>
    </row>
    <row r="1608" spans="5:5" x14ac:dyDescent="0.25">
      <c r="E1608"/>
    </row>
    <row r="1609" spans="5:5" x14ac:dyDescent="0.25">
      <c r="E1609"/>
    </row>
    <row r="1610" spans="5:5" x14ac:dyDescent="0.25">
      <c r="E1610"/>
    </row>
    <row r="1611" spans="5:5" x14ac:dyDescent="0.25">
      <c r="E1611"/>
    </row>
    <row r="1612" spans="5:5" x14ac:dyDescent="0.25">
      <c r="E1612"/>
    </row>
    <row r="1613" spans="5:5" x14ac:dyDescent="0.25">
      <c r="E1613"/>
    </row>
    <row r="1614" spans="5:5" x14ac:dyDescent="0.25">
      <c r="E1614"/>
    </row>
    <row r="1615" spans="5:5" x14ac:dyDescent="0.25">
      <c r="E1615"/>
    </row>
    <row r="1616" spans="5:5" x14ac:dyDescent="0.25">
      <c r="E1616"/>
    </row>
    <row r="1617" spans="5:5" x14ac:dyDescent="0.25">
      <c r="E1617"/>
    </row>
    <row r="1618" spans="5:5" x14ac:dyDescent="0.25">
      <c r="E1618"/>
    </row>
    <row r="1619" spans="5:5" x14ac:dyDescent="0.25">
      <c r="E1619"/>
    </row>
    <row r="1620" spans="5:5" x14ac:dyDescent="0.25">
      <c r="E1620"/>
    </row>
    <row r="1621" spans="5:5" x14ac:dyDescent="0.25">
      <c r="E1621"/>
    </row>
    <row r="1622" spans="5:5" x14ac:dyDescent="0.25">
      <c r="E1622"/>
    </row>
    <row r="1623" spans="5:5" x14ac:dyDescent="0.25">
      <c r="E1623"/>
    </row>
    <row r="1624" spans="5:5" x14ac:dyDescent="0.25">
      <c r="E1624"/>
    </row>
    <row r="1625" spans="5:5" x14ac:dyDescent="0.25">
      <c r="E1625"/>
    </row>
    <row r="1626" spans="5:5" x14ac:dyDescent="0.25">
      <c r="E1626"/>
    </row>
    <row r="1627" spans="5:5" x14ac:dyDescent="0.25">
      <c r="E1627"/>
    </row>
    <row r="1628" spans="5:5" x14ac:dyDescent="0.25">
      <c r="E1628"/>
    </row>
    <row r="1629" spans="5:5" x14ac:dyDescent="0.25">
      <c r="E1629"/>
    </row>
    <row r="1630" spans="5:5" x14ac:dyDescent="0.25">
      <c r="E1630"/>
    </row>
    <row r="1631" spans="5:5" x14ac:dyDescent="0.25">
      <c r="E1631"/>
    </row>
    <row r="1632" spans="5:5" x14ac:dyDescent="0.25">
      <c r="E1632"/>
    </row>
    <row r="1633" spans="5:5" x14ac:dyDescent="0.25">
      <c r="E1633"/>
    </row>
    <row r="1634" spans="5:5" x14ac:dyDescent="0.25">
      <c r="E1634"/>
    </row>
    <row r="1635" spans="5:5" x14ac:dyDescent="0.25">
      <c r="E1635"/>
    </row>
    <row r="1636" spans="5:5" x14ac:dyDescent="0.25">
      <c r="E1636"/>
    </row>
    <row r="1637" spans="5:5" x14ac:dyDescent="0.25">
      <c r="E1637"/>
    </row>
    <row r="1638" spans="5:5" x14ac:dyDescent="0.25">
      <c r="E1638"/>
    </row>
    <row r="1639" spans="5:5" x14ac:dyDescent="0.25">
      <c r="E1639"/>
    </row>
    <row r="1640" spans="5:5" x14ac:dyDescent="0.25">
      <c r="E1640"/>
    </row>
    <row r="1641" spans="5:5" x14ac:dyDescent="0.25">
      <c r="E1641"/>
    </row>
    <row r="1642" spans="5:5" x14ac:dyDescent="0.25">
      <c r="E1642"/>
    </row>
    <row r="1643" spans="5:5" x14ac:dyDescent="0.25">
      <c r="E1643"/>
    </row>
    <row r="1644" spans="5:5" x14ac:dyDescent="0.25">
      <c r="E1644"/>
    </row>
    <row r="1645" spans="5:5" x14ac:dyDescent="0.25">
      <c r="E1645"/>
    </row>
    <row r="1646" spans="5:5" x14ac:dyDescent="0.25">
      <c r="E1646"/>
    </row>
    <row r="1647" spans="5:5" x14ac:dyDescent="0.25">
      <c r="E1647"/>
    </row>
    <row r="1648" spans="5:5" x14ac:dyDescent="0.25">
      <c r="E1648"/>
    </row>
    <row r="1649" spans="5:5" x14ac:dyDescent="0.25">
      <c r="E1649"/>
    </row>
    <row r="1650" spans="5:5" x14ac:dyDescent="0.25">
      <c r="E1650"/>
    </row>
    <row r="1651" spans="5:5" x14ac:dyDescent="0.25">
      <c r="E1651"/>
    </row>
    <row r="1652" spans="5:5" x14ac:dyDescent="0.25">
      <c r="E1652"/>
    </row>
    <row r="1653" spans="5:5" x14ac:dyDescent="0.25">
      <c r="E1653"/>
    </row>
    <row r="1654" spans="5:5" x14ac:dyDescent="0.25">
      <c r="E1654"/>
    </row>
    <row r="1655" spans="5:5" x14ac:dyDescent="0.25">
      <c r="E1655"/>
    </row>
    <row r="1656" spans="5:5" x14ac:dyDescent="0.25">
      <c r="E1656"/>
    </row>
    <row r="1657" spans="5:5" x14ac:dyDescent="0.25">
      <c r="E1657"/>
    </row>
    <row r="1658" spans="5:5" x14ac:dyDescent="0.25">
      <c r="E1658"/>
    </row>
    <row r="1659" spans="5:5" x14ac:dyDescent="0.25">
      <c r="E1659"/>
    </row>
    <row r="1660" spans="5:5" x14ac:dyDescent="0.25">
      <c r="E1660"/>
    </row>
    <row r="1661" spans="5:5" x14ac:dyDescent="0.25">
      <c r="E1661"/>
    </row>
    <row r="1662" spans="5:5" x14ac:dyDescent="0.25">
      <c r="E1662"/>
    </row>
    <row r="1663" spans="5:5" x14ac:dyDescent="0.25">
      <c r="E1663"/>
    </row>
    <row r="1664" spans="5:5" x14ac:dyDescent="0.25">
      <c r="E1664"/>
    </row>
    <row r="1665" spans="5:5" x14ac:dyDescent="0.25">
      <c r="E1665"/>
    </row>
    <row r="1666" spans="5:5" x14ac:dyDescent="0.25">
      <c r="E1666"/>
    </row>
    <row r="1667" spans="5:5" x14ac:dyDescent="0.25">
      <c r="E1667"/>
    </row>
    <row r="1668" spans="5:5" x14ac:dyDescent="0.25">
      <c r="E1668"/>
    </row>
    <row r="1669" spans="5:5" x14ac:dyDescent="0.25">
      <c r="E1669"/>
    </row>
    <row r="1670" spans="5:5" x14ac:dyDescent="0.25">
      <c r="E1670"/>
    </row>
    <row r="1671" spans="5:5" x14ac:dyDescent="0.25">
      <c r="E1671"/>
    </row>
    <row r="1672" spans="5:5" x14ac:dyDescent="0.25">
      <c r="E1672"/>
    </row>
    <row r="1673" spans="5:5" x14ac:dyDescent="0.25">
      <c r="E1673"/>
    </row>
    <row r="1674" spans="5:5" x14ac:dyDescent="0.25">
      <c r="E1674"/>
    </row>
    <row r="1675" spans="5:5" x14ac:dyDescent="0.25">
      <c r="E1675"/>
    </row>
    <row r="1676" spans="5:5" x14ac:dyDescent="0.25">
      <c r="E1676"/>
    </row>
    <row r="1677" spans="5:5" x14ac:dyDescent="0.25">
      <c r="E1677"/>
    </row>
    <row r="1678" spans="5:5" x14ac:dyDescent="0.25">
      <c r="E1678"/>
    </row>
    <row r="1679" spans="5:5" x14ac:dyDescent="0.25">
      <c r="E1679"/>
    </row>
    <row r="1680" spans="5:5" x14ac:dyDescent="0.25">
      <c r="E1680"/>
    </row>
    <row r="1681" spans="5:5" x14ac:dyDescent="0.25">
      <c r="E1681"/>
    </row>
    <row r="1682" spans="5:5" x14ac:dyDescent="0.25">
      <c r="E1682"/>
    </row>
    <row r="1683" spans="5:5" x14ac:dyDescent="0.25">
      <c r="E1683"/>
    </row>
    <row r="1684" spans="5:5" x14ac:dyDescent="0.25">
      <c r="E1684"/>
    </row>
    <row r="1685" spans="5:5" x14ac:dyDescent="0.25">
      <c r="E1685"/>
    </row>
    <row r="1686" spans="5:5" x14ac:dyDescent="0.25">
      <c r="E1686"/>
    </row>
    <row r="1687" spans="5:5" x14ac:dyDescent="0.25">
      <c r="E1687"/>
    </row>
    <row r="1688" spans="5:5" x14ac:dyDescent="0.25">
      <c r="E1688"/>
    </row>
    <row r="1689" spans="5:5" x14ac:dyDescent="0.25">
      <c r="E1689"/>
    </row>
    <row r="1690" spans="5:5" x14ac:dyDescent="0.25">
      <c r="E1690"/>
    </row>
    <row r="1691" spans="5:5" x14ac:dyDescent="0.25">
      <c r="E1691"/>
    </row>
    <row r="1692" spans="5:5" x14ac:dyDescent="0.25">
      <c r="E1692"/>
    </row>
    <row r="1693" spans="5:5" x14ac:dyDescent="0.25">
      <c r="E1693"/>
    </row>
    <row r="1694" spans="5:5" x14ac:dyDescent="0.25">
      <c r="E1694"/>
    </row>
    <row r="1695" spans="5:5" x14ac:dyDescent="0.25">
      <c r="E1695"/>
    </row>
    <row r="1696" spans="5:5" x14ac:dyDescent="0.25">
      <c r="E1696"/>
    </row>
    <row r="1697" spans="5:5" x14ac:dyDescent="0.25">
      <c r="E1697"/>
    </row>
    <row r="1698" spans="5:5" x14ac:dyDescent="0.25">
      <c r="E1698"/>
    </row>
    <row r="1699" spans="5:5" x14ac:dyDescent="0.25">
      <c r="E1699"/>
    </row>
    <row r="1700" spans="5:5" x14ac:dyDescent="0.25">
      <c r="E1700"/>
    </row>
    <row r="1701" spans="5:5" x14ac:dyDescent="0.25">
      <c r="E1701"/>
    </row>
    <row r="1702" spans="5:5" x14ac:dyDescent="0.25">
      <c r="E1702"/>
    </row>
    <row r="1703" spans="5:5" x14ac:dyDescent="0.25">
      <c r="E1703"/>
    </row>
    <row r="1704" spans="5:5" x14ac:dyDescent="0.25">
      <c r="E1704"/>
    </row>
    <row r="1705" spans="5:5" x14ac:dyDescent="0.25">
      <c r="E1705"/>
    </row>
    <row r="1706" spans="5:5" x14ac:dyDescent="0.25">
      <c r="E1706"/>
    </row>
    <row r="1707" spans="5:5" x14ac:dyDescent="0.25">
      <c r="E1707"/>
    </row>
    <row r="1708" spans="5:5" x14ac:dyDescent="0.25">
      <c r="E1708"/>
    </row>
    <row r="1709" spans="5:5" x14ac:dyDescent="0.25">
      <c r="E1709"/>
    </row>
    <row r="1710" spans="5:5" x14ac:dyDescent="0.25">
      <c r="E1710"/>
    </row>
    <row r="1711" spans="5:5" x14ac:dyDescent="0.25">
      <c r="E1711"/>
    </row>
    <row r="1712" spans="5:5" x14ac:dyDescent="0.25">
      <c r="E1712"/>
    </row>
    <row r="1713" spans="5:5" x14ac:dyDescent="0.25">
      <c r="E1713"/>
    </row>
    <row r="1714" spans="5:5" x14ac:dyDescent="0.25">
      <c r="E1714"/>
    </row>
    <row r="1715" spans="5:5" x14ac:dyDescent="0.25">
      <c r="E1715"/>
    </row>
    <row r="1716" spans="5:5" x14ac:dyDescent="0.25">
      <c r="E1716"/>
    </row>
    <row r="1717" spans="5:5" x14ac:dyDescent="0.25">
      <c r="E1717"/>
    </row>
    <row r="1718" spans="5:5" x14ac:dyDescent="0.25">
      <c r="E1718"/>
    </row>
    <row r="1719" spans="5:5" x14ac:dyDescent="0.25">
      <c r="E1719"/>
    </row>
    <row r="1720" spans="5:5" x14ac:dyDescent="0.25">
      <c r="E1720"/>
    </row>
    <row r="1721" spans="5:5" x14ac:dyDescent="0.25">
      <c r="E1721"/>
    </row>
    <row r="1722" spans="5:5" x14ac:dyDescent="0.25">
      <c r="E1722"/>
    </row>
    <row r="1723" spans="5:5" x14ac:dyDescent="0.25">
      <c r="E1723"/>
    </row>
    <row r="1724" spans="5:5" x14ac:dyDescent="0.25">
      <c r="E1724"/>
    </row>
    <row r="1725" spans="5:5" x14ac:dyDescent="0.25">
      <c r="E1725"/>
    </row>
    <row r="1726" spans="5:5" x14ac:dyDescent="0.25">
      <c r="E1726"/>
    </row>
    <row r="1727" spans="5:5" x14ac:dyDescent="0.25">
      <c r="E1727"/>
    </row>
    <row r="1728" spans="5:5" x14ac:dyDescent="0.25">
      <c r="E1728"/>
    </row>
    <row r="1729" spans="5:5" x14ac:dyDescent="0.25">
      <c r="E1729"/>
    </row>
    <row r="1730" spans="5:5" x14ac:dyDescent="0.25">
      <c r="E1730"/>
    </row>
    <row r="1731" spans="5:5" x14ac:dyDescent="0.25">
      <c r="E1731"/>
    </row>
    <row r="1732" spans="5:5" x14ac:dyDescent="0.25">
      <c r="E1732"/>
    </row>
    <row r="1733" spans="5:5" x14ac:dyDescent="0.25">
      <c r="E1733"/>
    </row>
    <row r="1734" spans="5:5" x14ac:dyDescent="0.25">
      <c r="E1734"/>
    </row>
    <row r="1735" spans="5:5" x14ac:dyDescent="0.25">
      <c r="E1735"/>
    </row>
    <row r="1736" spans="5:5" x14ac:dyDescent="0.25">
      <c r="E1736"/>
    </row>
    <row r="1737" spans="5:5" x14ac:dyDescent="0.25">
      <c r="E1737"/>
    </row>
    <row r="1738" spans="5:5" x14ac:dyDescent="0.25">
      <c r="E1738"/>
    </row>
    <row r="1739" spans="5:5" x14ac:dyDescent="0.25">
      <c r="E1739"/>
    </row>
    <row r="1740" spans="5:5" x14ac:dyDescent="0.25">
      <c r="E1740"/>
    </row>
    <row r="1741" spans="5:5" x14ac:dyDescent="0.25">
      <c r="E1741"/>
    </row>
    <row r="1742" spans="5:5" x14ac:dyDescent="0.25">
      <c r="E1742"/>
    </row>
    <row r="1743" spans="5:5" x14ac:dyDescent="0.25">
      <c r="E1743"/>
    </row>
    <row r="1744" spans="5:5" x14ac:dyDescent="0.25">
      <c r="E1744"/>
    </row>
    <row r="1745" spans="5:5" x14ac:dyDescent="0.25">
      <c r="E1745"/>
    </row>
    <row r="1746" spans="5:5" x14ac:dyDescent="0.25">
      <c r="E1746"/>
    </row>
    <row r="1747" spans="5:5" x14ac:dyDescent="0.25">
      <c r="E1747"/>
    </row>
    <row r="1748" spans="5:5" x14ac:dyDescent="0.25">
      <c r="E1748"/>
    </row>
    <row r="1749" spans="5:5" x14ac:dyDescent="0.25">
      <c r="E1749"/>
    </row>
    <row r="1750" spans="5:5" x14ac:dyDescent="0.25">
      <c r="E1750"/>
    </row>
    <row r="1751" spans="5:5" x14ac:dyDescent="0.25">
      <c r="E1751"/>
    </row>
    <row r="1752" spans="5:5" x14ac:dyDescent="0.25">
      <c r="E1752"/>
    </row>
    <row r="1753" spans="5:5" x14ac:dyDescent="0.25">
      <c r="E1753"/>
    </row>
    <row r="1754" spans="5:5" x14ac:dyDescent="0.25">
      <c r="E1754"/>
    </row>
    <row r="1755" spans="5:5" x14ac:dyDescent="0.25">
      <c r="E1755"/>
    </row>
    <row r="1756" spans="5:5" x14ac:dyDescent="0.25">
      <c r="E1756"/>
    </row>
    <row r="1757" spans="5:5" x14ac:dyDescent="0.25">
      <c r="E1757"/>
    </row>
    <row r="1758" spans="5:5" x14ac:dyDescent="0.25">
      <c r="E1758"/>
    </row>
    <row r="1759" spans="5:5" x14ac:dyDescent="0.25">
      <c r="E1759"/>
    </row>
    <row r="1760" spans="5:5" x14ac:dyDescent="0.25">
      <c r="E1760"/>
    </row>
    <row r="1761" spans="5:5" x14ac:dyDescent="0.25">
      <c r="E1761"/>
    </row>
    <row r="1762" spans="5:5" x14ac:dyDescent="0.25">
      <c r="E1762"/>
    </row>
    <row r="1763" spans="5:5" x14ac:dyDescent="0.25">
      <c r="E1763"/>
    </row>
    <row r="1764" spans="5:5" x14ac:dyDescent="0.25">
      <c r="E1764"/>
    </row>
    <row r="1765" spans="5:5" x14ac:dyDescent="0.25">
      <c r="E1765"/>
    </row>
    <row r="1766" spans="5:5" x14ac:dyDescent="0.25">
      <c r="E1766"/>
    </row>
    <row r="1767" spans="5:5" x14ac:dyDescent="0.25">
      <c r="E1767"/>
    </row>
    <row r="1768" spans="5:5" x14ac:dyDescent="0.25">
      <c r="E1768"/>
    </row>
    <row r="1769" spans="5:5" x14ac:dyDescent="0.25">
      <c r="E1769"/>
    </row>
    <row r="1770" spans="5:5" x14ac:dyDescent="0.25">
      <c r="E1770"/>
    </row>
    <row r="1771" spans="5:5" x14ac:dyDescent="0.25">
      <c r="E1771"/>
    </row>
    <row r="1772" spans="5:5" x14ac:dyDescent="0.25">
      <c r="E1772"/>
    </row>
    <row r="1773" spans="5:5" x14ac:dyDescent="0.25">
      <c r="E1773"/>
    </row>
    <row r="1774" spans="5:5" x14ac:dyDescent="0.25">
      <c r="E1774"/>
    </row>
    <row r="1775" spans="5:5" x14ac:dyDescent="0.25">
      <c r="E1775"/>
    </row>
    <row r="1776" spans="5:5" x14ac:dyDescent="0.25">
      <c r="E1776"/>
    </row>
    <row r="1777" spans="5:5" x14ac:dyDescent="0.25">
      <c r="E1777"/>
    </row>
    <row r="1778" spans="5:5" x14ac:dyDescent="0.25">
      <c r="E1778"/>
    </row>
    <row r="1779" spans="5:5" x14ac:dyDescent="0.25">
      <c r="E1779"/>
    </row>
    <row r="1780" spans="5:5" x14ac:dyDescent="0.25">
      <c r="E1780"/>
    </row>
    <row r="1781" spans="5:5" x14ac:dyDescent="0.25">
      <c r="E1781"/>
    </row>
    <row r="1782" spans="5:5" x14ac:dyDescent="0.25">
      <c r="E1782"/>
    </row>
    <row r="1783" spans="5:5" x14ac:dyDescent="0.25">
      <c r="E1783"/>
    </row>
    <row r="1784" spans="5:5" x14ac:dyDescent="0.25">
      <c r="E1784"/>
    </row>
    <row r="1785" spans="5:5" x14ac:dyDescent="0.25">
      <c r="E1785"/>
    </row>
    <row r="1786" spans="5:5" x14ac:dyDescent="0.25">
      <c r="E1786"/>
    </row>
    <row r="1787" spans="5:5" x14ac:dyDescent="0.25">
      <c r="E1787"/>
    </row>
    <row r="1788" spans="5:5" x14ac:dyDescent="0.25">
      <c r="E1788"/>
    </row>
    <row r="1789" spans="5:5" x14ac:dyDescent="0.25">
      <c r="E1789"/>
    </row>
    <row r="1790" spans="5:5" x14ac:dyDescent="0.25">
      <c r="E1790"/>
    </row>
    <row r="1791" spans="5:5" x14ac:dyDescent="0.25">
      <c r="E1791"/>
    </row>
    <row r="1792" spans="5:5" x14ac:dyDescent="0.25">
      <c r="E1792"/>
    </row>
    <row r="1793" spans="5:5" x14ac:dyDescent="0.25">
      <c r="E1793"/>
    </row>
    <row r="1794" spans="5:5" x14ac:dyDescent="0.25">
      <c r="E1794"/>
    </row>
    <row r="1795" spans="5:5" x14ac:dyDescent="0.25">
      <c r="E1795"/>
    </row>
    <row r="1796" spans="5:5" x14ac:dyDescent="0.25">
      <c r="E1796"/>
    </row>
    <row r="1797" spans="5:5" x14ac:dyDescent="0.25">
      <c r="E1797"/>
    </row>
    <row r="1798" spans="5:5" x14ac:dyDescent="0.25">
      <c r="E1798"/>
    </row>
    <row r="1799" spans="5:5" x14ac:dyDescent="0.25">
      <c r="E1799"/>
    </row>
    <row r="1800" spans="5:5" x14ac:dyDescent="0.25">
      <c r="E1800"/>
    </row>
    <row r="1801" spans="5:5" x14ac:dyDescent="0.25">
      <c r="E1801"/>
    </row>
    <row r="1802" spans="5:5" x14ac:dyDescent="0.25">
      <c r="E1802"/>
    </row>
    <row r="1803" spans="5:5" x14ac:dyDescent="0.25">
      <c r="E1803"/>
    </row>
    <row r="1804" spans="5:5" x14ac:dyDescent="0.25">
      <c r="E1804"/>
    </row>
    <row r="1805" spans="5:5" x14ac:dyDescent="0.25">
      <c r="E1805"/>
    </row>
    <row r="1806" spans="5:5" x14ac:dyDescent="0.25">
      <c r="E1806"/>
    </row>
    <row r="1807" spans="5:5" x14ac:dyDescent="0.25">
      <c r="E1807"/>
    </row>
    <row r="1808" spans="5:5" x14ac:dyDescent="0.25">
      <c r="E1808"/>
    </row>
    <row r="1809" spans="5:5" x14ac:dyDescent="0.25">
      <c r="E1809"/>
    </row>
    <row r="1810" spans="5:5" x14ac:dyDescent="0.25">
      <c r="E1810"/>
    </row>
    <row r="1811" spans="5:5" x14ac:dyDescent="0.25">
      <c r="E1811"/>
    </row>
    <row r="1812" spans="5:5" x14ac:dyDescent="0.25">
      <c r="E1812"/>
    </row>
    <row r="1813" spans="5:5" x14ac:dyDescent="0.25">
      <c r="E1813"/>
    </row>
    <row r="1814" spans="5:5" x14ac:dyDescent="0.25">
      <c r="E1814"/>
    </row>
    <row r="1815" spans="5:5" x14ac:dyDescent="0.25">
      <c r="E1815"/>
    </row>
    <row r="1816" spans="5:5" x14ac:dyDescent="0.25">
      <c r="E1816"/>
    </row>
    <row r="1817" spans="5:5" x14ac:dyDescent="0.25">
      <c r="E1817"/>
    </row>
    <row r="1818" spans="5:5" x14ac:dyDescent="0.25">
      <c r="E1818"/>
    </row>
    <row r="1819" spans="5:5" x14ac:dyDescent="0.25">
      <c r="E1819"/>
    </row>
    <row r="1820" spans="5:5" x14ac:dyDescent="0.25">
      <c r="E1820"/>
    </row>
    <row r="1821" spans="5:5" x14ac:dyDescent="0.25">
      <c r="E1821"/>
    </row>
    <row r="1822" spans="5:5" x14ac:dyDescent="0.25">
      <c r="E1822"/>
    </row>
    <row r="1823" spans="5:5" x14ac:dyDescent="0.25">
      <c r="E1823"/>
    </row>
    <row r="1824" spans="5:5" x14ac:dyDescent="0.25">
      <c r="E1824"/>
    </row>
    <row r="1825" spans="5:5" x14ac:dyDescent="0.25">
      <c r="E1825"/>
    </row>
    <row r="1826" spans="5:5" x14ac:dyDescent="0.25">
      <c r="E1826"/>
    </row>
    <row r="1827" spans="5:5" x14ac:dyDescent="0.25">
      <c r="E1827"/>
    </row>
    <row r="1828" spans="5:5" x14ac:dyDescent="0.25">
      <c r="E1828"/>
    </row>
    <row r="1829" spans="5:5" x14ac:dyDescent="0.25">
      <c r="E1829"/>
    </row>
    <row r="1830" spans="5:5" x14ac:dyDescent="0.25">
      <c r="E1830"/>
    </row>
    <row r="1831" spans="5:5" x14ac:dyDescent="0.25">
      <c r="E1831"/>
    </row>
    <row r="1832" spans="5:5" x14ac:dyDescent="0.25">
      <c r="E1832"/>
    </row>
    <row r="1833" spans="5:5" x14ac:dyDescent="0.25">
      <c r="E1833"/>
    </row>
    <row r="1834" spans="5:5" x14ac:dyDescent="0.25">
      <c r="E1834"/>
    </row>
    <row r="1835" spans="5:5" x14ac:dyDescent="0.25">
      <c r="E1835"/>
    </row>
    <row r="1836" spans="5:5" x14ac:dyDescent="0.25">
      <c r="E1836"/>
    </row>
    <row r="1837" spans="5:5" x14ac:dyDescent="0.25">
      <c r="E1837"/>
    </row>
    <row r="1838" spans="5:5" x14ac:dyDescent="0.25">
      <c r="E1838"/>
    </row>
    <row r="1839" spans="5:5" x14ac:dyDescent="0.25">
      <c r="E1839"/>
    </row>
    <row r="1840" spans="5:5" x14ac:dyDescent="0.25">
      <c r="E1840"/>
    </row>
    <row r="1841" spans="5:5" x14ac:dyDescent="0.25">
      <c r="E1841"/>
    </row>
    <row r="1842" spans="5:5" x14ac:dyDescent="0.25">
      <c r="E1842"/>
    </row>
    <row r="1843" spans="5:5" x14ac:dyDescent="0.25">
      <c r="E1843"/>
    </row>
    <row r="1844" spans="5:5" x14ac:dyDescent="0.25">
      <c r="E1844"/>
    </row>
    <row r="1845" spans="5:5" x14ac:dyDescent="0.25">
      <c r="E1845"/>
    </row>
    <row r="1846" spans="5:5" x14ac:dyDescent="0.25">
      <c r="E1846"/>
    </row>
    <row r="1847" spans="5:5" x14ac:dyDescent="0.25">
      <c r="E1847"/>
    </row>
    <row r="1848" spans="5:5" x14ac:dyDescent="0.25">
      <c r="E1848"/>
    </row>
    <row r="1849" spans="5:5" x14ac:dyDescent="0.25">
      <c r="E1849"/>
    </row>
    <row r="1850" spans="5:5" x14ac:dyDescent="0.25">
      <c r="E1850"/>
    </row>
    <row r="1851" spans="5:5" x14ac:dyDescent="0.25">
      <c r="E1851"/>
    </row>
    <row r="1852" spans="5:5" x14ac:dyDescent="0.25">
      <c r="E1852"/>
    </row>
    <row r="1853" spans="5:5" x14ac:dyDescent="0.25">
      <c r="E1853"/>
    </row>
    <row r="1854" spans="5:5" x14ac:dyDescent="0.25">
      <c r="E1854"/>
    </row>
    <row r="1855" spans="5:5" x14ac:dyDescent="0.25">
      <c r="E1855"/>
    </row>
    <row r="1856" spans="5:5" x14ac:dyDescent="0.25">
      <c r="E1856"/>
    </row>
    <row r="1857" spans="5:5" x14ac:dyDescent="0.25">
      <c r="E1857"/>
    </row>
    <row r="1858" spans="5:5" x14ac:dyDescent="0.25">
      <c r="E1858"/>
    </row>
    <row r="1859" spans="5:5" x14ac:dyDescent="0.25">
      <c r="E1859"/>
    </row>
    <row r="1860" spans="5:5" x14ac:dyDescent="0.25">
      <c r="E1860"/>
    </row>
    <row r="1861" spans="5:5" x14ac:dyDescent="0.25">
      <c r="E1861"/>
    </row>
    <row r="1862" spans="5:5" x14ac:dyDescent="0.25">
      <c r="E1862"/>
    </row>
    <row r="1863" spans="5:5" x14ac:dyDescent="0.25">
      <c r="E1863"/>
    </row>
    <row r="1864" spans="5:5" x14ac:dyDescent="0.25">
      <c r="E1864"/>
    </row>
    <row r="1865" spans="5:5" x14ac:dyDescent="0.25">
      <c r="E1865"/>
    </row>
    <row r="1866" spans="5:5" x14ac:dyDescent="0.25">
      <c r="E1866"/>
    </row>
    <row r="1867" spans="5:5" x14ac:dyDescent="0.25">
      <c r="E1867"/>
    </row>
    <row r="1868" spans="5:5" x14ac:dyDescent="0.25">
      <c r="E1868"/>
    </row>
    <row r="1869" spans="5:5" x14ac:dyDescent="0.25">
      <c r="E1869"/>
    </row>
    <row r="1870" spans="5:5" x14ac:dyDescent="0.25">
      <c r="E1870"/>
    </row>
    <row r="1871" spans="5:5" x14ac:dyDescent="0.25">
      <c r="E1871"/>
    </row>
    <row r="1872" spans="5:5" x14ac:dyDescent="0.25">
      <c r="E1872"/>
    </row>
    <row r="1873" spans="5:5" x14ac:dyDescent="0.25">
      <c r="E1873"/>
    </row>
    <row r="1874" spans="5:5" x14ac:dyDescent="0.25">
      <c r="E1874"/>
    </row>
    <row r="1875" spans="5:5" x14ac:dyDescent="0.25">
      <c r="E1875"/>
    </row>
    <row r="1876" spans="5:5" x14ac:dyDescent="0.25">
      <c r="E1876"/>
    </row>
    <row r="1877" spans="5:5" x14ac:dyDescent="0.25">
      <c r="E1877"/>
    </row>
    <row r="1878" spans="5:5" x14ac:dyDescent="0.25">
      <c r="E1878"/>
    </row>
    <row r="1879" spans="5:5" x14ac:dyDescent="0.25">
      <c r="E1879"/>
    </row>
    <row r="1880" spans="5:5" x14ac:dyDescent="0.25">
      <c r="E1880"/>
    </row>
    <row r="1881" spans="5:5" x14ac:dyDescent="0.25">
      <c r="E1881"/>
    </row>
    <row r="1882" spans="5:5" x14ac:dyDescent="0.25">
      <c r="E1882"/>
    </row>
    <row r="1883" spans="5:5" x14ac:dyDescent="0.25">
      <c r="E1883"/>
    </row>
    <row r="1884" spans="5:5" x14ac:dyDescent="0.25">
      <c r="E1884"/>
    </row>
    <row r="1885" spans="5:5" x14ac:dyDescent="0.25">
      <c r="E1885"/>
    </row>
    <row r="1886" spans="5:5" x14ac:dyDescent="0.25">
      <c r="E1886"/>
    </row>
    <row r="1887" spans="5:5" x14ac:dyDescent="0.25">
      <c r="E1887"/>
    </row>
    <row r="1888" spans="5:5" x14ac:dyDescent="0.25">
      <c r="E1888"/>
    </row>
    <row r="1889" spans="5:5" x14ac:dyDescent="0.25">
      <c r="E1889"/>
    </row>
    <row r="1890" spans="5:5" x14ac:dyDescent="0.25">
      <c r="E1890"/>
    </row>
    <row r="1891" spans="5:5" x14ac:dyDescent="0.25">
      <c r="E1891"/>
    </row>
    <row r="1892" spans="5:5" x14ac:dyDescent="0.25">
      <c r="E1892"/>
    </row>
    <row r="1893" spans="5:5" x14ac:dyDescent="0.25">
      <c r="E1893"/>
    </row>
    <row r="1894" spans="5:5" x14ac:dyDescent="0.25">
      <c r="E1894"/>
    </row>
    <row r="1895" spans="5:5" x14ac:dyDescent="0.25">
      <c r="E1895"/>
    </row>
    <row r="1896" spans="5:5" x14ac:dyDescent="0.25">
      <c r="E1896"/>
    </row>
    <row r="1897" spans="5:5" x14ac:dyDescent="0.25">
      <c r="E1897"/>
    </row>
    <row r="1898" spans="5:5" x14ac:dyDescent="0.25">
      <c r="E1898"/>
    </row>
    <row r="1899" spans="5:5" x14ac:dyDescent="0.25">
      <c r="E1899"/>
    </row>
    <row r="1900" spans="5:5" x14ac:dyDescent="0.25">
      <c r="E1900"/>
    </row>
    <row r="1901" spans="5:5" x14ac:dyDescent="0.25">
      <c r="E1901"/>
    </row>
    <row r="1902" spans="5:5" x14ac:dyDescent="0.25">
      <c r="E1902"/>
    </row>
    <row r="1903" spans="5:5" x14ac:dyDescent="0.25">
      <c r="E1903"/>
    </row>
    <row r="1904" spans="5:5" x14ac:dyDescent="0.25">
      <c r="E1904"/>
    </row>
    <row r="1905" spans="5:5" x14ac:dyDescent="0.25">
      <c r="E1905"/>
    </row>
    <row r="1906" spans="5:5" x14ac:dyDescent="0.25">
      <c r="E1906"/>
    </row>
    <row r="1907" spans="5:5" x14ac:dyDescent="0.25">
      <c r="E1907"/>
    </row>
    <row r="1908" spans="5:5" x14ac:dyDescent="0.25">
      <c r="E1908"/>
    </row>
    <row r="1909" spans="5:5" x14ac:dyDescent="0.25">
      <c r="E1909"/>
    </row>
    <row r="1910" spans="5:5" x14ac:dyDescent="0.25">
      <c r="E1910"/>
    </row>
    <row r="1911" spans="5:5" x14ac:dyDescent="0.25">
      <c r="E1911"/>
    </row>
    <row r="1912" spans="5:5" x14ac:dyDescent="0.25">
      <c r="E1912"/>
    </row>
    <row r="1913" spans="5:5" x14ac:dyDescent="0.25">
      <c r="E1913"/>
    </row>
    <row r="1914" spans="5:5" x14ac:dyDescent="0.25">
      <c r="E1914"/>
    </row>
    <row r="1915" spans="5:5" x14ac:dyDescent="0.25">
      <c r="E1915"/>
    </row>
    <row r="1916" spans="5:5" x14ac:dyDescent="0.25">
      <c r="E1916"/>
    </row>
    <row r="1917" spans="5:5" x14ac:dyDescent="0.25">
      <c r="E1917"/>
    </row>
    <row r="1918" spans="5:5" x14ac:dyDescent="0.25">
      <c r="E1918"/>
    </row>
    <row r="1919" spans="5:5" x14ac:dyDescent="0.25">
      <c r="E1919"/>
    </row>
    <row r="1920" spans="5:5" x14ac:dyDescent="0.25">
      <c r="E1920"/>
    </row>
    <row r="1921" spans="5:5" x14ac:dyDescent="0.25">
      <c r="E1921"/>
    </row>
    <row r="1922" spans="5:5" x14ac:dyDescent="0.25">
      <c r="E1922"/>
    </row>
    <row r="1923" spans="5:5" x14ac:dyDescent="0.25">
      <c r="E1923"/>
    </row>
    <row r="1924" spans="5:5" x14ac:dyDescent="0.25">
      <c r="E1924"/>
    </row>
    <row r="1925" spans="5:5" x14ac:dyDescent="0.25">
      <c r="E1925"/>
    </row>
    <row r="1926" spans="5:5" x14ac:dyDescent="0.25">
      <c r="E1926"/>
    </row>
    <row r="1927" spans="5:5" x14ac:dyDescent="0.25">
      <c r="E1927"/>
    </row>
    <row r="1928" spans="5:5" x14ac:dyDescent="0.25">
      <c r="E1928"/>
    </row>
    <row r="1929" spans="5:5" x14ac:dyDescent="0.25">
      <c r="E1929"/>
    </row>
    <row r="1930" spans="5:5" x14ac:dyDescent="0.25">
      <c r="E1930"/>
    </row>
    <row r="1931" spans="5:5" x14ac:dyDescent="0.25">
      <c r="E1931"/>
    </row>
    <row r="1932" spans="5:5" x14ac:dyDescent="0.25">
      <c r="E1932"/>
    </row>
    <row r="1933" spans="5:5" x14ac:dyDescent="0.25">
      <c r="E1933"/>
    </row>
    <row r="1934" spans="5:5" x14ac:dyDescent="0.25">
      <c r="E1934"/>
    </row>
    <row r="1935" spans="5:5" x14ac:dyDescent="0.25">
      <c r="E1935"/>
    </row>
    <row r="1936" spans="5:5" x14ac:dyDescent="0.25">
      <c r="E1936"/>
    </row>
    <row r="1937" spans="5:5" x14ac:dyDescent="0.25">
      <c r="E1937"/>
    </row>
    <row r="1938" spans="5:5" x14ac:dyDescent="0.25">
      <c r="E1938"/>
    </row>
    <row r="1939" spans="5:5" x14ac:dyDescent="0.25">
      <c r="E1939"/>
    </row>
    <row r="1940" spans="5:5" x14ac:dyDescent="0.25">
      <c r="E1940"/>
    </row>
    <row r="1941" spans="5:5" x14ac:dyDescent="0.25">
      <c r="E1941"/>
    </row>
    <row r="1942" spans="5:5" x14ac:dyDescent="0.25">
      <c r="E1942"/>
    </row>
    <row r="1943" spans="5:5" x14ac:dyDescent="0.25">
      <c r="E1943"/>
    </row>
    <row r="1944" spans="5:5" x14ac:dyDescent="0.25">
      <c r="E1944"/>
    </row>
    <row r="1945" spans="5:5" x14ac:dyDescent="0.25">
      <c r="E1945"/>
    </row>
    <row r="1946" spans="5:5" x14ac:dyDescent="0.25">
      <c r="E1946"/>
    </row>
    <row r="1947" spans="5:5" x14ac:dyDescent="0.25">
      <c r="E1947"/>
    </row>
    <row r="1948" spans="5:5" x14ac:dyDescent="0.25">
      <c r="E1948"/>
    </row>
    <row r="1949" spans="5:5" x14ac:dyDescent="0.25">
      <c r="E1949"/>
    </row>
    <row r="1950" spans="5:5" x14ac:dyDescent="0.25">
      <c r="E1950"/>
    </row>
    <row r="1951" spans="5:5" x14ac:dyDescent="0.25">
      <c r="E1951"/>
    </row>
    <row r="1952" spans="5:5" x14ac:dyDescent="0.25">
      <c r="E1952"/>
    </row>
    <row r="1953" spans="5:5" x14ac:dyDescent="0.25">
      <c r="E1953"/>
    </row>
    <row r="1954" spans="5:5" x14ac:dyDescent="0.25">
      <c r="E1954"/>
    </row>
    <row r="1955" spans="5:5" x14ac:dyDescent="0.25">
      <c r="E1955"/>
    </row>
    <row r="1956" spans="5:5" x14ac:dyDescent="0.25">
      <c r="E1956"/>
    </row>
    <row r="1957" spans="5:5" x14ac:dyDescent="0.25">
      <c r="E1957"/>
    </row>
    <row r="1958" spans="5:5" x14ac:dyDescent="0.25">
      <c r="E1958"/>
    </row>
    <row r="1959" spans="5:5" x14ac:dyDescent="0.25">
      <c r="E1959"/>
    </row>
    <row r="1960" spans="5:5" x14ac:dyDescent="0.25">
      <c r="E1960"/>
    </row>
    <row r="1961" spans="5:5" x14ac:dyDescent="0.25">
      <c r="E1961"/>
    </row>
    <row r="1962" spans="5:5" x14ac:dyDescent="0.25">
      <c r="E1962"/>
    </row>
    <row r="1963" spans="5:5" x14ac:dyDescent="0.25">
      <c r="E1963"/>
    </row>
    <row r="1964" spans="5:5" x14ac:dyDescent="0.25">
      <c r="E1964"/>
    </row>
    <row r="1965" spans="5:5" x14ac:dyDescent="0.25">
      <c r="E1965"/>
    </row>
    <row r="1966" spans="5:5" x14ac:dyDescent="0.25">
      <c r="E1966"/>
    </row>
    <row r="1967" spans="5:5" x14ac:dyDescent="0.25">
      <c r="E1967"/>
    </row>
    <row r="1968" spans="5:5" x14ac:dyDescent="0.25">
      <c r="E1968"/>
    </row>
    <row r="1969" spans="5:5" x14ac:dyDescent="0.25">
      <c r="E1969"/>
    </row>
    <row r="1970" spans="5:5" x14ac:dyDescent="0.25">
      <c r="E1970"/>
    </row>
    <row r="1971" spans="5:5" x14ac:dyDescent="0.25">
      <c r="E1971"/>
    </row>
    <row r="1972" spans="5:5" x14ac:dyDescent="0.25">
      <c r="E1972"/>
    </row>
    <row r="1973" spans="5:5" x14ac:dyDescent="0.25">
      <c r="E1973"/>
    </row>
    <row r="1974" spans="5:5" x14ac:dyDescent="0.25">
      <c r="E1974"/>
    </row>
    <row r="1975" spans="5:5" x14ac:dyDescent="0.25">
      <c r="E1975"/>
    </row>
    <row r="1976" spans="5:5" x14ac:dyDescent="0.25">
      <c r="E1976"/>
    </row>
    <row r="1977" spans="5:5" x14ac:dyDescent="0.25">
      <c r="E1977"/>
    </row>
    <row r="1978" spans="5:5" x14ac:dyDescent="0.25">
      <c r="E1978"/>
    </row>
    <row r="1979" spans="5:5" x14ac:dyDescent="0.25">
      <c r="E1979"/>
    </row>
    <row r="1980" spans="5:5" x14ac:dyDescent="0.25">
      <c r="E1980"/>
    </row>
    <row r="1981" spans="5:5" x14ac:dyDescent="0.25">
      <c r="E1981"/>
    </row>
    <row r="1982" spans="5:5" x14ac:dyDescent="0.25">
      <c r="E1982"/>
    </row>
    <row r="1983" spans="5:5" x14ac:dyDescent="0.25">
      <c r="E1983"/>
    </row>
    <row r="1984" spans="5:5" x14ac:dyDescent="0.25">
      <c r="E1984"/>
    </row>
    <row r="1985" spans="5:5" x14ac:dyDescent="0.25">
      <c r="E1985"/>
    </row>
    <row r="1986" spans="5:5" x14ac:dyDescent="0.25">
      <c r="E1986"/>
    </row>
    <row r="1987" spans="5:5" x14ac:dyDescent="0.25">
      <c r="E1987"/>
    </row>
    <row r="1988" spans="5:5" x14ac:dyDescent="0.25">
      <c r="E1988"/>
    </row>
    <row r="1989" spans="5:5" x14ac:dyDescent="0.25">
      <c r="E1989"/>
    </row>
    <row r="1990" spans="5:5" x14ac:dyDescent="0.25">
      <c r="E1990"/>
    </row>
    <row r="1991" spans="5:5" x14ac:dyDescent="0.25">
      <c r="E1991"/>
    </row>
    <row r="1992" spans="5:5" x14ac:dyDescent="0.25">
      <c r="E1992"/>
    </row>
    <row r="1993" spans="5:5" x14ac:dyDescent="0.25">
      <c r="E1993"/>
    </row>
    <row r="1994" spans="5:5" x14ac:dyDescent="0.25">
      <c r="E1994"/>
    </row>
    <row r="1995" spans="5:5" x14ac:dyDescent="0.25">
      <c r="E1995"/>
    </row>
    <row r="1996" spans="5:5" x14ac:dyDescent="0.25">
      <c r="E1996"/>
    </row>
    <row r="1997" spans="5:5" x14ac:dyDescent="0.25">
      <c r="E1997"/>
    </row>
    <row r="1998" spans="5:5" x14ac:dyDescent="0.25">
      <c r="E1998"/>
    </row>
    <row r="1999" spans="5:5" x14ac:dyDescent="0.25">
      <c r="E1999"/>
    </row>
    <row r="2000" spans="5:5" x14ac:dyDescent="0.25">
      <c r="E2000"/>
    </row>
    <row r="2001" spans="5:5" x14ac:dyDescent="0.25">
      <c r="E2001"/>
    </row>
    <row r="2002" spans="5:5" x14ac:dyDescent="0.25">
      <c r="E2002"/>
    </row>
    <row r="2003" spans="5:5" x14ac:dyDescent="0.25">
      <c r="E2003"/>
    </row>
    <row r="2004" spans="5:5" x14ac:dyDescent="0.25">
      <c r="E2004"/>
    </row>
    <row r="2005" spans="5:5" x14ac:dyDescent="0.25">
      <c r="E2005"/>
    </row>
    <row r="2006" spans="5:5" x14ac:dyDescent="0.25">
      <c r="E2006"/>
    </row>
    <row r="2007" spans="5:5" x14ac:dyDescent="0.25">
      <c r="E2007"/>
    </row>
    <row r="2008" spans="5:5" x14ac:dyDescent="0.25">
      <c r="E2008"/>
    </row>
    <row r="2009" spans="5:5" x14ac:dyDescent="0.25">
      <c r="E2009"/>
    </row>
    <row r="2010" spans="5:5" x14ac:dyDescent="0.25">
      <c r="E2010"/>
    </row>
    <row r="2011" spans="5:5" x14ac:dyDescent="0.25">
      <c r="E2011"/>
    </row>
    <row r="2012" spans="5:5" x14ac:dyDescent="0.25">
      <c r="E2012"/>
    </row>
    <row r="2013" spans="5:5" x14ac:dyDescent="0.25">
      <c r="E2013"/>
    </row>
    <row r="2014" spans="5:5" x14ac:dyDescent="0.25">
      <c r="E2014"/>
    </row>
    <row r="2015" spans="5:5" x14ac:dyDescent="0.25">
      <c r="E2015"/>
    </row>
    <row r="2016" spans="5:5" x14ac:dyDescent="0.25">
      <c r="E2016"/>
    </row>
    <row r="2017" spans="5:5" x14ac:dyDescent="0.25">
      <c r="E2017"/>
    </row>
    <row r="2018" spans="5:5" x14ac:dyDescent="0.25">
      <c r="E2018"/>
    </row>
    <row r="2019" spans="5:5" x14ac:dyDescent="0.25">
      <c r="E2019"/>
    </row>
    <row r="2020" spans="5:5" x14ac:dyDescent="0.25">
      <c r="E2020"/>
    </row>
    <row r="2021" spans="5:5" x14ac:dyDescent="0.25">
      <c r="E2021"/>
    </row>
    <row r="2022" spans="5:5" x14ac:dyDescent="0.25">
      <c r="E2022"/>
    </row>
    <row r="2023" spans="5:5" x14ac:dyDescent="0.25">
      <c r="E2023"/>
    </row>
    <row r="2024" spans="5:5" x14ac:dyDescent="0.25">
      <c r="E2024"/>
    </row>
    <row r="2025" spans="5:5" x14ac:dyDescent="0.25">
      <c r="E2025"/>
    </row>
    <row r="2026" spans="5:5" x14ac:dyDescent="0.25">
      <c r="E2026"/>
    </row>
    <row r="2027" spans="5:5" x14ac:dyDescent="0.25">
      <c r="E2027"/>
    </row>
    <row r="2028" spans="5:5" x14ac:dyDescent="0.25">
      <c r="E2028"/>
    </row>
    <row r="2029" spans="5:5" x14ac:dyDescent="0.25">
      <c r="E2029"/>
    </row>
    <row r="2030" spans="5:5" x14ac:dyDescent="0.25">
      <c r="E2030"/>
    </row>
    <row r="2031" spans="5:5" x14ac:dyDescent="0.25">
      <c r="E2031"/>
    </row>
    <row r="2032" spans="5:5" x14ac:dyDescent="0.25">
      <c r="E2032"/>
    </row>
    <row r="2033" spans="5:5" x14ac:dyDescent="0.25">
      <c r="E2033"/>
    </row>
    <row r="2034" spans="5:5" x14ac:dyDescent="0.25">
      <c r="E2034"/>
    </row>
    <row r="2035" spans="5:5" x14ac:dyDescent="0.25">
      <c r="E2035"/>
    </row>
    <row r="2036" spans="5:5" x14ac:dyDescent="0.25">
      <c r="E2036"/>
    </row>
    <row r="2037" spans="5:5" x14ac:dyDescent="0.25">
      <c r="E2037"/>
    </row>
    <row r="2038" spans="5:5" x14ac:dyDescent="0.25">
      <c r="E2038"/>
    </row>
    <row r="2039" spans="5:5" x14ac:dyDescent="0.25">
      <c r="E2039"/>
    </row>
    <row r="2040" spans="5:5" x14ac:dyDescent="0.25">
      <c r="E2040"/>
    </row>
    <row r="2041" spans="5:5" x14ac:dyDescent="0.25">
      <c r="E2041"/>
    </row>
    <row r="2042" spans="5:5" x14ac:dyDescent="0.25">
      <c r="E2042"/>
    </row>
    <row r="2043" spans="5:5" x14ac:dyDescent="0.25">
      <c r="E2043"/>
    </row>
    <row r="2044" spans="5:5" x14ac:dyDescent="0.25">
      <c r="E2044"/>
    </row>
    <row r="2045" spans="5:5" x14ac:dyDescent="0.25">
      <c r="E2045"/>
    </row>
    <row r="2046" spans="5:5" x14ac:dyDescent="0.25">
      <c r="E2046"/>
    </row>
    <row r="2047" spans="5:5" x14ac:dyDescent="0.25">
      <c r="E2047"/>
    </row>
    <row r="2048" spans="5:5" x14ac:dyDescent="0.25">
      <c r="E2048"/>
    </row>
    <row r="2049" spans="5:5" x14ac:dyDescent="0.25">
      <c r="E2049"/>
    </row>
    <row r="2050" spans="5:5" x14ac:dyDescent="0.25">
      <c r="E2050"/>
    </row>
    <row r="2051" spans="5:5" x14ac:dyDescent="0.25">
      <c r="E2051"/>
    </row>
    <row r="2052" spans="5:5" x14ac:dyDescent="0.25">
      <c r="E2052"/>
    </row>
    <row r="2053" spans="5:5" x14ac:dyDescent="0.25">
      <c r="E2053"/>
    </row>
    <row r="2054" spans="5:5" x14ac:dyDescent="0.25">
      <c r="E2054"/>
    </row>
    <row r="2055" spans="5:5" x14ac:dyDescent="0.25">
      <c r="E2055"/>
    </row>
    <row r="2056" spans="5:5" x14ac:dyDescent="0.25">
      <c r="E2056"/>
    </row>
    <row r="2057" spans="5:5" x14ac:dyDescent="0.25">
      <c r="E2057"/>
    </row>
    <row r="2058" spans="5:5" x14ac:dyDescent="0.25">
      <c r="E2058"/>
    </row>
    <row r="2059" spans="5:5" x14ac:dyDescent="0.25">
      <c r="E2059"/>
    </row>
    <row r="2060" spans="5:5" x14ac:dyDescent="0.25">
      <c r="E2060"/>
    </row>
    <row r="2061" spans="5:5" x14ac:dyDescent="0.25">
      <c r="E2061"/>
    </row>
    <row r="2062" spans="5:5" x14ac:dyDescent="0.25">
      <c r="E2062"/>
    </row>
    <row r="2063" spans="5:5" x14ac:dyDescent="0.25">
      <c r="E2063"/>
    </row>
    <row r="2064" spans="5:5" x14ac:dyDescent="0.25">
      <c r="E2064"/>
    </row>
    <row r="2065" spans="5:5" x14ac:dyDescent="0.25">
      <c r="E2065"/>
    </row>
    <row r="2066" spans="5:5" x14ac:dyDescent="0.25">
      <c r="E2066"/>
    </row>
    <row r="2067" spans="5:5" x14ac:dyDescent="0.25">
      <c r="E2067"/>
    </row>
    <row r="2068" spans="5:5" x14ac:dyDescent="0.25">
      <c r="E2068"/>
    </row>
    <row r="2069" spans="5:5" x14ac:dyDescent="0.25">
      <c r="E2069"/>
    </row>
    <row r="2070" spans="5:5" x14ac:dyDescent="0.25">
      <c r="E2070"/>
    </row>
    <row r="2071" spans="5:5" x14ac:dyDescent="0.25">
      <c r="E2071"/>
    </row>
    <row r="2072" spans="5:5" x14ac:dyDescent="0.25">
      <c r="E2072"/>
    </row>
    <row r="2073" spans="5:5" x14ac:dyDescent="0.25">
      <c r="E2073"/>
    </row>
    <row r="2074" spans="5:5" x14ac:dyDescent="0.25">
      <c r="E2074"/>
    </row>
    <row r="2075" spans="5:5" x14ac:dyDescent="0.25">
      <c r="E2075"/>
    </row>
    <row r="2076" spans="5:5" x14ac:dyDescent="0.25">
      <c r="E2076"/>
    </row>
    <row r="2077" spans="5:5" x14ac:dyDescent="0.25">
      <c r="E2077"/>
    </row>
    <row r="2078" spans="5:5" x14ac:dyDescent="0.25">
      <c r="E2078"/>
    </row>
    <row r="2079" spans="5:5" x14ac:dyDescent="0.25">
      <c r="E2079"/>
    </row>
    <row r="2080" spans="5:5" x14ac:dyDescent="0.25">
      <c r="E2080"/>
    </row>
    <row r="2081" spans="5:5" x14ac:dyDescent="0.25">
      <c r="E2081"/>
    </row>
    <row r="2082" spans="5:5" x14ac:dyDescent="0.25">
      <c r="E2082"/>
    </row>
    <row r="2083" spans="5:5" x14ac:dyDescent="0.25">
      <c r="E2083"/>
    </row>
    <row r="2084" spans="5:5" x14ac:dyDescent="0.25">
      <c r="E2084"/>
    </row>
    <row r="2085" spans="5:5" x14ac:dyDescent="0.25">
      <c r="E2085"/>
    </row>
    <row r="2086" spans="5:5" x14ac:dyDescent="0.25">
      <c r="E2086"/>
    </row>
    <row r="2087" spans="5:5" x14ac:dyDescent="0.25">
      <c r="E2087"/>
    </row>
    <row r="2088" spans="5:5" x14ac:dyDescent="0.25">
      <c r="E2088"/>
    </row>
    <row r="2089" spans="5:5" x14ac:dyDescent="0.25">
      <c r="E2089"/>
    </row>
    <row r="2090" spans="5:5" x14ac:dyDescent="0.25">
      <c r="E2090"/>
    </row>
    <row r="2091" spans="5:5" x14ac:dyDescent="0.25">
      <c r="E2091"/>
    </row>
    <row r="2092" spans="5:5" x14ac:dyDescent="0.25">
      <c r="E2092"/>
    </row>
    <row r="2093" spans="5:5" x14ac:dyDescent="0.25">
      <c r="E2093"/>
    </row>
    <row r="2094" spans="5:5" x14ac:dyDescent="0.25">
      <c r="E2094"/>
    </row>
    <row r="2095" spans="5:5" x14ac:dyDescent="0.25">
      <c r="E2095"/>
    </row>
    <row r="2096" spans="5:5" x14ac:dyDescent="0.25">
      <c r="E2096"/>
    </row>
    <row r="2097" spans="5:5" x14ac:dyDescent="0.25">
      <c r="E2097"/>
    </row>
    <row r="2098" spans="5:5" x14ac:dyDescent="0.25">
      <c r="E2098"/>
    </row>
    <row r="2099" spans="5:5" x14ac:dyDescent="0.25">
      <c r="E2099"/>
    </row>
    <row r="2100" spans="5:5" x14ac:dyDescent="0.25">
      <c r="E2100"/>
    </row>
    <row r="2101" spans="5:5" x14ac:dyDescent="0.25">
      <c r="E2101"/>
    </row>
    <row r="2102" spans="5:5" x14ac:dyDescent="0.25">
      <c r="E2102"/>
    </row>
    <row r="2103" spans="5:5" x14ac:dyDescent="0.25">
      <c r="E2103"/>
    </row>
    <row r="2104" spans="5:5" x14ac:dyDescent="0.25">
      <c r="E2104"/>
    </row>
    <row r="2105" spans="5:5" x14ac:dyDescent="0.25">
      <c r="E2105"/>
    </row>
    <row r="2106" spans="5:5" x14ac:dyDescent="0.25">
      <c r="E2106"/>
    </row>
    <row r="2107" spans="5:5" x14ac:dyDescent="0.25">
      <c r="E2107"/>
    </row>
    <row r="2108" spans="5:5" x14ac:dyDescent="0.25">
      <c r="E2108"/>
    </row>
    <row r="2109" spans="5:5" x14ac:dyDescent="0.25">
      <c r="E2109"/>
    </row>
    <row r="2110" spans="5:5" x14ac:dyDescent="0.25">
      <c r="E2110"/>
    </row>
    <row r="2111" spans="5:5" x14ac:dyDescent="0.25">
      <c r="E2111"/>
    </row>
    <row r="2112" spans="5:5" x14ac:dyDescent="0.25">
      <c r="E2112"/>
    </row>
    <row r="2113" spans="5:5" x14ac:dyDescent="0.25">
      <c r="E2113"/>
    </row>
    <row r="2114" spans="5:5" x14ac:dyDescent="0.25">
      <c r="E2114"/>
    </row>
    <row r="2115" spans="5:5" x14ac:dyDescent="0.25">
      <c r="E2115"/>
    </row>
    <row r="2116" spans="5:5" x14ac:dyDescent="0.25">
      <c r="E2116"/>
    </row>
    <row r="2117" spans="5:5" x14ac:dyDescent="0.25">
      <c r="E2117"/>
    </row>
    <row r="2118" spans="5:5" x14ac:dyDescent="0.25">
      <c r="E2118"/>
    </row>
    <row r="2119" spans="5:5" x14ac:dyDescent="0.25">
      <c r="E2119"/>
    </row>
    <row r="2120" spans="5:5" x14ac:dyDescent="0.25">
      <c r="E2120"/>
    </row>
    <row r="2121" spans="5:5" x14ac:dyDescent="0.25">
      <c r="E2121"/>
    </row>
    <row r="2122" spans="5:5" x14ac:dyDescent="0.25">
      <c r="E2122"/>
    </row>
    <row r="2123" spans="5:5" x14ac:dyDescent="0.25">
      <c r="E2123"/>
    </row>
    <row r="2124" spans="5:5" x14ac:dyDescent="0.25">
      <c r="E2124"/>
    </row>
    <row r="2125" spans="5:5" x14ac:dyDescent="0.25">
      <c r="E2125"/>
    </row>
    <row r="2126" spans="5:5" x14ac:dyDescent="0.25">
      <c r="E2126"/>
    </row>
    <row r="2127" spans="5:5" x14ac:dyDescent="0.25">
      <c r="E2127"/>
    </row>
    <row r="2128" spans="5:5" x14ac:dyDescent="0.25">
      <c r="E2128"/>
    </row>
    <row r="2129" spans="5:5" x14ac:dyDescent="0.25">
      <c r="E2129"/>
    </row>
    <row r="2130" spans="5:5" x14ac:dyDescent="0.25">
      <c r="E2130"/>
    </row>
    <row r="2131" spans="5:5" x14ac:dyDescent="0.25">
      <c r="E2131"/>
    </row>
    <row r="2132" spans="5:5" x14ac:dyDescent="0.25">
      <c r="E2132"/>
    </row>
    <row r="2133" spans="5:5" x14ac:dyDescent="0.25">
      <c r="E2133"/>
    </row>
    <row r="2134" spans="5:5" x14ac:dyDescent="0.25">
      <c r="E2134"/>
    </row>
    <row r="2135" spans="5:5" x14ac:dyDescent="0.25">
      <c r="E2135"/>
    </row>
    <row r="2136" spans="5:5" x14ac:dyDescent="0.25">
      <c r="E2136"/>
    </row>
    <row r="2137" spans="5:5" x14ac:dyDescent="0.25">
      <c r="E2137"/>
    </row>
    <row r="2138" spans="5:5" x14ac:dyDescent="0.25">
      <c r="E2138"/>
    </row>
    <row r="2139" spans="5:5" x14ac:dyDescent="0.25">
      <c r="E2139"/>
    </row>
    <row r="2140" spans="5:5" x14ac:dyDescent="0.25">
      <c r="E2140"/>
    </row>
    <row r="2141" spans="5:5" x14ac:dyDescent="0.25">
      <c r="E2141"/>
    </row>
    <row r="2142" spans="5:5" x14ac:dyDescent="0.25">
      <c r="E2142"/>
    </row>
    <row r="2143" spans="5:5" x14ac:dyDescent="0.25">
      <c r="E2143"/>
    </row>
    <row r="2144" spans="5:5" x14ac:dyDescent="0.25">
      <c r="E2144"/>
    </row>
    <row r="2145" spans="5:5" x14ac:dyDescent="0.25">
      <c r="E2145"/>
    </row>
    <row r="2146" spans="5:5" x14ac:dyDescent="0.25">
      <c r="E2146"/>
    </row>
    <row r="2147" spans="5:5" x14ac:dyDescent="0.25">
      <c r="E2147"/>
    </row>
    <row r="2148" spans="5:5" x14ac:dyDescent="0.25">
      <c r="E2148"/>
    </row>
    <row r="2149" spans="5:5" x14ac:dyDescent="0.25">
      <c r="E2149"/>
    </row>
    <row r="2150" spans="5:5" x14ac:dyDescent="0.25">
      <c r="E2150"/>
    </row>
    <row r="2151" spans="5:5" x14ac:dyDescent="0.25">
      <c r="E2151"/>
    </row>
    <row r="2152" spans="5:5" x14ac:dyDescent="0.25">
      <c r="E2152"/>
    </row>
    <row r="2153" spans="5:5" x14ac:dyDescent="0.25">
      <c r="E2153"/>
    </row>
    <row r="2154" spans="5:5" x14ac:dyDescent="0.25">
      <c r="E2154"/>
    </row>
    <row r="2155" spans="5:5" x14ac:dyDescent="0.25">
      <c r="E2155"/>
    </row>
    <row r="2156" spans="5:5" x14ac:dyDescent="0.25">
      <c r="E2156"/>
    </row>
    <row r="2157" spans="5:5" x14ac:dyDescent="0.25">
      <c r="E2157"/>
    </row>
    <row r="2158" spans="5:5" x14ac:dyDescent="0.25">
      <c r="E2158"/>
    </row>
    <row r="2159" spans="5:5" x14ac:dyDescent="0.25">
      <c r="E2159"/>
    </row>
    <row r="2160" spans="5:5" x14ac:dyDescent="0.25">
      <c r="E2160"/>
    </row>
    <row r="2161" spans="5:5" x14ac:dyDescent="0.25">
      <c r="E2161"/>
    </row>
    <row r="2162" spans="5:5" x14ac:dyDescent="0.25">
      <c r="E2162"/>
    </row>
    <row r="2163" spans="5:5" x14ac:dyDescent="0.25">
      <c r="E2163"/>
    </row>
    <row r="2164" spans="5:5" x14ac:dyDescent="0.25">
      <c r="E2164"/>
    </row>
    <row r="2165" spans="5:5" x14ac:dyDescent="0.25">
      <c r="E2165"/>
    </row>
    <row r="2166" spans="5:5" x14ac:dyDescent="0.25">
      <c r="E2166"/>
    </row>
    <row r="2167" spans="5:5" x14ac:dyDescent="0.25">
      <c r="E2167"/>
    </row>
    <row r="2168" spans="5:5" x14ac:dyDescent="0.25">
      <c r="E2168"/>
    </row>
    <row r="2169" spans="5:5" x14ac:dyDescent="0.25">
      <c r="E2169"/>
    </row>
    <row r="2170" spans="5:5" x14ac:dyDescent="0.25">
      <c r="E2170"/>
    </row>
    <row r="2171" spans="5:5" x14ac:dyDescent="0.25">
      <c r="E2171"/>
    </row>
    <row r="2172" spans="5:5" x14ac:dyDescent="0.25">
      <c r="E2172"/>
    </row>
    <row r="2173" spans="5:5" x14ac:dyDescent="0.25">
      <c r="E2173"/>
    </row>
    <row r="2174" spans="5:5" x14ac:dyDescent="0.25">
      <c r="E2174"/>
    </row>
    <row r="2175" spans="5:5" x14ac:dyDescent="0.25">
      <c r="E2175"/>
    </row>
    <row r="2176" spans="5:5" x14ac:dyDescent="0.25">
      <c r="E2176"/>
    </row>
    <row r="2177" spans="5:5" x14ac:dyDescent="0.25">
      <c r="E2177"/>
    </row>
    <row r="2178" spans="5:5" x14ac:dyDescent="0.25">
      <c r="E2178"/>
    </row>
    <row r="2179" spans="5:5" x14ac:dyDescent="0.25">
      <c r="E217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54F1-4C70-454E-8F63-F28BA1998D0C}">
  <sheetPr codeName="Hoja5"/>
  <dimension ref="A1:G58"/>
  <sheetViews>
    <sheetView workbookViewId="0">
      <selection activeCell="E21" sqref="E21"/>
    </sheetView>
  </sheetViews>
  <sheetFormatPr baseColWidth="10" defaultRowHeight="15" x14ac:dyDescent="0.25"/>
  <cols>
    <col min="1" max="1" width="28.140625" bestFit="1" customWidth="1"/>
    <col min="2" max="2" width="30.42578125" bestFit="1" customWidth="1"/>
    <col min="3" max="3" width="8.85546875" bestFit="1" customWidth="1"/>
    <col min="4" max="4" width="21.42578125" bestFit="1" customWidth="1"/>
    <col min="5" max="5" width="22.42578125" bestFit="1" customWidth="1"/>
    <col min="6" max="6" width="23.5703125" bestFit="1" customWidth="1"/>
    <col min="7" max="7" width="13.28515625" bestFit="1" customWidth="1"/>
    <col min="8" max="8" width="11.42578125" bestFit="1" customWidth="1"/>
  </cols>
  <sheetData>
    <row r="1" spans="1:7" x14ac:dyDescent="0.25">
      <c r="A1" s="13" t="s">
        <v>2488</v>
      </c>
      <c r="B1" t="s">
        <v>1525</v>
      </c>
    </row>
    <row r="3" spans="1:7" x14ac:dyDescent="0.25">
      <c r="A3" s="13" t="s">
        <v>2489</v>
      </c>
      <c r="B3" s="13" t="s">
        <v>2491</v>
      </c>
    </row>
    <row r="4" spans="1:7" x14ac:dyDescent="0.25">
      <c r="A4" s="13" t="s">
        <v>2490</v>
      </c>
      <c r="B4" t="s">
        <v>58</v>
      </c>
      <c r="C4" t="s">
        <v>56</v>
      </c>
      <c r="D4" t="s">
        <v>52</v>
      </c>
      <c r="E4" t="s">
        <v>50</v>
      </c>
      <c r="F4" t="s">
        <v>46</v>
      </c>
      <c r="G4" t="s">
        <v>54</v>
      </c>
    </row>
    <row r="5" spans="1:7" x14ac:dyDescent="0.25">
      <c r="A5" s="12" t="s">
        <v>1525</v>
      </c>
      <c r="B5" s="2">
        <v>4166844</v>
      </c>
      <c r="C5" s="2">
        <v>4253885</v>
      </c>
      <c r="D5" s="2">
        <v>1527250</v>
      </c>
      <c r="E5" s="2">
        <v>5839488</v>
      </c>
      <c r="F5" s="2">
        <v>1053991</v>
      </c>
      <c r="G5" s="2">
        <v>8420729</v>
      </c>
    </row>
    <row r="6" spans="1:7" x14ac:dyDescent="0.25">
      <c r="A6" s="12" t="s">
        <v>1609</v>
      </c>
      <c r="B6" s="2">
        <v>329119</v>
      </c>
      <c r="C6" s="2">
        <v>338785</v>
      </c>
      <c r="D6" s="2">
        <v>136594</v>
      </c>
      <c r="E6" s="2">
        <v>470295</v>
      </c>
      <c r="F6" s="2">
        <v>61015</v>
      </c>
      <c r="G6" s="2">
        <v>667904</v>
      </c>
    </row>
    <row r="7" spans="1:7" x14ac:dyDescent="0.25">
      <c r="A7" s="12" t="s">
        <v>1686</v>
      </c>
      <c r="B7" s="2">
        <v>288528</v>
      </c>
      <c r="C7" s="2">
        <v>298284</v>
      </c>
      <c r="D7" s="2">
        <v>106956</v>
      </c>
      <c r="E7" s="2">
        <v>414462</v>
      </c>
      <c r="F7" s="2">
        <v>65394</v>
      </c>
      <c r="G7" s="2">
        <v>586812</v>
      </c>
    </row>
    <row r="8" spans="1:7" x14ac:dyDescent="0.25">
      <c r="A8" s="12" t="s">
        <v>1748</v>
      </c>
      <c r="B8" s="2">
        <v>274718</v>
      </c>
      <c r="C8" s="2">
        <v>269670</v>
      </c>
      <c r="D8" s="2">
        <v>61416</v>
      </c>
      <c r="E8" s="2">
        <v>434119</v>
      </c>
      <c r="F8" s="2">
        <v>48853</v>
      </c>
      <c r="G8" s="2">
        <v>544388</v>
      </c>
    </row>
    <row r="9" spans="1:7" x14ac:dyDescent="0.25">
      <c r="A9" s="12" t="s">
        <v>1665</v>
      </c>
      <c r="B9" s="2">
        <v>200711</v>
      </c>
      <c r="C9" s="2">
        <v>206586</v>
      </c>
      <c r="D9" s="2">
        <v>69328</v>
      </c>
      <c r="E9" s="2">
        <v>276825</v>
      </c>
      <c r="F9" s="2">
        <v>61144</v>
      </c>
      <c r="G9" s="2">
        <v>407297</v>
      </c>
    </row>
    <row r="10" spans="1:7" x14ac:dyDescent="0.25">
      <c r="A10" s="12" t="s">
        <v>1616</v>
      </c>
      <c r="B10" s="2">
        <v>172517</v>
      </c>
      <c r="C10" s="2">
        <v>176123</v>
      </c>
      <c r="D10" s="2">
        <v>74467</v>
      </c>
      <c r="E10" s="2">
        <v>238131</v>
      </c>
      <c r="F10" s="2">
        <v>36042</v>
      </c>
      <c r="G10" s="2">
        <v>348640</v>
      </c>
    </row>
    <row r="11" spans="1:7" x14ac:dyDescent="0.25">
      <c r="A11" s="12" t="s">
        <v>1797</v>
      </c>
      <c r="B11" s="2">
        <v>167662</v>
      </c>
      <c r="C11" s="2">
        <v>175970</v>
      </c>
      <c r="D11" s="2">
        <v>49282</v>
      </c>
      <c r="E11" s="2">
        <v>232604</v>
      </c>
      <c r="F11" s="2">
        <v>61746</v>
      </c>
      <c r="G11" s="2">
        <v>343632</v>
      </c>
    </row>
    <row r="12" spans="1:7" x14ac:dyDescent="0.25">
      <c r="A12" s="12" t="s">
        <v>1853</v>
      </c>
      <c r="B12" s="2">
        <v>137276</v>
      </c>
      <c r="C12" s="2">
        <v>138468</v>
      </c>
      <c r="D12" s="2">
        <v>59689</v>
      </c>
      <c r="E12" s="2">
        <v>198070</v>
      </c>
      <c r="F12" s="2">
        <v>17985</v>
      </c>
      <c r="G12" s="2">
        <v>275744</v>
      </c>
    </row>
    <row r="13" spans="1:7" x14ac:dyDescent="0.25">
      <c r="A13" s="12" t="s">
        <v>1727</v>
      </c>
      <c r="B13" s="2">
        <v>134721</v>
      </c>
      <c r="C13" s="2">
        <v>138192</v>
      </c>
      <c r="D13" s="2">
        <v>52264</v>
      </c>
      <c r="E13" s="2">
        <v>187524</v>
      </c>
      <c r="F13" s="2">
        <v>33125</v>
      </c>
      <c r="G13" s="2">
        <v>272913</v>
      </c>
    </row>
    <row r="14" spans="1:7" x14ac:dyDescent="0.25">
      <c r="A14" s="12" t="s">
        <v>1741</v>
      </c>
      <c r="B14" s="2">
        <v>130692</v>
      </c>
      <c r="C14" s="2">
        <v>136214</v>
      </c>
      <c r="D14" s="2">
        <v>36355</v>
      </c>
      <c r="E14" s="2">
        <v>186803</v>
      </c>
      <c r="F14" s="2">
        <v>43748</v>
      </c>
      <c r="G14" s="2">
        <v>266906</v>
      </c>
    </row>
    <row r="15" spans="1:7" x14ac:dyDescent="0.25">
      <c r="A15" s="12" t="s">
        <v>1769</v>
      </c>
      <c r="B15" s="2">
        <v>129048</v>
      </c>
      <c r="C15" s="2">
        <v>132548</v>
      </c>
      <c r="D15" s="2">
        <v>51975</v>
      </c>
      <c r="E15" s="2">
        <v>183162</v>
      </c>
      <c r="F15" s="2">
        <v>26459</v>
      </c>
      <c r="G15" s="2">
        <v>261596</v>
      </c>
    </row>
    <row r="16" spans="1:7" x14ac:dyDescent="0.25">
      <c r="A16" s="12" t="s">
        <v>1734</v>
      </c>
      <c r="B16" s="2">
        <v>111738</v>
      </c>
      <c r="C16" s="2">
        <v>110163</v>
      </c>
      <c r="D16" s="2">
        <v>34778</v>
      </c>
      <c r="E16" s="2">
        <v>157298</v>
      </c>
      <c r="F16" s="2">
        <v>29825</v>
      </c>
      <c r="G16" s="2">
        <v>221901</v>
      </c>
    </row>
    <row r="17" spans="1:7" x14ac:dyDescent="0.25">
      <c r="A17" s="12" t="s">
        <v>1874</v>
      </c>
      <c r="B17" s="2">
        <v>97934</v>
      </c>
      <c r="C17" s="2">
        <v>99436</v>
      </c>
      <c r="D17" s="2">
        <v>49350</v>
      </c>
      <c r="E17" s="2">
        <v>134152</v>
      </c>
      <c r="F17" s="2">
        <v>13868</v>
      </c>
      <c r="G17" s="2">
        <v>197370</v>
      </c>
    </row>
    <row r="18" spans="1:7" x14ac:dyDescent="0.25">
      <c r="A18" s="12" t="s">
        <v>1811</v>
      </c>
      <c r="B18" s="2">
        <v>97842</v>
      </c>
      <c r="C18" s="2">
        <v>99014</v>
      </c>
      <c r="D18" s="2">
        <v>33088</v>
      </c>
      <c r="E18" s="2">
        <v>134813</v>
      </c>
      <c r="F18" s="2">
        <v>28955</v>
      </c>
      <c r="G18" s="2">
        <v>196856</v>
      </c>
    </row>
    <row r="19" spans="1:7" x14ac:dyDescent="0.25">
      <c r="A19" s="12" t="s">
        <v>1623</v>
      </c>
      <c r="B19" s="2">
        <v>93513</v>
      </c>
      <c r="C19" s="2">
        <v>95467</v>
      </c>
      <c r="D19" s="2">
        <v>41578</v>
      </c>
      <c r="E19" s="2">
        <v>126697</v>
      </c>
      <c r="F19" s="2">
        <v>20705</v>
      </c>
      <c r="G19" s="2">
        <v>188980</v>
      </c>
    </row>
    <row r="20" spans="1:7" x14ac:dyDescent="0.25">
      <c r="A20" s="12" t="s">
        <v>1637</v>
      </c>
      <c r="B20" s="2">
        <v>84067</v>
      </c>
      <c r="C20" s="2">
        <v>85788</v>
      </c>
      <c r="D20" s="2">
        <v>32186</v>
      </c>
      <c r="E20" s="2">
        <v>113155</v>
      </c>
      <c r="F20" s="2">
        <v>24514</v>
      </c>
      <c r="G20" s="2">
        <v>169855</v>
      </c>
    </row>
    <row r="21" spans="1:7" x14ac:dyDescent="0.25">
      <c r="A21" s="12" t="s">
        <v>1776</v>
      </c>
      <c r="B21" s="2">
        <v>80029</v>
      </c>
      <c r="C21" s="2">
        <v>83980</v>
      </c>
      <c r="D21" s="2">
        <v>18856</v>
      </c>
      <c r="E21" s="2">
        <v>116656</v>
      </c>
      <c r="F21" s="2">
        <v>28497</v>
      </c>
      <c r="G21" s="2">
        <v>164009</v>
      </c>
    </row>
    <row r="22" spans="1:7" x14ac:dyDescent="0.25">
      <c r="A22" s="12" t="s">
        <v>1818</v>
      </c>
      <c r="B22" s="2">
        <v>80668</v>
      </c>
      <c r="C22" s="2">
        <v>82434</v>
      </c>
      <c r="D22" s="2">
        <v>33370</v>
      </c>
      <c r="E22" s="2">
        <v>110313</v>
      </c>
      <c r="F22" s="2">
        <v>19419</v>
      </c>
      <c r="G22" s="2">
        <v>163102</v>
      </c>
    </row>
    <row r="23" spans="1:7" x14ac:dyDescent="0.25">
      <c r="A23" s="12" t="s">
        <v>1804</v>
      </c>
      <c r="B23" s="2">
        <v>77443</v>
      </c>
      <c r="C23" s="2">
        <v>76181</v>
      </c>
      <c r="D23" s="2">
        <v>24104</v>
      </c>
      <c r="E23" s="2">
        <v>110149</v>
      </c>
      <c r="F23" s="2">
        <v>19371</v>
      </c>
      <c r="G23" s="2">
        <v>153624</v>
      </c>
    </row>
    <row r="24" spans="1:7" x14ac:dyDescent="0.25">
      <c r="A24" s="12" t="s">
        <v>1561</v>
      </c>
      <c r="B24" s="2">
        <v>74059</v>
      </c>
      <c r="C24" s="2">
        <v>74840</v>
      </c>
      <c r="D24" s="2">
        <v>29176</v>
      </c>
      <c r="E24" s="2">
        <v>99637</v>
      </c>
      <c r="F24" s="2">
        <v>20086</v>
      </c>
      <c r="G24" s="2">
        <v>148899</v>
      </c>
    </row>
    <row r="25" spans="1:7" x14ac:dyDescent="0.25">
      <c r="A25" s="12" t="s">
        <v>1700</v>
      </c>
      <c r="B25" s="2">
        <v>71473</v>
      </c>
      <c r="C25" s="2">
        <v>73951</v>
      </c>
      <c r="D25" s="2">
        <v>22459</v>
      </c>
      <c r="E25" s="2">
        <v>101829</v>
      </c>
      <c r="F25" s="2">
        <v>21136</v>
      </c>
      <c r="G25" s="2">
        <v>145424</v>
      </c>
    </row>
    <row r="26" spans="1:7" x14ac:dyDescent="0.25">
      <c r="A26" s="12" t="s">
        <v>1867</v>
      </c>
      <c r="B26" s="2">
        <v>71220</v>
      </c>
      <c r="C26" s="2">
        <v>71812</v>
      </c>
      <c r="D26" s="2">
        <v>35392</v>
      </c>
      <c r="E26" s="2">
        <v>97805</v>
      </c>
      <c r="F26" s="2">
        <v>9835</v>
      </c>
      <c r="G26" s="2">
        <v>143032</v>
      </c>
    </row>
    <row r="27" spans="1:7" x14ac:dyDescent="0.25">
      <c r="A27" s="12" t="s">
        <v>1783</v>
      </c>
      <c r="B27" s="2">
        <v>70073</v>
      </c>
      <c r="C27" s="2">
        <v>71750</v>
      </c>
      <c r="D27" s="2">
        <v>23110</v>
      </c>
      <c r="E27" s="2">
        <v>97327</v>
      </c>
      <c r="F27" s="2">
        <v>21386</v>
      </c>
      <c r="G27" s="2">
        <v>141823</v>
      </c>
    </row>
    <row r="28" spans="1:7" x14ac:dyDescent="0.25">
      <c r="A28" s="12" t="s">
        <v>1790</v>
      </c>
      <c r="B28" s="2">
        <v>69456</v>
      </c>
      <c r="C28" s="2">
        <v>70176</v>
      </c>
      <c r="D28" s="2">
        <v>25744</v>
      </c>
      <c r="E28" s="2">
        <v>93465</v>
      </c>
      <c r="F28" s="2">
        <v>20423</v>
      </c>
      <c r="G28" s="2">
        <v>139632</v>
      </c>
    </row>
    <row r="29" spans="1:7" x14ac:dyDescent="0.25">
      <c r="A29" s="12" t="s">
        <v>1720</v>
      </c>
      <c r="B29" s="2">
        <v>68291</v>
      </c>
      <c r="C29" s="2">
        <v>70070</v>
      </c>
      <c r="D29" s="2">
        <v>21443</v>
      </c>
      <c r="E29" s="2">
        <v>93526</v>
      </c>
      <c r="F29" s="2">
        <v>23392</v>
      </c>
      <c r="G29" s="2">
        <v>138361</v>
      </c>
    </row>
    <row r="30" spans="1:7" x14ac:dyDescent="0.25">
      <c r="A30" s="12" t="s">
        <v>1839</v>
      </c>
      <c r="B30" s="2">
        <v>67711</v>
      </c>
      <c r="C30" s="2">
        <v>68963</v>
      </c>
      <c r="D30" s="2">
        <v>23643</v>
      </c>
      <c r="E30" s="2">
        <v>91052</v>
      </c>
      <c r="F30" s="2">
        <v>21979</v>
      </c>
      <c r="G30" s="2">
        <v>136674</v>
      </c>
    </row>
    <row r="31" spans="1:7" x14ac:dyDescent="0.25">
      <c r="A31" s="12" t="s">
        <v>1860</v>
      </c>
      <c r="B31" s="2">
        <v>63762</v>
      </c>
      <c r="C31" s="2">
        <v>67291</v>
      </c>
      <c r="D31" s="2">
        <v>29730</v>
      </c>
      <c r="E31" s="2">
        <v>89342</v>
      </c>
      <c r="F31" s="2">
        <v>11981</v>
      </c>
      <c r="G31" s="2">
        <v>131053</v>
      </c>
    </row>
    <row r="32" spans="1:7" x14ac:dyDescent="0.25">
      <c r="A32" s="12" t="s">
        <v>1651</v>
      </c>
      <c r="B32" s="2">
        <v>59263</v>
      </c>
      <c r="C32" s="2">
        <v>60058</v>
      </c>
      <c r="D32" s="2">
        <v>21523</v>
      </c>
      <c r="E32" s="2">
        <v>80974</v>
      </c>
      <c r="F32" s="2">
        <v>16824</v>
      </c>
      <c r="G32" s="2">
        <v>119321</v>
      </c>
    </row>
    <row r="33" spans="1:7" x14ac:dyDescent="0.25">
      <c r="A33" s="12" t="s">
        <v>1846</v>
      </c>
      <c r="B33" s="2">
        <v>58373</v>
      </c>
      <c r="C33" s="2">
        <v>59954</v>
      </c>
      <c r="D33" s="2">
        <v>25857</v>
      </c>
      <c r="E33" s="2">
        <v>79287</v>
      </c>
      <c r="F33" s="2">
        <v>13183</v>
      </c>
      <c r="G33" s="2">
        <v>118327</v>
      </c>
    </row>
    <row r="34" spans="1:7" x14ac:dyDescent="0.25">
      <c r="A34" s="12" t="s">
        <v>1554</v>
      </c>
      <c r="B34" s="2">
        <v>58531</v>
      </c>
      <c r="C34" s="2">
        <v>59451</v>
      </c>
      <c r="D34" s="2">
        <v>24755</v>
      </c>
      <c r="E34" s="2">
        <v>81081</v>
      </c>
      <c r="F34" s="2">
        <v>12146</v>
      </c>
      <c r="G34" s="2">
        <v>117982</v>
      </c>
    </row>
    <row r="35" spans="1:7" x14ac:dyDescent="0.25">
      <c r="A35" s="12" t="s">
        <v>1602</v>
      </c>
      <c r="B35" s="2">
        <v>52877</v>
      </c>
      <c r="C35" s="2">
        <v>53963</v>
      </c>
      <c r="D35" s="2">
        <v>22132</v>
      </c>
      <c r="E35" s="2">
        <v>72166</v>
      </c>
      <c r="F35" s="2">
        <v>12542</v>
      </c>
      <c r="G35" s="2">
        <v>106840</v>
      </c>
    </row>
    <row r="36" spans="1:7" x14ac:dyDescent="0.25">
      <c r="A36" s="12" t="s">
        <v>1713</v>
      </c>
      <c r="B36" s="2">
        <v>51965</v>
      </c>
      <c r="C36" s="2">
        <v>52497</v>
      </c>
      <c r="D36" s="2">
        <v>17316</v>
      </c>
      <c r="E36" s="2">
        <v>69839</v>
      </c>
      <c r="F36" s="2">
        <v>17307</v>
      </c>
      <c r="G36" s="2">
        <v>104462</v>
      </c>
    </row>
    <row r="37" spans="1:7" x14ac:dyDescent="0.25">
      <c r="A37" s="12" t="s">
        <v>1707</v>
      </c>
      <c r="B37" s="2">
        <v>50963</v>
      </c>
      <c r="C37" s="2">
        <v>52155</v>
      </c>
      <c r="D37" s="2">
        <v>16498</v>
      </c>
      <c r="E37" s="2">
        <v>68821</v>
      </c>
      <c r="F37" s="2">
        <v>17799</v>
      </c>
      <c r="G37" s="2">
        <v>103118</v>
      </c>
    </row>
    <row r="38" spans="1:7" x14ac:dyDescent="0.25">
      <c r="A38" s="12" t="s">
        <v>1755</v>
      </c>
      <c r="B38" s="2">
        <v>50463</v>
      </c>
      <c r="C38" s="2">
        <v>51615</v>
      </c>
      <c r="D38" s="2">
        <v>17168</v>
      </c>
      <c r="E38" s="2">
        <v>67466</v>
      </c>
      <c r="F38" s="2">
        <v>17444</v>
      </c>
      <c r="G38" s="2">
        <v>102078</v>
      </c>
    </row>
    <row r="39" spans="1:7" x14ac:dyDescent="0.25">
      <c r="A39" s="12" t="s">
        <v>1658</v>
      </c>
      <c r="B39" s="2">
        <v>50131</v>
      </c>
      <c r="C39" s="2">
        <v>51270</v>
      </c>
      <c r="D39" s="2">
        <v>16686</v>
      </c>
      <c r="E39" s="2">
        <v>67831</v>
      </c>
      <c r="F39" s="2">
        <v>16884</v>
      </c>
      <c r="G39" s="2">
        <v>101401</v>
      </c>
    </row>
    <row r="40" spans="1:7" x14ac:dyDescent="0.25">
      <c r="A40" s="12" t="s">
        <v>1672</v>
      </c>
      <c r="B40" s="2">
        <v>50179</v>
      </c>
      <c r="C40" s="2">
        <v>50515</v>
      </c>
      <c r="D40" s="2">
        <v>18540</v>
      </c>
      <c r="E40" s="2">
        <v>68171</v>
      </c>
      <c r="F40" s="2">
        <v>13983</v>
      </c>
      <c r="G40" s="2">
        <v>100694</v>
      </c>
    </row>
    <row r="41" spans="1:7" x14ac:dyDescent="0.25">
      <c r="A41" s="12" t="s">
        <v>1762</v>
      </c>
      <c r="B41" s="2">
        <v>48520</v>
      </c>
      <c r="C41" s="2">
        <v>50692</v>
      </c>
      <c r="D41" s="2">
        <v>16671</v>
      </c>
      <c r="E41" s="2">
        <v>65604</v>
      </c>
      <c r="F41" s="2">
        <v>16937</v>
      </c>
      <c r="G41" s="2">
        <v>99212</v>
      </c>
    </row>
    <row r="42" spans="1:7" x14ac:dyDescent="0.25">
      <c r="A42" s="12" t="s">
        <v>1832</v>
      </c>
      <c r="B42" s="2">
        <v>46788</v>
      </c>
      <c r="C42" s="2">
        <v>50261</v>
      </c>
      <c r="D42" s="2">
        <v>16421</v>
      </c>
      <c r="E42" s="2">
        <v>60908</v>
      </c>
      <c r="F42" s="2">
        <v>19720</v>
      </c>
      <c r="G42" s="2">
        <v>97049</v>
      </c>
    </row>
    <row r="43" spans="1:7" x14ac:dyDescent="0.25">
      <c r="A43" s="12" t="s">
        <v>1693</v>
      </c>
      <c r="B43" s="2">
        <v>44603</v>
      </c>
      <c r="C43" s="2">
        <v>45579</v>
      </c>
      <c r="D43" s="2">
        <v>17072</v>
      </c>
      <c r="E43" s="2">
        <v>61191</v>
      </c>
      <c r="F43" s="2">
        <v>11919</v>
      </c>
      <c r="G43" s="2">
        <v>90182</v>
      </c>
    </row>
    <row r="44" spans="1:7" x14ac:dyDescent="0.25">
      <c r="A44" s="12" t="s">
        <v>1540</v>
      </c>
      <c r="B44" s="2">
        <v>44000</v>
      </c>
      <c r="C44" s="2">
        <v>44317</v>
      </c>
      <c r="D44" s="2">
        <v>18199</v>
      </c>
      <c r="E44" s="2">
        <v>60013</v>
      </c>
      <c r="F44" s="2">
        <v>10105</v>
      </c>
      <c r="G44" s="2">
        <v>88317</v>
      </c>
    </row>
    <row r="45" spans="1:7" x14ac:dyDescent="0.25">
      <c r="A45" s="12" t="s">
        <v>1574</v>
      </c>
      <c r="B45" s="2">
        <v>42280</v>
      </c>
      <c r="C45" s="2">
        <v>43234</v>
      </c>
      <c r="D45" s="2">
        <v>17387</v>
      </c>
      <c r="E45" s="2">
        <v>58390</v>
      </c>
      <c r="F45" s="2">
        <v>9737</v>
      </c>
      <c r="G45" s="2">
        <v>85514</v>
      </c>
    </row>
    <row r="46" spans="1:7" x14ac:dyDescent="0.25">
      <c r="A46" s="12" t="s">
        <v>1644</v>
      </c>
      <c r="B46" s="2">
        <v>41599</v>
      </c>
      <c r="C46" s="2">
        <v>42096</v>
      </c>
      <c r="D46" s="2">
        <v>14909</v>
      </c>
      <c r="E46" s="2">
        <v>54449</v>
      </c>
      <c r="F46" s="2">
        <v>14337</v>
      </c>
      <c r="G46" s="2">
        <v>83695</v>
      </c>
    </row>
    <row r="47" spans="1:7" x14ac:dyDescent="0.25">
      <c r="A47" s="12" t="s">
        <v>1630</v>
      </c>
      <c r="B47" s="2">
        <v>40512</v>
      </c>
      <c r="C47" s="2">
        <v>41231</v>
      </c>
      <c r="D47" s="2">
        <v>17206</v>
      </c>
      <c r="E47" s="2">
        <v>55974</v>
      </c>
      <c r="F47" s="2">
        <v>8563</v>
      </c>
      <c r="G47" s="2">
        <v>81743</v>
      </c>
    </row>
    <row r="48" spans="1:7" x14ac:dyDescent="0.25">
      <c r="A48" s="12" t="s">
        <v>1547</v>
      </c>
      <c r="B48" s="2">
        <v>21040</v>
      </c>
      <c r="C48" s="2">
        <v>21353</v>
      </c>
      <c r="D48" s="2">
        <v>8780</v>
      </c>
      <c r="E48" s="2">
        <v>28502</v>
      </c>
      <c r="F48" s="2">
        <v>5111</v>
      </c>
      <c r="G48" s="2">
        <v>42393</v>
      </c>
    </row>
    <row r="49" spans="1:7" x14ac:dyDescent="0.25">
      <c r="A49" s="12" t="s">
        <v>1568</v>
      </c>
      <c r="B49" s="2">
        <v>20947</v>
      </c>
      <c r="C49" s="2">
        <v>21286</v>
      </c>
      <c r="D49" s="2">
        <v>8946</v>
      </c>
      <c r="E49" s="2">
        <v>28186</v>
      </c>
      <c r="F49" s="2">
        <v>5101</v>
      </c>
      <c r="G49" s="2">
        <v>42233</v>
      </c>
    </row>
    <row r="50" spans="1:7" x14ac:dyDescent="0.25">
      <c r="A50" s="12" t="s">
        <v>1825</v>
      </c>
      <c r="B50" s="2">
        <v>19069</v>
      </c>
      <c r="C50" s="2">
        <v>19298</v>
      </c>
      <c r="D50" s="2">
        <v>7384</v>
      </c>
      <c r="E50" s="2">
        <v>25621</v>
      </c>
      <c r="F50" s="2">
        <v>5362</v>
      </c>
      <c r="G50" s="2">
        <v>38367</v>
      </c>
    </row>
    <row r="51" spans="1:7" x14ac:dyDescent="0.25">
      <c r="A51" s="12" t="s">
        <v>1588</v>
      </c>
      <c r="B51" s="2">
        <v>16450</v>
      </c>
      <c r="C51" s="2">
        <v>16571</v>
      </c>
      <c r="D51" s="2">
        <v>6467</v>
      </c>
      <c r="E51" s="2">
        <v>22595</v>
      </c>
      <c r="F51" s="2">
        <v>3959</v>
      </c>
      <c r="G51" s="2">
        <v>33021</v>
      </c>
    </row>
    <row r="52" spans="1:7" x14ac:dyDescent="0.25">
      <c r="A52" s="12" t="s">
        <v>1595</v>
      </c>
      <c r="B52" s="2">
        <v>15073</v>
      </c>
      <c r="C52" s="2">
        <v>15210</v>
      </c>
      <c r="D52" s="2">
        <v>5967</v>
      </c>
      <c r="E52" s="2">
        <v>20924</v>
      </c>
      <c r="F52" s="2">
        <v>3392</v>
      </c>
      <c r="G52" s="2">
        <v>30283</v>
      </c>
    </row>
    <row r="53" spans="1:7" x14ac:dyDescent="0.25">
      <c r="A53" s="12" t="s">
        <v>1880</v>
      </c>
      <c r="B53" s="2">
        <v>11209</v>
      </c>
      <c r="C53" s="2">
        <v>11273</v>
      </c>
      <c r="D53" s="2">
        <v>4524</v>
      </c>
      <c r="E53" s="2">
        <v>15197</v>
      </c>
      <c r="F53" s="2">
        <v>2761</v>
      </c>
      <c r="G53" s="2">
        <v>22482</v>
      </c>
    </row>
    <row r="54" spans="1:7" x14ac:dyDescent="0.25">
      <c r="A54" s="12" t="s">
        <v>1581</v>
      </c>
      <c r="B54" s="2">
        <v>9715</v>
      </c>
      <c r="C54" s="2">
        <v>9804</v>
      </c>
      <c r="D54" s="2">
        <v>3613</v>
      </c>
      <c r="E54" s="2">
        <v>13154</v>
      </c>
      <c r="F54" s="2">
        <v>2752</v>
      </c>
      <c r="G54" s="2">
        <v>19519</v>
      </c>
    </row>
    <row r="55" spans="1:7" x14ac:dyDescent="0.25">
      <c r="A55" s="12" t="s">
        <v>1679</v>
      </c>
      <c r="B55" s="2">
        <v>7747</v>
      </c>
      <c r="C55" s="2">
        <v>7922</v>
      </c>
      <c r="D55" s="2">
        <v>3018</v>
      </c>
      <c r="E55" s="2">
        <v>10530</v>
      </c>
      <c r="F55" s="2">
        <v>2121</v>
      </c>
      <c r="G55" s="2">
        <v>15669</v>
      </c>
    </row>
    <row r="56" spans="1:7" x14ac:dyDescent="0.25">
      <c r="A56" s="12" t="s">
        <v>1533</v>
      </c>
      <c r="B56" s="2">
        <v>6318</v>
      </c>
      <c r="C56" s="2">
        <v>6226</v>
      </c>
      <c r="D56" s="2">
        <v>2408</v>
      </c>
      <c r="E56" s="2">
        <v>8091</v>
      </c>
      <c r="F56" s="2">
        <v>2045</v>
      </c>
      <c r="G56" s="2">
        <v>12544</v>
      </c>
    </row>
    <row r="57" spans="1:7" x14ac:dyDescent="0.25">
      <c r="A57" s="12" t="s">
        <v>1526</v>
      </c>
      <c r="B57" s="2">
        <v>3958</v>
      </c>
      <c r="C57" s="2">
        <v>3898</v>
      </c>
      <c r="D57" s="2">
        <v>1470</v>
      </c>
      <c r="E57" s="2">
        <v>5312</v>
      </c>
      <c r="F57" s="2">
        <v>1074</v>
      </c>
      <c r="G57" s="2">
        <v>7856</v>
      </c>
    </row>
    <row r="58" spans="1:7" x14ac:dyDescent="0.25">
      <c r="A58" s="12" t="s">
        <v>2483</v>
      </c>
      <c r="B58" s="2">
        <v>8333688</v>
      </c>
      <c r="C58" s="2">
        <v>8507770</v>
      </c>
      <c r="D58" s="2">
        <v>3054500</v>
      </c>
      <c r="E58" s="2">
        <v>11678976</v>
      </c>
      <c r="F58" s="2">
        <v>2107982</v>
      </c>
      <c r="G58" s="2">
        <v>16841458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822E-B41C-42AB-9ABC-9FA8AF72077C}">
  <sheetPr codeName="Hoja6"/>
  <dimension ref="A1:P54"/>
  <sheetViews>
    <sheetView showGridLines="0" zoomScaleNormal="100" workbookViewId="0">
      <pane xSplit="2" ySplit="4" topLeftCell="C28" activePane="bottomRight" state="frozen"/>
      <selection pane="topRight" activeCell="C1" sqref="C1"/>
      <selection pane="bottomLeft" activeCell="A5" sqref="A5"/>
      <selection pane="bottomRight" activeCell="G39" sqref="G39"/>
    </sheetView>
  </sheetViews>
  <sheetFormatPr baseColWidth="10" defaultRowHeight="15" x14ac:dyDescent="0.25"/>
  <cols>
    <col min="1" max="1" width="18.85546875" bestFit="1" customWidth="1"/>
    <col min="2" max="3" width="13.42578125" bestFit="1" customWidth="1"/>
    <col min="4" max="6" width="12.42578125" bestFit="1" customWidth="1"/>
    <col min="7" max="7" width="13.5703125" customWidth="1"/>
    <col min="8" max="8" width="13.42578125" customWidth="1"/>
    <col min="9" max="14" width="13.140625" bestFit="1" customWidth="1"/>
    <col min="15" max="15" width="13.7109375" style="7" bestFit="1" customWidth="1"/>
    <col min="16" max="16" width="12" bestFit="1" customWidth="1"/>
  </cols>
  <sheetData>
    <row r="1" spans="1:16" ht="45" x14ac:dyDescent="0.25">
      <c r="A1" t="s">
        <v>2492</v>
      </c>
      <c r="C1" s="17" t="s">
        <v>58</v>
      </c>
      <c r="D1" s="17" t="s">
        <v>56</v>
      </c>
      <c r="E1" s="17" t="s">
        <v>52</v>
      </c>
      <c r="F1" s="17" t="s">
        <v>50</v>
      </c>
      <c r="G1" s="17" t="s">
        <v>46</v>
      </c>
      <c r="H1" s="17" t="s">
        <v>54</v>
      </c>
    </row>
    <row r="2" spans="1:16" x14ac:dyDescent="0.25">
      <c r="A2">
        <f>+'P&amp;G_Agente_Inmobiliario'!A2</f>
        <v>0</v>
      </c>
      <c r="C2" s="2" t="e">
        <f>_xlfn.XLOOKUP(+CONCATENATE($A$2,C1),Poblacion_x_Comuna!$A:$A,Poblacion_x_Comuna!$G:$G)</f>
        <v>#N/A</v>
      </c>
      <c r="D2" s="2" t="e">
        <f>_xlfn.XLOOKUP(+CONCATENATE($A$2,D1),Poblacion_x_Comuna!$A:$A,Poblacion_x_Comuna!$G:$G)</f>
        <v>#N/A</v>
      </c>
      <c r="E2" s="2" t="e">
        <f>_xlfn.XLOOKUP(+CONCATENATE($A$2,E1),Poblacion_x_Comuna!$A:$A,Poblacion_x_Comuna!$G:$G)</f>
        <v>#N/A</v>
      </c>
      <c r="F2" s="2" t="e">
        <f>_xlfn.XLOOKUP(+CONCATENATE($A$2,F1),Poblacion_x_Comuna!$A:$A,Poblacion_x_Comuna!$G:$G)</f>
        <v>#N/A</v>
      </c>
      <c r="G2" s="2" t="e">
        <f>_xlfn.XLOOKUP(+CONCATENATE($A$2,G1),Poblacion_x_Comuna!$A:$A,Poblacion_x_Comuna!$G:$G)</f>
        <v>#N/A</v>
      </c>
      <c r="H2" s="2" t="e">
        <f>_xlfn.XLOOKUP(+CONCATENATE($A$2,H1),Poblacion_x_Comuna!$A:$A,Poblacion_x_Comuna!$G:$G)</f>
        <v>#N/A</v>
      </c>
    </row>
    <row r="4" spans="1:16" s="7" customFormat="1" x14ac:dyDescent="0.25">
      <c r="A4" s="7" t="s">
        <v>2497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  <c r="K4" s="15" t="s">
        <v>11</v>
      </c>
      <c r="L4" s="15" t="s">
        <v>19</v>
      </c>
      <c r="M4" s="15" t="s">
        <v>20</v>
      </c>
      <c r="N4" s="15" t="s">
        <v>21</v>
      </c>
      <c r="O4" s="15" t="s">
        <v>22</v>
      </c>
      <c r="P4" s="15" t="s">
        <v>2496</v>
      </c>
    </row>
    <row r="5" spans="1:16" x14ac:dyDescent="0.25">
      <c r="A5" t="s">
        <v>16</v>
      </c>
      <c r="C5" s="4">
        <v>2</v>
      </c>
      <c r="D5" s="4">
        <v>16</v>
      </c>
      <c r="E5" s="4">
        <v>16</v>
      </c>
      <c r="F5" s="4">
        <v>16</v>
      </c>
      <c r="G5" s="4">
        <v>16</v>
      </c>
      <c r="H5" s="4">
        <v>16</v>
      </c>
      <c r="I5" s="4">
        <v>16</v>
      </c>
      <c r="J5" s="4">
        <v>16</v>
      </c>
      <c r="K5" s="4">
        <v>16</v>
      </c>
      <c r="L5" s="4">
        <v>16</v>
      </c>
      <c r="M5" s="4">
        <v>16</v>
      </c>
      <c r="N5" s="4">
        <v>16</v>
      </c>
      <c r="O5" s="16">
        <f t="shared" ref="O5:O7" si="0">+SUM(C5:N5)</f>
        <v>178</v>
      </c>
      <c r="P5" s="16">
        <f t="shared" ref="P5:P7" si="1">+O5/12</f>
        <v>14.833333333333334</v>
      </c>
    </row>
    <row r="6" spans="1:16" x14ac:dyDescent="0.25">
      <c r="A6" t="s">
        <v>17</v>
      </c>
      <c r="C6" s="4">
        <v>300</v>
      </c>
      <c r="D6" s="4">
        <v>300</v>
      </c>
      <c r="E6" s="4">
        <v>300</v>
      </c>
      <c r="F6" s="4">
        <v>300</v>
      </c>
      <c r="G6" s="4">
        <v>300</v>
      </c>
      <c r="H6" s="4">
        <v>300</v>
      </c>
      <c r="I6" s="4">
        <v>300</v>
      </c>
      <c r="J6" s="4">
        <v>300</v>
      </c>
      <c r="K6" s="4">
        <v>300</v>
      </c>
      <c r="L6" s="4">
        <v>300</v>
      </c>
      <c r="M6" s="4">
        <v>300</v>
      </c>
      <c r="N6" s="4">
        <v>300</v>
      </c>
      <c r="O6" s="16">
        <f t="shared" si="0"/>
        <v>3600</v>
      </c>
      <c r="P6" s="16">
        <f t="shared" si="1"/>
        <v>300</v>
      </c>
    </row>
    <row r="7" spans="1:16" x14ac:dyDescent="0.25">
      <c r="A7" t="s">
        <v>1</v>
      </c>
      <c r="C7" s="2" t="e">
        <f>+H2*3%</f>
        <v>#N/A</v>
      </c>
      <c r="D7" s="2" t="e">
        <f>+C7*1.01</f>
        <v>#N/A</v>
      </c>
      <c r="E7" s="2" t="e">
        <f t="shared" ref="E7:N7" si="2">+D7*1.01</f>
        <v>#N/A</v>
      </c>
      <c r="F7" s="2" t="e">
        <f t="shared" si="2"/>
        <v>#N/A</v>
      </c>
      <c r="G7" s="2" t="e">
        <f t="shared" si="2"/>
        <v>#N/A</v>
      </c>
      <c r="H7" s="2" t="e">
        <f t="shared" si="2"/>
        <v>#N/A</v>
      </c>
      <c r="I7" s="2" t="e">
        <f t="shared" si="2"/>
        <v>#N/A</v>
      </c>
      <c r="J7" s="2" t="e">
        <f t="shared" si="2"/>
        <v>#N/A</v>
      </c>
      <c r="K7" s="2" t="e">
        <f t="shared" si="2"/>
        <v>#N/A</v>
      </c>
      <c r="L7" s="2" t="e">
        <f t="shared" si="2"/>
        <v>#N/A</v>
      </c>
      <c r="M7" s="2" t="e">
        <f t="shared" si="2"/>
        <v>#N/A</v>
      </c>
      <c r="N7" s="2" t="e">
        <f t="shared" si="2"/>
        <v>#N/A</v>
      </c>
      <c r="O7" s="16" t="e">
        <f t="shared" si="0"/>
        <v>#N/A</v>
      </c>
      <c r="P7" s="16" t="e">
        <f t="shared" si="1"/>
        <v>#N/A</v>
      </c>
    </row>
    <row r="8" spans="1:16" s="1" customFormat="1" x14ac:dyDescent="0.25">
      <c r="A8" s="1" t="s">
        <v>23</v>
      </c>
      <c r="C8" s="1">
        <v>500</v>
      </c>
      <c r="D8" s="1">
        <f t="shared" ref="D8:N8" si="3">+(C8/C5)*D5</f>
        <v>4000</v>
      </c>
      <c r="E8" s="1">
        <f t="shared" si="3"/>
        <v>4000</v>
      </c>
      <c r="F8" s="1">
        <f t="shared" si="3"/>
        <v>4000</v>
      </c>
      <c r="G8" s="1">
        <f t="shared" si="3"/>
        <v>4000</v>
      </c>
      <c r="H8" s="1">
        <f t="shared" si="3"/>
        <v>4000</v>
      </c>
      <c r="I8" s="1">
        <f t="shared" si="3"/>
        <v>4000</v>
      </c>
      <c r="J8" s="1">
        <f t="shared" si="3"/>
        <v>4000</v>
      </c>
      <c r="K8" s="1">
        <f t="shared" si="3"/>
        <v>4000</v>
      </c>
      <c r="L8" s="1">
        <f t="shared" si="3"/>
        <v>4000</v>
      </c>
      <c r="M8" s="1">
        <f t="shared" si="3"/>
        <v>4000</v>
      </c>
      <c r="N8" s="1">
        <f t="shared" si="3"/>
        <v>4000</v>
      </c>
      <c r="O8" s="6"/>
    </row>
    <row r="9" spans="1:16" s="1" customFormat="1" x14ac:dyDescent="0.25">
      <c r="A9" s="1" t="s">
        <v>24</v>
      </c>
      <c r="C9" s="1">
        <f>+C8/0.5</f>
        <v>1000</v>
      </c>
      <c r="D9" s="1">
        <f t="shared" ref="D9:N9" si="4">+(C9/C5)*D5</f>
        <v>8000</v>
      </c>
      <c r="E9" s="1">
        <f t="shared" si="4"/>
        <v>8000</v>
      </c>
      <c r="F9" s="1">
        <f t="shared" si="4"/>
        <v>8000</v>
      </c>
      <c r="G9" s="1">
        <f t="shared" si="4"/>
        <v>8000</v>
      </c>
      <c r="H9" s="1">
        <f t="shared" si="4"/>
        <v>8000</v>
      </c>
      <c r="I9" s="1">
        <f t="shared" si="4"/>
        <v>8000</v>
      </c>
      <c r="J9" s="1">
        <f t="shared" si="4"/>
        <v>8000</v>
      </c>
      <c r="K9" s="1">
        <f t="shared" si="4"/>
        <v>8000</v>
      </c>
      <c r="L9" s="1">
        <f t="shared" si="4"/>
        <v>8000</v>
      </c>
      <c r="M9" s="1">
        <f t="shared" si="4"/>
        <v>8000</v>
      </c>
      <c r="N9" s="1">
        <f t="shared" si="4"/>
        <v>8000</v>
      </c>
      <c r="O9" s="6"/>
    </row>
    <row r="10" spans="1:16" s="1" customFormat="1" x14ac:dyDescent="0.25">
      <c r="A10" s="1" t="s">
        <v>15</v>
      </c>
      <c r="C10" s="1">
        <f>+C8/C5</f>
        <v>250</v>
      </c>
      <c r="D10" s="1">
        <v>500</v>
      </c>
      <c r="E10" s="1">
        <v>500</v>
      </c>
      <c r="F10" s="1">
        <v>500</v>
      </c>
      <c r="G10" s="1">
        <v>500</v>
      </c>
      <c r="H10" s="1">
        <v>500</v>
      </c>
      <c r="I10" s="1">
        <v>500</v>
      </c>
      <c r="J10" s="1">
        <v>500</v>
      </c>
      <c r="K10" s="1">
        <v>500</v>
      </c>
      <c r="L10" s="1">
        <v>500</v>
      </c>
      <c r="M10" s="1">
        <v>500</v>
      </c>
      <c r="N10" s="1">
        <v>500</v>
      </c>
      <c r="O10" s="6"/>
    </row>
    <row r="11" spans="1:16" s="1" customFormat="1" x14ac:dyDescent="0.25">
      <c r="A11" s="1" t="s">
        <v>14</v>
      </c>
      <c r="C11" s="1">
        <f>+C9/C5</f>
        <v>500</v>
      </c>
      <c r="D11" s="1">
        <v>990</v>
      </c>
      <c r="E11" s="1">
        <v>990</v>
      </c>
      <c r="F11" s="1">
        <v>990</v>
      </c>
      <c r="G11" s="1">
        <v>990</v>
      </c>
      <c r="H11" s="1">
        <v>990</v>
      </c>
      <c r="I11" s="1">
        <v>990</v>
      </c>
      <c r="J11" s="1">
        <v>990</v>
      </c>
      <c r="K11" s="1">
        <v>990</v>
      </c>
      <c r="L11" s="1">
        <v>990</v>
      </c>
      <c r="M11" s="1">
        <v>990</v>
      </c>
      <c r="N11" s="1">
        <v>990</v>
      </c>
      <c r="O11" s="6"/>
    </row>
    <row r="12" spans="1:16" x14ac:dyDescent="0.25">
      <c r="A12" t="s">
        <v>13</v>
      </c>
      <c r="B12" s="3">
        <v>0</v>
      </c>
      <c r="C12" s="3">
        <v>0.1</v>
      </c>
      <c r="D12" s="3">
        <f t="shared" ref="D12:N12" si="5">+C12+0.07</f>
        <v>0.17</v>
      </c>
      <c r="E12" s="3">
        <f t="shared" si="5"/>
        <v>0.24000000000000002</v>
      </c>
      <c r="F12" s="3">
        <f t="shared" si="5"/>
        <v>0.31000000000000005</v>
      </c>
      <c r="G12" s="3">
        <f t="shared" si="5"/>
        <v>0.38000000000000006</v>
      </c>
      <c r="H12" s="3">
        <f t="shared" si="5"/>
        <v>0.45000000000000007</v>
      </c>
      <c r="I12" s="3">
        <f t="shared" si="5"/>
        <v>0.52</v>
      </c>
      <c r="J12" s="3">
        <f t="shared" si="5"/>
        <v>0.59000000000000008</v>
      </c>
      <c r="K12" s="3">
        <f t="shared" si="5"/>
        <v>0.66000000000000014</v>
      </c>
      <c r="L12" s="3">
        <f t="shared" si="5"/>
        <v>0.7300000000000002</v>
      </c>
      <c r="M12" s="3">
        <f t="shared" si="5"/>
        <v>0.80000000000000027</v>
      </c>
      <c r="N12" s="3">
        <f t="shared" si="5"/>
        <v>0.87000000000000033</v>
      </c>
    </row>
    <row r="13" spans="1:16" x14ac:dyDescent="0.25">
      <c r="A13" s="1" t="s">
        <v>26</v>
      </c>
      <c r="B13" s="3">
        <v>0</v>
      </c>
      <c r="C13" s="3"/>
      <c r="D13" s="3">
        <v>0.03</v>
      </c>
      <c r="E13" s="3">
        <v>0.03</v>
      </c>
      <c r="F13" s="3">
        <v>0.03</v>
      </c>
      <c r="G13" s="3">
        <v>0.03</v>
      </c>
      <c r="H13" s="3">
        <v>0.03</v>
      </c>
      <c r="I13" s="3">
        <v>0.03</v>
      </c>
      <c r="J13" s="3">
        <v>0.03</v>
      </c>
      <c r="K13" s="3">
        <v>0.03</v>
      </c>
      <c r="L13" s="3">
        <v>0.03</v>
      </c>
      <c r="M13" s="3">
        <v>0.03</v>
      </c>
      <c r="N13" s="3">
        <v>0.03</v>
      </c>
    </row>
    <row r="14" spans="1:16" s="2" customFormat="1" x14ac:dyDescent="0.25">
      <c r="A14" s="2" t="s">
        <v>18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16"/>
    </row>
    <row r="15" spans="1:16" s="2" customFormat="1" x14ac:dyDescent="0.25">
      <c r="A15" s="2" t="s">
        <v>1</v>
      </c>
      <c r="B15" s="2" t="e">
        <f>+$C$7*B12*B14</f>
        <v>#N/A</v>
      </c>
      <c r="C15" s="2" t="e">
        <f>+C7*C12</f>
        <v>#N/A</v>
      </c>
      <c r="D15" s="2" t="e">
        <f t="shared" ref="D15:N15" si="6">+D7*D12*(1-D13)</f>
        <v>#N/A</v>
      </c>
      <c r="E15" s="2" t="e">
        <f t="shared" si="6"/>
        <v>#N/A</v>
      </c>
      <c r="F15" s="2" t="e">
        <f t="shared" si="6"/>
        <v>#N/A</v>
      </c>
      <c r="G15" s="2" t="e">
        <f t="shared" si="6"/>
        <v>#N/A</v>
      </c>
      <c r="H15" s="2" t="e">
        <f t="shared" si="6"/>
        <v>#N/A</v>
      </c>
      <c r="I15" s="2" t="e">
        <f t="shared" si="6"/>
        <v>#N/A</v>
      </c>
      <c r="J15" s="2" t="e">
        <f t="shared" si="6"/>
        <v>#N/A</v>
      </c>
      <c r="K15" s="2" t="e">
        <f t="shared" si="6"/>
        <v>#N/A</v>
      </c>
      <c r="L15" s="2" t="e">
        <f t="shared" si="6"/>
        <v>#N/A</v>
      </c>
      <c r="M15" s="2" t="e">
        <f t="shared" si="6"/>
        <v>#N/A</v>
      </c>
      <c r="N15" s="2" t="e">
        <f t="shared" si="6"/>
        <v>#N/A</v>
      </c>
      <c r="O15" s="16"/>
    </row>
    <row r="16" spans="1:16" s="33" customFormat="1" x14ac:dyDescent="0.25">
      <c r="A16" s="33" t="s">
        <v>12</v>
      </c>
      <c r="B16" s="33">
        <f>+$C$9*B14*0</f>
        <v>0</v>
      </c>
      <c r="C16" s="33" t="e">
        <f t="shared" ref="C16:N16" si="7">+C9*C15*C14</f>
        <v>#N/A</v>
      </c>
      <c r="D16" s="33" t="e">
        <f t="shared" si="7"/>
        <v>#N/A</v>
      </c>
      <c r="E16" s="33" t="e">
        <f t="shared" si="7"/>
        <v>#N/A</v>
      </c>
      <c r="F16" s="33" t="e">
        <f t="shared" si="7"/>
        <v>#N/A</v>
      </c>
      <c r="G16" s="33" t="e">
        <f t="shared" si="7"/>
        <v>#N/A</v>
      </c>
      <c r="H16" s="33" t="e">
        <f t="shared" si="7"/>
        <v>#N/A</v>
      </c>
      <c r="I16" s="33" t="e">
        <f t="shared" si="7"/>
        <v>#N/A</v>
      </c>
      <c r="J16" s="33" t="e">
        <f t="shared" si="7"/>
        <v>#N/A</v>
      </c>
      <c r="K16" s="33" t="e">
        <f t="shared" si="7"/>
        <v>#N/A</v>
      </c>
      <c r="L16" s="33" t="e">
        <f t="shared" si="7"/>
        <v>#N/A</v>
      </c>
      <c r="M16" s="33" t="e">
        <f t="shared" si="7"/>
        <v>#N/A</v>
      </c>
      <c r="N16" s="33" t="e">
        <f t="shared" si="7"/>
        <v>#N/A</v>
      </c>
      <c r="O16" s="33" t="e">
        <f>+SUM(B16:N16)</f>
        <v>#N/A</v>
      </c>
      <c r="P16" s="33" t="e">
        <f>+O16/12</f>
        <v>#N/A</v>
      </c>
    </row>
    <row r="17" spans="1:16" s="2" customFormat="1" ht="7.5" customHeight="1" x14ac:dyDescent="0.25">
      <c r="O17" s="16"/>
    </row>
    <row r="18" spans="1:16" s="2" customFormat="1" x14ac:dyDescent="0.25">
      <c r="A18" s="2" t="s">
        <v>28</v>
      </c>
      <c r="B18" s="2" t="e">
        <f>+$C$33*C8*-1</f>
        <v>#N/A</v>
      </c>
      <c r="C18" s="2" t="e">
        <f t="shared" ref="C18:N18" si="8">+C8*C15*C14*-1</f>
        <v>#N/A</v>
      </c>
      <c r="D18" s="2" t="e">
        <f t="shared" si="8"/>
        <v>#N/A</v>
      </c>
      <c r="E18" s="2" t="e">
        <f t="shared" si="8"/>
        <v>#N/A</v>
      </c>
      <c r="F18" s="2" t="e">
        <f t="shared" si="8"/>
        <v>#N/A</v>
      </c>
      <c r="G18" s="2" t="e">
        <f t="shared" si="8"/>
        <v>#N/A</v>
      </c>
      <c r="H18" s="2" t="e">
        <f t="shared" si="8"/>
        <v>#N/A</v>
      </c>
      <c r="I18" s="2" t="e">
        <f t="shared" si="8"/>
        <v>#N/A</v>
      </c>
      <c r="J18" s="2" t="e">
        <f t="shared" si="8"/>
        <v>#N/A</v>
      </c>
      <c r="K18" s="2" t="e">
        <f t="shared" si="8"/>
        <v>#N/A</v>
      </c>
      <c r="L18" s="2" t="e">
        <f t="shared" si="8"/>
        <v>#N/A</v>
      </c>
      <c r="M18" s="2" t="e">
        <f t="shared" si="8"/>
        <v>#N/A</v>
      </c>
      <c r="N18" s="2" t="e">
        <f t="shared" si="8"/>
        <v>#N/A</v>
      </c>
      <c r="O18" s="16" t="e">
        <f>+SUM(B18:N18)</f>
        <v>#N/A</v>
      </c>
      <c r="P18" s="16" t="e">
        <f t="shared" ref="P18:P22" si="9">+O18/12</f>
        <v>#N/A</v>
      </c>
    </row>
    <row r="19" spans="1:16" s="2" customFormat="1" x14ac:dyDescent="0.25">
      <c r="A19" s="2" t="s">
        <v>27</v>
      </c>
      <c r="C19" s="2">
        <f>1500000*-1</f>
        <v>-1500000</v>
      </c>
      <c r="D19" s="2">
        <f>1500000*-1</f>
        <v>-1500000</v>
      </c>
      <c r="E19" s="2">
        <f t="shared" ref="E19:H19" si="10">1500000*-1</f>
        <v>-1500000</v>
      </c>
      <c r="F19" s="2">
        <f t="shared" si="10"/>
        <v>-1500000</v>
      </c>
      <c r="G19" s="2">
        <f t="shared" si="10"/>
        <v>-1500000</v>
      </c>
      <c r="H19" s="2">
        <f t="shared" si="10"/>
        <v>-1500000</v>
      </c>
      <c r="I19" s="2">
        <f>2500000*-1</f>
        <v>-2500000</v>
      </c>
      <c r="J19" s="2">
        <f t="shared" ref="J19:N19" si="11">2500000*-1</f>
        <v>-2500000</v>
      </c>
      <c r="K19" s="2">
        <f t="shared" si="11"/>
        <v>-2500000</v>
      </c>
      <c r="L19" s="2">
        <f t="shared" si="11"/>
        <v>-2500000</v>
      </c>
      <c r="M19" s="2">
        <f t="shared" si="11"/>
        <v>-2500000</v>
      </c>
      <c r="N19" s="2">
        <f t="shared" si="11"/>
        <v>-2500000</v>
      </c>
      <c r="O19" s="16">
        <f>+SUM(B19:N19)</f>
        <v>-24000000</v>
      </c>
      <c r="P19" s="16">
        <f t="shared" si="9"/>
        <v>-2000000</v>
      </c>
    </row>
    <row r="20" spans="1:16" s="2" customFormat="1" x14ac:dyDescent="0.25">
      <c r="A20" s="2" t="s">
        <v>29</v>
      </c>
      <c r="B20" s="2">
        <f>2000000*-1</f>
        <v>-2000000</v>
      </c>
      <c r="C20" s="2">
        <f>2000000*-1</f>
        <v>-2000000</v>
      </c>
      <c r="D20" s="2">
        <f>2000000*-1</f>
        <v>-2000000</v>
      </c>
      <c r="E20" s="2">
        <f t="shared" ref="E20:N20" si="12">2000000*-1</f>
        <v>-2000000</v>
      </c>
      <c r="F20" s="2">
        <f t="shared" si="12"/>
        <v>-2000000</v>
      </c>
      <c r="G20" s="2">
        <f t="shared" si="12"/>
        <v>-2000000</v>
      </c>
      <c r="H20" s="2">
        <f t="shared" si="12"/>
        <v>-2000000</v>
      </c>
      <c r="I20" s="2">
        <f t="shared" si="12"/>
        <v>-2000000</v>
      </c>
      <c r="J20" s="2">
        <f t="shared" si="12"/>
        <v>-2000000</v>
      </c>
      <c r="K20" s="2">
        <f t="shared" si="12"/>
        <v>-2000000</v>
      </c>
      <c r="L20" s="2">
        <f t="shared" si="12"/>
        <v>-2000000</v>
      </c>
      <c r="M20" s="2">
        <f t="shared" si="12"/>
        <v>-2000000</v>
      </c>
      <c r="N20" s="2">
        <f t="shared" si="12"/>
        <v>-2000000</v>
      </c>
      <c r="O20" s="16">
        <f>+SUM(B20:N20)</f>
        <v>-26000000</v>
      </c>
      <c r="P20" s="16">
        <f t="shared" si="9"/>
        <v>-2166666.6666666665</v>
      </c>
    </row>
    <row r="21" spans="1:16" s="2" customFormat="1" x14ac:dyDescent="0.25">
      <c r="A21" s="2" t="s">
        <v>30</v>
      </c>
      <c r="C21" s="2" t="e">
        <f>+C15*990*-1</f>
        <v>#N/A</v>
      </c>
      <c r="D21" s="2" t="e">
        <f>+D15*990*-1</f>
        <v>#N/A</v>
      </c>
      <c r="E21" s="2" t="e">
        <f t="shared" ref="E21:N21" si="13">+E15*990*-1</f>
        <v>#N/A</v>
      </c>
      <c r="F21" s="2" t="e">
        <f t="shared" si="13"/>
        <v>#N/A</v>
      </c>
      <c r="G21" s="2" t="e">
        <f t="shared" si="13"/>
        <v>#N/A</v>
      </c>
      <c r="H21" s="2" t="e">
        <f t="shared" si="13"/>
        <v>#N/A</v>
      </c>
      <c r="I21" s="2" t="e">
        <f t="shared" si="13"/>
        <v>#N/A</v>
      </c>
      <c r="J21" s="2" t="e">
        <f t="shared" si="13"/>
        <v>#N/A</v>
      </c>
      <c r="K21" s="2" t="e">
        <f t="shared" si="13"/>
        <v>#N/A</v>
      </c>
      <c r="L21" s="2" t="e">
        <f t="shared" si="13"/>
        <v>#N/A</v>
      </c>
      <c r="M21" s="2" t="e">
        <f t="shared" si="13"/>
        <v>#N/A</v>
      </c>
      <c r="N21" s="2" t="e">
        <f t="shared" si="13"/>
        <v>#N/A</v>
      </c>
      <c r="O21" s="16" t="e">
        <f>+SUM(B21:N21)</f>
        <v>#N/A</v>
      </c>
      <c r="P21" s="16" t="e">
        <f t="shared" si="9"/>
        <v>#N/A</v>
      </c>
    </row>
    <row r="22" spans="1:16" s="2" customFormat="1" x14ac:dyDescent="0.25">
      <c r="A22" s="16" t="s">
        <v>41</v>
      </c>
      <c r="B22" s="16" t="e">
        <f t="shared" ref="B22:N22" si="14">B18+B19+B20+B21</f>
        <v>#N/A</v>
      </c>
      <c r="C22" s="16" t="e">
        <f t="shared" si="14"/>
        <v>#N/A</v>
      </c>
      <c r="D22" s="16" t="e">
        <f t="shared" si="14"/>
        <v>#N/A</v>
      </c>
      <c r="E22" s="16" t="e">
        <f t="shared" si="14"/>
        <v>#N/A</v>
      </c>
      <c r="F22" s="16" t="e">
        <f t="shared" si="14"/>
        <v>#N/A</v>
      </c>
      <c r="G22" s="16" t="e">
        <f t="shared" si="14"/>
        <v>#N/A</v>
      </c>
      <c r="H22" s="16" t="e">
        <f t="shared" si="14"/>
        <v>#N/A</v>
      </c>
      <c r="I22" s="16" t="e">
        <f t="shared" si="14"/>
        <v>#N/A</v>
      </c>
      <c r="J22" s="16" t="e">
        <f t="shared" si="14"/>
        <v>#N/A</v>
      </c>
      <c r="K22" s="16" t="e">
        <f t="shared" si="14"/>
        <v>#N/A</v>
      </c>
      <c r="L22" s="16" t="e">
        <f t="shared" si="14"/>
        <v>#N/A</v>
      </c>
      <c r="M22" s="16" t="e">
        <f t="shared" si="14"/>
        <v>#N/A</v>
      </c>
      <c r="N22" s="16" t="e">
        <f t="shared" si="14"/>
        <v>#N/A</v>
      </c>
      <c r="O22" s="16" t="e">
        <f t="shared" ref="O22" si="15">+SUM(B22:N22)</f>
        <v>#N/A</v>
      </c>
      <c r="P22" s="16" t="e">
        <f t="shared" si="9"/>
        <v>#N/A</v>
      </c>
    </row>
    <row r="23" spans="1:16" s="2" customFormat="1" x14ac:dyDescent="0.25">
      <c r="A23" s="2" t="s">
        <v>44</v>
      </c>
      <c r="B23" s="2" t="e">
        <f>+B22</f>
        <v>#N/A</v>
      </c>
      <c r="C23" s="2" t="e">
        <f>+B23+C22</f>
        <v>#N/A</v>
      </c>
      <c r="D23" s="2" t="e">
        <f t="shared" ref="D23:N23" si="16">+C23+D22</f>
        <v>#N/A</v>
      </c>
      <c r="E23" s="2" t="e">
        <f t="shared" si="16"/>
        <v>#N/A</v>
      </c>
      <c r="F23" s="2" t="e">
        <f t="shared" si="16"/>
        <v>#N/A</v>
      </c>
      <c r="G23" s="2" t="e">
        <f t="shared" si="16"/>
        <v>#N/A</v>
      </c>
      <c r="H23" s="2" t="e">
        <f t="shared" si="16"/>
        <v>#N/A</v>
      </c>
      <c r="I23" s="2" t="e">
        <f t="shared" si="16"/>
        <v>#N/A</v>
      </c>
      <c r="J23" s="2" t="e">
        <f t="shared" si="16"/>
        <v>#N/A</v>
      </c>
      <c r="K23" s="2" t="e">
        <f t="shared" si="16"/>
        <v>#N/A</v>
      </c>
      <c r="L23" s="2" t="e">
        <f t="shared" si="16"/>
        <v>#N/A</v>
      </c>
      <c r="M23" s="2" t="e">
        <f t="shared" si="16"/>
        <v>#N/A</v>
      </c>
      <c r="N23" s="2" t="e">
        <f t="shared" si="16"/>
        <v>#N/A</v>
      </c>
      <c r="O23" s="16"/>
    </row>
    <row r="24" spans="1:16" ht="6.9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8"/>
    </row>
    <row r="25" spans="1:16" s="2" customFormat="1" x14ac:dyDescent="0.25">
      <c r="A25" s="2" t="s">
        <v>42</v>
      </c>
      <c r="C25" s="2" t="e">
        <f t="shared" ref="C25:O25" si="17">+C16+C22</f>
        <v>#N/A</v>
      </c>
      <c r="D25" s="2" t="e">
        <f t="shared" si="17"/>
        <v>#N/A</v>
      </c>
      <c r="E25" s="2" t="e">
        <f t="shared" si="17"/>
        <v>#N/A</v>
      </c>
      <c r="F25" s="2" t="e">
        <f t="shared" si="17"/>
        <v>#N/A</v>
      </c>
      <c r="G25" s="2" t="e">
        <f t="shared" si="17"/>
        <v>#N/A</v>
      </c>
      <c r="H25" s="2" t="e">
        <f t="shared" si="17"/>
        <v>#N/A</v>
      </c>
      <c r="I25" s="2" t="e">
        <f t="shared" si="17"/>
        <v>#N/A</v>
      </c>
      <c r="J25" s="2" t="e">
        <f t="shared" si="17"/>
        <v>#N/A</v>
      </c>
      <c r="K25" s="2" t="e">
        <f t="shared" si="17"/>
        <v>#N/A</v>
      </c>
      <c r="L25" s="2" t="e">
        <f t="shared" si="17"/>
        <v>#N/A</v>
      </c>
      <c r="M25" s="2" t="e">
        <f t="shared" si="17"/>
        <v>#N/A</v>
      </c>
      <c r="N25" s="2" t="e">
        <f t="shared" si="17"/>
        <v>#N/A</v>
      </c>
      <c r="O25" s="16" t="e">
        <f t="shared" si="17"/>
        <v>#N/A</v>
      </c>
      <c r="P25" s="16" t="e">
        <f>+O25/12</f>
        <v>#N/A</v>
      </c>
    </row>
    <row r="26" spans="1:16" s="3" customFormat="1" x14ac:dyDescent="0.25">
      <c r="A26" s="3" t="s">
        <v>43</v>
      </c>
      <c r="C26" s="5" t="e">
        <f t="shared" ref="C26:N26" si="18">+C25/C16</f>
        <v>#N/A</v>
      </c>
      <c r="D26" s="5" t="e">
        <f t="shared" si="18"/>
        <v>#N/A</v>
      </c>
      <c r="E26" s="5" t="e">
        <f t="shared" si="18"/>
        <v>#N/A</v>
      </c>
      <c r="F26" s="5" t="e">
        <f t="shared" si="18"/>
        <v>#N/A</v>
      </c>
      <c r="G26" s="5" t="e">
        <f t="shared" si="18"/>
        <v>#N/A</v>
      </c>
      <c r="H26" s="5" t="e">
        <f t="shared" si="18"/>
        <v>#N/A</v>
      </c>
      <c r="I26" s="5" t="e">
        <f t="shared" si="18"/>
        <v>#N/A</v>
      </c>
      <c r="J26" s="5" t="e">
        <f t="shared" si="18"/>
        <v>#N/A</v>
      </c>
      <c r="K26" s="5" t="e">
        <f t="shared" si="18"/>
        <v>#N/A</v>
      </c>
      <c r="L26" s="5" t="e">
        <f t="shared" si="18"/>
        <v>#N/A</v>
      </c>
      <c r="M26" s="5" t="e">
        <f t="shared" si="18"/>
        <v>#N/A</v>
      </c>
      <c r="N26" s="5" t="e">
        <f t="shared" si="18"/>
        <v>#N/A</v>
      </c>
      <c r="O26" s="34" t="e">
        <f>+O25/O16</f>
        <v>#N/A</v>
      </c>
      <c r="P26" s="34" t="e">
        <f>+P25/P16</f>
        <v>#N/A</v>
      </c>
    </row>
    <row r="27" spans="1:16" s="2" customFormat="1" x14ac:dyDescent="0.25">
      <c r="A27" s="2" t="s">
        <v>2494</v>
      </c>
      <c r="C27" s="2" t="e">
        <f>+SUM($B$16:C16)+C23</f>
        <v>#N/A</v>
      </c>
      <c r="D27" s="2" t="e">
        <f>+SUM($B$16:D16)+D23</f>
        <v>#N/A</v>
      </c>
      <c r="E27" s="2" t="e">
        <f>+SUM($B$16:E16)+E23</f>
        <v>#N/A</v>
      </c>
      <c r="F27" s="2" t="e">
        <f>+SUM($B$16:F16)+F23</f>
        <v>#N/A</v>
      </c>
      <c r="G27" s="2" t="e">
        <f>+SUM($B$16:G16)+G23</f>
        <v>#N/A</v>
      </c>
      <c r="H27" s="2" t="e">
        <f>+SUM($B$16:H16)+H23</f>
        <v>#N/A</v>
      </c>
      <c r="I27" s="2" t="e">
        <f>+SUM($B$16:I16)+I23</f>
        <v>#N/A</v>
      </c>
      <c r="J27" s="2" t="e">
        <f>+SUM($B$16:J16)+J23</f>
        <v>#N/A</v>
      </c>
      <c r="K27" s="2" t="e">
        <f>+SUM($B$16:K16)+K23</f>
        <v>#N/A</v>
      </c>
      <c r="L27" s="2" t="e">
        <f>+SUM($B$16:L16)+L23</f>
        <v>#N/A</v>
      </c>
      <c r="M27" s="2" t="e">
        <f>+SUM($B$16:M16)+M23</f>
        <v>#N/A</v>
      </c>
      <c r="N27" s="2" t="e">
        <f>+SUM($B$16:N16)+N23</f>
        <v>#N/A</v>
      </c>
      <c r="O27" s="16"/>
    </row>
    <row r="28" spans="1:16" x14ac:dyDescent="0.25">
      <c r="A28" s="1" t="s">
        <v>2495</v>
      </c>
      <c r="C28" s="5" t="e">
        <f>+C27/+SUM($B$16:C16)</f>
        <v>#N/A</v>
      </c>
      <c r="D28" s="5" t="e">
        <f>+D27/+SUM($B$16:D16)</f>
        <v>#N/A</v>
      </c>
      <c r="E28" s="5" t="e">
        <f>+E27/+SUM($B$16:E16)</f>
        <v>#N/A</v>
      </c>
      <c r="F28" s="5" t="e">
        <f>+F27/+SUM($B$16:F16)</f>
        <v>#N/A</v>
      </c>
      <c r="G28" s="5" t="e">
        <f>+G27/+SUM($B$16:G16)</f>
        <v>#N/A</v>
      </c>
      <c r="H28" s="5" t="e">
        <f>+H27/+SUM($B$16:H16)</f>
        <v>#N/A</v>
      </c>
      <c r="I28" s="5" t="e">
        <f>+I27/+SUM($B$16:I16)</f>
        <v>#N/A</v>
      </c>
      <c r="J28" s="5" t="e">
        <f>+J27/+SUM($B$16:J16)</f>
        <v>#N/A</v>
      </c>
      <c r="K28" s="5" t="e">
        <f>+K27/+SUM($B$16:K16)</f>
        <v>#N/A</v>
      </c>
      <c r="L28" s="5" t="e">
        <f>+L27/+SUM($B$16:L16)</f>
        <v>#N/A</v>
      </c>
      <c r="M28" s="5" t="e">
        <f>+M27/+SUM($B$16:M16)</f>
        <v>#N/A</v>
      </c>
      <c r="N28" s="5" t="e">
        <f>+N27/+SUM($B$16:N16)</f>
        <v>#N/A</v>
      </c>
    </row>
    <row r="30" spans="1:16" s="7" customFormat="1" x14ac:dyDescent="0.25">
      <c r="A30" s="7" t="s">
        <v>2498</v>
      </c>
      <c r="B30" s="15" t="s">
        <v>2</v>
      </c>
      <c r="C30" s="15" t="s">
        <v>3</v>
      </c>
      <c r="D30" s="15" t="s">
        <v>4</v>
      </c>
      <c r="E30" s="15" t="s">
        <v>5</v>
      </c>
      <c r="F30" s="15" t="s">
        <v>6</v>
      </c>
      <c r="G30" s="15" t="s">
        <v>7</v>
      </c>
      <c r="H30" s="15" t="s">
        <v>8</v>
      </c>
      <c r="I30" s="15" t="s">
        <v>9</v>
      </c>
      <c r="J30" s="15" t="s">
        <v>10</v>
      </c>
      <c r="K30" s="15" t="s">
        <v>11</v>
      </c>
      <c r="L30" s="15" t="s">
        <v>19</v>
      </c>
      <c r="M30" s="15" t="s">
        <v>20</v>
      </c>
      <c r="N30" s="15" t="s">
        <v>21</v>
      </c>
      <c r="O30" s="15" t="s">
        <v>22</v>
      </c>
      <c r="P30" s="15" t="s">
        <v>2496</v>
      </c>
    </row>
    <row r="31" spans="1:16" x14ac:dyDescent="0.25">
      <c r="A31" t="s">
        <v>16</v>
      </c>
      <c r="C31" s="4">
        <v>4</v>
      </c>
      <c r="D31" s="4">
        <v>24</v>
      </c>
      <c r="E31" s="4">
        <v>24</v>
      </c>
      <c r="F31" s="4">
        <v>24</v>
      </c>
      <c r="G31" s="4">
        <v>24</v>
      </c>
      <c r="H31" s="4">
        <v>24</v>
      </c>
      <c r="I31" s="4">
        <v>24</v>
      </c>
      <c r="J31" s="4">
        <v>24</v>
      </c>
      <c r="K31" s="4">
        <v>24</v>
      </c>
      <c r="L31" s="4">
        <v>24</v>
      </c>
      <c r="M31" s="4">
        <v>24</v>
      </c>
      <c r="N31" s="4">
        <v>24</v>
      </c>
      <c r="O31" s="16">
        <f t="shared" ref="O31:O33" si="19">+SUM(C31:N31)</f>
        <v>268</v>
      </c>
      <c r="P31" s="16">
        <f t="shared" ref="P31:P33" si="20">+O31/12</f>
        <v>22.333333333333332</v>
      </c>
    </row>
    <row r="32" spans="1:16" x14ac:dyDescent="0.25">
      <c r="A32" t="s">
        <v>17</v>
      </c>
      <c r="C32" s="4">
        <v>300</v>
      </c>
      <c r="D32" s="4">
        <v>300</v>
      </c>
      <c r="E32" s="4">
        <v>300</v>
      </c>
      <c r="F32" s="4">
        <v>300</v>
      </c>
      <c r="G32" s="4">
        <v>300</v>
      </c>
      <c r="H32" s="4">
        <v>300</v>
      </c>
      <c r="I32" s="4">
        <v>300</v>
      </c>
      <c r="J32" s="4">
        <v>300</v>
      </c>
      <c r="K32" s="4">
        <v>300</v>
      </c>
      <c r="L32" s="4">
        <v>300</v>
      </c>
      <c r="M32" s="4">
        <v>300</v>
      </c>
      <c r="N32" s="4">
        <v>300</v>
      </c>
      <c r="O32" s="16">
        <f t="shared" si="19"/>
        <v>3600</v>
      </c>
      <c r="P32" s="16">
        <f t="shared" si="20"/>
        <v>300</v>
      </c>
    </row>
    <row r="33" spans="1:16" x14ac:dyDescent="0.25">
      <c r="A33" t="s">
        <v>1</v>
      </c>
      <c r="C33" s="2" t="e">
        <f>+C7</f>
        <v>#N/A</v>
      </c>
      <c r="D33" s="2" t="e">
        <f>+C33*1.01</f>
        <v>#N/A</v>
      </c>
      <c r="E33" s="2" t="e">
        <f t="shared" ref="E33:N33" si="21">+D33*1.01</f>
        <v>#N/A</v>
      </c>
      <c r="F33" s="2" t="e">
        <f t="shared" si="21"/>
        <v>#N/A</v>
      </c>
      <c r="G33" s="2" t="e">
        <f t="shared" si="21"/>
        <v>#N/A</v>
      </c>
      <c r="H33" s="2" t="e">
        <f t="shared" si="21"/>
        <v>#N/A</v>
      </c>
      <c r="I33" s="2" t="e">
        <f t="shared" si="21"/>
        <v>#N/A</v>
      </c>
      <c r="J33" s="2" t="e">
        <f t="shared" si="21"/>
        <v>#N/A</v>
      </c>
      <c r="K33" s="2" t="e">
        <f t="shared" si="21"/>
        <v>#N/A</v>
      </c>
      <c r="L33" s="2" t="e">
        <f t="shared" si="21"/>
        <v>#N/A</v>
      </c>
      <c r="M33" s="2" t="e">
        <f t="shared" si="21"/>
        <v>#N/A</v>
      </c>
      <c r="N33" s="2" t="e">
        <f t="shared" si="21"/>
        <v>#N/A</v>
      </c>
      <c r="O33" s="16" t="e">
        <f t="shared" si="19"/>
        <v>#N/A</v>
      </c>
      <c r="P33" s="16" t="e">
        <f t="shared" si="20"/>
        <v>#N/A</v>
      </c>
    </row>
    <row r="34" spans="1:16" s="1" customFormat="1" x14ac:dyDescent="0.25">
      <c r="A34" s="1" t="s">
        <v>23</v>
      </c>
      <c r="C34" s="1">
        <f>+C31*C10</f>
        <v>1000</v>
      </c>
      <c r="D34" s="1">
        <f>+(C34/C31)*D31</f>
        <v>6000</v>
      </c>
      <c r="E34" s="1">
        <f t="shared" ref="E34:N34" si="22">+(D34/D31)*E31</f>
        <v>6000</v>
      </c>
      <c r="F34" s="1">
        <f t="shared" si="22"/>
        <v>6000</v>
      </c>
      <c r="G34" s="1">
        <f t="shared" si="22"/>
        <v>6000</v>
      </c>
      <c r="H34" s="1">
        <f t="shared" si="22"/>
        <v>6000</v>
      </c>
      <c r="I34" s="1">
        <f t="shared" si="22"/>
        <v>6000</v>
      </c>
      <c r="J34" s="1">
        <f t="shared" si="22"/>
        <v>6000</v>
      </c>
      <c r="K34" s="1">
        <f t="shared" si="22"/>
        <v>6000</v>
      </c>
      <c r="L34" s="1">
        <f t="shared" si="22"/>
        <v>6000</v>
      </c>
      <c r="M34" s="1">
        <f t="shared" si="22"/>
        <v>6000</v>
      </c>
      <c r="N34" s="1">
        <f t="shared" si="22"/>
        <v>6000</v>
      </c>
      <c r="O34" s="6"/>
    </row>
    <row r="35" spans="1:16" s="1" customFormat="1" x14ac:dyDescent="0.25">
      <c r="A35" s="1" t="s">
        <v>24</v>
      </c>
      <c r="C35" s="1">
        <f>+C34/0.5</f>
        <v>2000</v>
      </c>
      <c r="D35" s="1">
        <f>+(C35/C31)*D31</f>
        <v>12000</v>
      </c>
      <c r="E35" s="1">
        <f t="shared" ref="E35:N35" si="23">+(D35/D31)*E31</f>
        <v>12000</v>
      </c>
      <c r="F35" s="1">
        <f t="shared" si="23"/>
        <v>12000</v>
      </c>
      <c r="G35" s="1">
        <f t="shared" si="23"/>
        <v>12000</v>
      </c>
      <c r="H35" s="1">
        <f t="shared" si="23"/>
        <v>12000</v>
      </c>
      <c r="I35" s="1">
        <f t="shared" si="23"/>
        <v>12000</v>
      </c>
      <c r="J35" s="1">
        <f t="shared" si="23"/>
        <v>12000</v>
      </c>
      <c r="K35" s="1">
        <f t="shared" si="23"/>
        <v>12000</v>
      </c>
      <c r="L35" s="1">
        <f t="shared" si="23"/>
        <v>12000</v>
      </c>
      <c r="M35" s="1">
        <f t="shared" si="23"/>
        <v>12000</v>
      </c>
      <c r="N35" s="1">
        <f t="shared" si="23"/>
        <v>12000</v>
      </c>
      <c r="O35" s="6"/>
    </row>
    <row r="36" spans="1:16" s="1" customFormat="1" x14ac:dyDescent="0.25">
      <c r="A36" s="1" t="s">
        <v>15</v>
      </c>
      <c r="C36" s="1">
        <f>+C34/C31</f>
        <v>250</v>
      </c>
      <c r="D36" s="1">
        <f>+(C34/C31)*D31/D31</f>
        <v>250</v>
      </c>
      <c r="E36" s="1">
        <f t="shared" ref="E36:N36" si="24">+(D34/D31)*E31/E31</f>
        <v>250</v>
      </c>
      <c r="F36" s="1">
        <f t="shared" si="24"/>
        <v>250</v>
      </c>
      <c r="G36" s="1">
        <f t="shared" si="24"/>
        <v>250</v>
      </c>
      <c r="H36" s="1">
        <f t="shared" si="24"/>
        <v>250</v>
      </c>
      <c r="I36" s="1">
        <f t="shared" si="24"/>
        <v>250</v>
      </c>
      <c r="J36" s="1">
        <f t="shared" si="24"/>
        <v>250</v>
      </c>
      <c r="K36" s="1">
        <f t="shared" si="24"/>
        <v>250</v>
      </c>
      <c r="L36" s="1">
        <f t="shared" si="24"/>
        <v>250</v>
      </c>
      <c r="M36" s="1">
        <f t="shared" si="24"/>
        <v>250</v>
      </c>
      <c r="N36" s="1">
        <f t="shared" si="24"/>
        <v>250</v>
      </c>
      <c r="O36" s="6">
        <f>+N36</f>
        <v>250</v>
      </c>
      <c r="P36" s="1">
        <f>+O36</f>
        <v>250</v>
      </c>
    </row>
    <row r="37" spans="1:16" s="1" customFormat="1" x14ac:dyDescent="0.25">
      <c r="A37" s="1" t="s">
        <v>14</v>
      </c>
      <c r="C37" s="1">
        <f>+C35/C31</f>
        <v>500</v>
      </c>
      <c r="D37" s="1">
        <f>+(C35/C31)*D31/D31</f>
        <v>500</v>
      </c>
      <c r="E37" s="1">
        <f t="shared" ref="E37:N37" si="25">+(D35/D31)*E31/E31</f>
        <v>500</v>
      </c>
      <c r="F37" s="1">
        <f t="shared" si="25"/>
        <v>500</v>
      </c>
      <c r="G37" s="1">
        <f t="shared" si="25"/>
        <v>500</v>
      </c>
      <c r="H37" s="1">
        <f t="shared" si="25"/>
        <v>500</v>
      </c>
      <c r="I37" s="1">
        <f t="shared" si="25"/>
        <v>500</v>
      </c>
      <c r="J37" s="1">
        <f t="shared" si="25"/>
        <v>500</v>
      </c>
      <c r="K37" s="1">
        <f t="shared" si="25"/>
        <v>500</v>
      </c>
      <c r="L37" s="1">
        <f t="shared" si="25"/>
        <v>500</v>
      </c>
      <c r="M37" s="1">
        <f t="shared" si="25"/>
        <v>500</v>
      </c>
      <c r="N37" s="1">
        <f t="shared" si="25"/>
        <v>500</v>
      </c>
      <c r="O37" s="6">
        <f>+N37</f>
        <v>500</v>
      </c>
      <c r="P37" s="1">
        <f>+O37</f>
        <v>500</v>
      </c>
    </row>
    <row r="38" spans="1:16" x14ac:dyDescent="0.25">
      <c r="A38" t="s">
        <v>25</v>
      </c>
      <c r="B38" s="3">
        <v>0</v>
      </c>
      <c r="C38" s="3">
        <v>0.1</v>
      </c>
      <c r="D38" s="3">
        <f t="shared" ref="D38:N38" si="26">+C38+0.07</f>
        <v>0.17</v>
      </c>
      <c r="E38" s="3">
        <f t="shared" si="26"/>
        <v>0.24000000000000002</v>
      </c>
      <c r="F38" s="3">
        <f t="shared" si="26"/>
        <v>0.31000000000000005</v>
      </c>
      <c r="G38" s="3">
        <f t="shared" si="26"/>
        <v>0.38000000000000006</v>
      </c>
      <c r="H38" s="3">
        <f t="shared" si="26"/>
        <v>0.45000000000000007</v>
      </c>
      <c r="I38" s="3">
        <f t="shared" si="26"/>
        <v>0.52</v>
      </c>
      <c r="J38" s="3">
        <f t="shared" si="26"/>
        <v>0.59000000000000008</v>
      </c>
      <c r="K38" s="3">
        <f t="shared" si="26"/>
        <v>0.66000000000000014</v>
      </c>
      <c r="L38" s="3">
        <f t="shared" si="26"/>
        <v>0.7300000000000002</v>
      </c>
      <c r="M38" s="3">
        <f t="shared" si="26"/>
        <v>0.80000000000000027</v>
      </c>
      <c r="N38" s="3">
        <f t="shared" si="26"/>
        <v>0.87000000000000033</v>
      </c>
    </row>
    <row r="39" spans="1:16" x14ac:dyDescent="0.25">
      <c r="A39" s="1" t="s">
        <v>26</v>
      </c>
      <c r="B39" s="3">
        <v>0</v>
      </c>
      <c r="C39" s="3"/>
      <c r="D39" s="3">
        <v>0.03</v>
      </c>
      <c r="E39" s="3">
        <v>0.03</v>
      </c>
      <c r="F39" s="3">
        <v>0.03</v>
      </c>
      <c r="G39" s="3">
        <v>0.03</v>
      </c>
      <c r="H39" s="3">
        <v>0.03</v>
      </c>
      <c r="I39" s="3">
        <v>0.03</v>
      </c>
      <c r="J39" s="3">
        <v>0.03</v>
      </c>
      <c r="K39" s="3">
        <v>0.03</v>
      </c>
      <c r="L39" s="3">
        <v>0.03</v>
      </c>
      <c r="M39" s="3">
        <v>0.03</v>
      </c>
      <c r="N39" s="3">
        <v>0.03</v>
      </c>
    </row>
    <row r="40" spans="1:16" s="2" customFormat="1" x14ac:dyDescent="0.25">
      <c r="A40" s="2" t="s">
        <v>18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16"/>
    </row>
    <row r="41" spans="1:16" s="2" customFormat="1" x14ac:dyDescent="0.25">
      <c r="A41" s="2" t="s">
        <v>1</v>
      </c>
      <c r="B41" s="2" t="e">
        <f>+$C$7*B38*B40</f>
        <v>#N/A</v>
      </c>
      <c r="C41" s="2" t="e">
        <f>+C33*C38</f>
        <v>#N/A</v>
      </c>
      <c r="D41" s="2" t="e">
        <f t="shared" ref="D41:N41" si="27">+D33*D38*(1-D39)</f>
        <v>#N/A</v>
      </c>
      <c r="E41" s="2" t="e">
        <f t="shared" si="27"/>
        <v>#N/A</v>
      </c>
      <c r="F41" s="2" t="e">
        <f t="shared" si="27"/>
        <v>#N/A</v>
      </c>
      <c r="G41" s="2" t="e">
        <f t="shared" si="27"/>
        <v>#N/A</v>
      </c>
      <c r="H41" s="2" t="e">
        <f t="shared" si="27"/>
        <v>#N/A</v>
      </c>
      <c r="I41" s="2" t="e">
        <f t="shared" si="27"/>
        <v>#N/A</v>
      </c>
      <c r="J41" s="2" t="e">
        <f t="shared" si="27"/>
        <v>#N/A</v>
      </c>
      <c r="K41" s="2" t="e">
        <f t="shared" si="27"/>
        <v>#N/A</v>
      </c>
      <c r="L41" s="2" t="e">
        <f t="shared" si="27"/>
        <v>#N/A</v>
      </c>
      <c r="M41" s="2" t="e">
        <f t="shared" si="27"/>
        <v>#N/A</v>
      </c>
      <c r="N41" s="2" t="e">
        <f t="shared" si="27"/>
        <v>#N/A</v>
      </c>
      <c r="O41" s="16"/>
    </row>
    <row r="42" spans="1:16" s="33" customFormat="1" x14ac:dyDescent="0.25">
      <c r="A42" s="33" t="s">
        <v>12</v>
      </c>
      <c r="B42" s="33">
        <f>+$C$9*B40*0</f>
        <v>0</v>
      </c>
      <c r="C42" s="33" t="e">
        <f t="shared" ref="C42:N42" si="28">+C35*C41*C40</f>
        <v>#N/A</v>
      </c>
      <c r="D42" s="33" t="e">
        <f t="shared" si="28"/>
        <v>#N/A</v>
      </c>
      <c r="E42" s="33" t="e">
        <f t="shared" si="28"/>
        <v>#N/A</v>
      </c>
      <c r="F42" s="33" t="e">
        <f t="shared" si="28"/>
        <v>#N/A</v>
      </c>
      <c r="G42" s="33" t="e">
        <f t="shared" si="28"/>
        <v>#N/A</v>
      </c>
      <c r="H42" s="33" t="e">
        <f t="shared" si="28"/>
        <v>#N/A</v>
      </c>
      <c r="I42" s="33" t="e">
        <f t="shared" si="28"/>
        <v>#N/A</v>
      </c>
      <c r="J42" s="33" t="e">
        <f t="shared" si="28"/>
        <v>#N/A</v>
      </c>
      <c r="K42" s="33" t="e">
        <f t="shared" si="28"/>
        <v>#N/A</v>
      </c>
      <c r="L42" s="33" t="e">
        <f t="shared" si="28"/>
        <v>#N/A</v>
      </c>
      <c r="M42" s="33" t="e">
        <f t="shared" si="28"/>
        <v>#N/A</v>
      </c>
      <c r="N42" s="33" t="e">
        <f t="shared" si="28"/>
        <v>#N/A</v>
      </c>
      <c r="O42" s="33" t="e">
        <f>+SUM(B42:N42)</f>
        <v>#N/A</v>
      </c>
      <c r="P42" s="33" t="e">
        <f>+O42/12</f>
        <v>#N/A</v>
      </c>
    </row>
    <row r="43" spans="1:16" s="2" customFormat="1" ht="7.5" customHeight="1" x14ac:dyDescent="0.25">
      <c r="O43" s="16"/>
    </row>
    <row r="44" spans="1:16" s="2" customFormat="1" x14ac:dyDescent="0.25">
      <c r="A44" s="2" t="s">
        <v>28</v>
      </c>
      <c r="B44" s="2" t="e">
        <f>+$C$33*C34*-1</f>
        <v>#N/A</v>
      </c>
      <c r="C44" s="2" t="e">
        <f t="shared" ref="C44:N44" si="29">+C34*C41*C40*-1</f>
        <v>#N/A</v>
      </c>
      <c r="D44" s="2" t="e">
        <f t="shared" si="29"/>
        <v>#N/A</v>
      </c>
      <c r="E44" s="2" t="e">
        <f t="shared" si="29"/>
        <v>#N/A</v>
      </c>
      <c r="F44" s="2" t="e">
        <f t="shared" si="29"/>
        <v>#N/A</v>
      </c>
      <c r="G44" s="2" t="e">
        <f t="shared" si="29"/>
        <v>#N/A</v>
      </c>
      <c r="H44" s="2" t="e">
        <f t="shared" si="29"/>
        <v>#N/A</v>
      </c>
      <c r="I44" s="2" t="e">
        <f t="shared" si="29"/>
        <v>#N/A</v>
      </c>
      <c r="J44" s="2" t="e">
        <f t="shared" si="29"/>
        <v>#N/A</v>
      </c>
      <c r="K44" s="2" t="e">
        <f t="shared" si="29"/>
        <v>#N/A</v>
      </c>
      <c r="L44" s="2" t="e">
        <f t="shared" si="29"/>
        <v>#N/A</v>
      </c>
      <c r="M44" s="2" t="e">
        <f t="shared" si="29"/>
        <v>#N/A</v>
      </c>
      <c r="N44" s="2" t="e">
        <f t="shared" si="29"/>
        <v>#N/A</v>
      </c>
      <c r="O44" s="16" t="e">
        <f>+SUM(B44:N44)</f>
        <v>#N/A</v>
      </c>
      <c r="P44" s="16" t="e">
        <f t="shared" ref="P44:P48" si="30">+O44/12</f>
        <v>#N/A</v>
      </c>
    </row>
    <row r="45" spans="1:16" s="2" customFormat="1" x14ac:dyDescent="0.25">
      <c r="A45" s="2" t="s">
        <v>27</v>
      </c>
      <c r="C45" s="2">
        <f>1500000*-1</f>
        <v>-1500000</v>
      </c>
      <c r="D45" s="2">
        <f>1500000*-1</f>
        <v>-1500000</v>
      </c>
      <c r="E45" s="2">
        <f t="shared" ref="E45:H45" si="31">1500000*-1</f>
        <v>-1500000</v>
      </c>
      <c r="F45" s="2">
        <f t="shared" si="31"/>
        <v>-1500000</v>
      </c>
      <c r="G45" s="2">
        <f t="shared" si="31"/>
        <v>-1500000</v>
      </c>
      <c r="H45" s="2">
        <f t="shared" si="31"/>
        <v>-1500000</v>
      </c>
      <c r="I45" s="2">
        <f>2500000*-1</f>
        <v>-2500000</v>
      </c>
      <c r="J45" s="2">
        <f t="shared" ref="J45:N45" si="32">2500000*-1</f>
        <v>-2500000</v>
      </c>
      <c r="K45" s="2">
        <f t="shared" si="32"/>
        <v>-2500000</v>
      </c>
      <c r="L45" s="2">
        <f t="shared" si="32"/>
        <v>-2500000</v>
      </c>
      <c r="M45" s="2">
        <f t="shared" si="32"/>
        <v>-2500000</v>
      </c>
      <c r="N45" s="2">
        <f t="shared" si="32"/>
        <v>-2500000</v>
      </c>
      <c r="O45" s="16">
        <f>+SUM(B45:N45)</f>
        <v>-24000000</v>
      </c>
      <c r="P45" s="16">
        <f t="shared" si="30"/>
        <v>-2000000</v>
      </c>
    </row>
    <row r="46" spans="1:16" s="2" customFormat="1" x14ac:dyDescent="0.25">
      <c r="A46" s="2" t="s">
        <v>29</v>
      </c>
      <c r="B46" s="2">
        <f>2000000*-1</f>
        <v>-2000000</v>
      </c>
      <c r="C46" s="2">
        <f>2000000*-1</f>
        <v>-2000000</v>
      </c>
      <c r="D46" s="2">
        <f>2000000*-1</f>
        <v>-2000000</v>
      </c>
      <c r="E46" s="2">
        <f t="shared" ref="E46:N46" si="33">2000000*-1</f>
        <v>-2000000</v>
      </c>
      <c r="F46" s="2">
        <f t="shared" si="33"/>
        <v>-2000000</v>
      </c>
      <c r="G46" s="2">
        <f t="shared" si="33"/>
        <v>-2000000</v>
      </c>
      <c r="H46" s="2">
        <f t="shared" si="33"/>
        <v>-2000000</v>
      </c>
      <c r="I46" s="2">
        <f t="shared" si="33"/>
        <v>-2000000</v>
      </c>
      <c r="J46" s="2">
        <f t="shared" si="33"/>
        <v>-2000000</v>
      </c>
      <c r="K46" s="2">
        <f t="shared" si="33"/>
        <v>-2000000</v>
      </c>
      <c r="L46" s="2">
        <f t="shared" si="33"/>
        <v>-2000000</v>
      </c>
      <c r="M46" s="2">
        <f t="shared" si="33"/>
        <v>-2000000</v>
      </c>
      <c r="N46" s="2">
        <f t="shared" si="33"/>
        <v>-2000000</v>
      </c>
      <c r="O46" s="16">
        <f>+SUM(B46:N46)</f>
        <v>-26000000</v>
      </c>
      <c r="P46" s="16">
        <f t="shared" si="30"/>
        <v>-2166666.6666666665</v>
      </c>
    </row>
    <row r="47" spans="1:16" s="2" customFormat="1" x14ac:dyDescent="0.25">
      <c r="A47" s="2" t="s">
        <v>30</v>
      </c>
      <c r="C47" s="2" t="e">
        <f>+C41*990*-1</f>
        <v>#N/A</v>
      </c>
      <c r="D47" s="2" t="e">
        <f>+D41*990*-1</f>
        <v>#N/A</v>
      </c>
      <c r="E47" s="2" t="e">
        <f t="shared" ref="E47:N47" si="34">+E41*990*-1</f>
        <v>#N/A</v>
      </c>
      <c r="F47" s="2" t="e">
        <f t="shared" si="34"/>
        <v>#N/A</v>
      </c>
      <c r="G47" s="2" t="e">
        <f t="shared" si="34"/>
        <v>#N/A</v>
      </c>
      <c r="H47" s="2" t="e">
        <f t="shared" si="34"/>
        <v>#N/A</v>
      </c>
      <c r="I47" s="2" t="e">
        <f t="shared" si="34"/>
        <v>#N/A</v>
      </c>
      <c r="J47" s="2" t="e">
        <f t="shared" si="34"/>
        <v>#N/A</v>
      </c>
      <c r="K47" s="2" t="e">
        <f t="shared" si="34"/>
        <v>#N/A</v>
      </c>
      <c r="L47" s="2" t="e">
        <f t="shared" si="34"/>
        <v>#N/A</v>
      </c>
      <c r="M47" s="2" t="e">
        <f t="shared" si="34"/>
        <v>#N/A</v>
      </c>
      <c r="N47" s="2" t="e">
        <f t="shared" si="34"/>
        <v>#N/A</v>
      </c>
      <c r="O47" s="16" t="e">
        <f>+SUM(B47:N47)</f>
        <v>#N/A</v>
      </c>
      <c r="P47" s="16" t="e">
        <f t="shared" si="30"/>
        <v>#N/A</v>
      </c>
    </row>
    <row r="48" spans="1:16" s="2" customFormat="1" x14ac:dyDescent="0.25">
      <c r="A48" s="16" t="s">
        <v>41</v>
      </c>
      <c r="B48" s="16" t="e">
        <f t="shared" ref="B48:N48" si="35">B44+B45+B46+B47</f>
        <v>#N/A</v>
      </c>
      <c r="C48" s="16" t="e">
        <f t="shared" si="35"/>
        <v>#N/A</v>
      </c>
      <c r="D48" s="16" t="e">
        <f t="shared" si="35"/>
        <v>#N/A</v>
      </c>
      <c r="E48" s="16" t="e">
        <f t="shared" si="35"/>
        <v>#N/A</v>
      </c>
      <c r="F48" s="16" t="e">
        <f t="shared" si="35"/>
        <v>#N/A</v>
      </c>
      <c r="G48" s="16" t="e">
        <f t="shared" si="35"/>
        <v>#N/A</v>
      </c>
      <c r="H48" s="16" t="e">
        <f t="shared" si="35"/>
        <v>#N/A</v>
      </c>
      <c r="I48" s="16" t="e">
        <f t="shared" si="35"/>
        <v>#N/A</v>
      </c>
      <c r="J48" s="16" t="e">
        <f t="shared" si="35"/>
        <v>#N/A</v>
      </c>
      <c r="K48" s="16" t="e">
        <f t="shared" si="35"/>
        <v>#N/A</v>
      </c>
      <c r="L48" s="16" t="e">
        <f t="shared" si="35"/>
        <v>#N/A</v>
      </c>
      <c r="M48" s="16" t="e">
        <f t="shared" si="35"/>
        <v>#N/A</v>
      </c>
      <c r="N48" s="16" t="e">
        <f t="shared" si="35"/>
        <v>#N/A</v>
      </c>
      <c r="O48" s="16" t="e">
        <f>+SUM(B48:N48)</f>
        <v>#N/A</v>
      </c>
      <c r="P48" s="16" t="e">
        <f t="shared" si="30"/>
        <v>#N/A</v>
      </c>
    </row>
    <row r="49" spans="1:16" s="2" customFormat="1" x14ac:dyDescent="0.25">
      <c r="A49" s="2" t="s">
        <v>44</v>
      </c>
      <c r="B49" s="2" t="e">
        <f>+B48</f>
        <v>#N/A</v>
      </c>
      <c r="C49" s="2" t="e">
        <f>+B49+C48</f>
        <v>#N/A</v>
      </c>
      <c r="D49" s="2" t="e">
        <f t="shared" ref="D49:N49" si="36">+C49+D48</f>
        <v>#N/A</v>
      </c>
      <c r="E49" s="2" t="e">
        <f t="shared" si="36"/>
        <v>#N/A</v>
      </c>
      <c r="F49" s="2" t="e">
        <f t="shared" si="36"/>
        <v>#N/A</v>
      </c>
      <c r="G49" s="2" t="e">
        <f t="shared" si="36"/>
        <v>#N/A</v>
      </c>
      <c r="H49" s="2" t="e">
        <f t="shared" si="36"/>
        <v>#N/A</v>
      </c>
      <c r="I49" s="2" t="e">
        <f t="shared" si="36"/>
        <v>#N/A</v>
      </c>
      <c r="J49" s="2" t="e">
        <f t="shared" si="36"/>
        <v>#N/A</v>
      </c>
      <c r="K49" s="2" t="e">
        <f t="shared" si="36"/>
        <v>#N/A</v>
      </c>
      <c r="L49" s="2" t="e">
        <f t="shared" si="36"/>
        <v>#N/A</v>
      </c>
      <c r="M49" s="2" t="e">
        <f t="shared" si="36"/>
        <v>#N/A</v>
      </c>
      <c r="N49" s="2" t="e">
        <f t="shared" si="36"/>
        <v>#N/A</v>
      </c>
      <c r="O49" s="16"/>
    </row>
    <row r="50" spans="1:16" ht="6.9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8"/>
    </row>
    <row r="51" spans="1:16" s="2" customFormat="1" x14ac:dyDescent="0.25">
      <c r="A51" s="2" t="s">
        <v>42</v>
      </c>
      <c r="C51" s="2" t="e">
        <f t="shared" ref="C51:O51" si="37">+C42+C48</f>
        <v>#N/A</v>
      </c>
      <c r="D51" s="2" t="e">
        <f t="shared" si="37"/>
        <v>#N/A</v>
      </c>
      <c r="E51" s="2" t="e">
        <f t="shared" si="37"/>
        <v>#N/A</v>
      </c>
      <c r="F51" s="2" t="e">
        <f t="shared" si="37"/>
        <v>#N/A</v>
      </c>
      <c r="G51" s="2" t="e">
        <f t="shared" si="37"/>
        <v>#N/A</v>
      </c>
      <c r="H51" s="2" t="e">
        <f t="shared" si="37"/>
        <v>#N/A</v>
      </c>
      <c r="I51" s="2" t="e">
        <f t="shared" si="37"/>
        <v>#N/A</v>
      </c>
      <c r="J51" s="2" t="e">
        <f t="shared" si="37"/>
        <v>#N/A</v>
      </c>
      <c r="K51" s="2" t="e">
        <f t="shared" si="37"/>
        <v>#N/A</v>
      </c>
      <c r="L51" s="2" t="e">
        <f t="shared" si="37"/>
        <v>#N/A</v>
      </c>
      <c r="M51" s="2" t="e">
        <f t="shared" si="37"/>
        <v>#N/A</v>
      </c>
      <c r="N51" s="2" t="e">
        <f t="shared" si="37"/>
        <v>#N/A</v>
      </c>
      <c r="O51" s="16" t="e">
        <f t="shared" si="37"/>
        <v>#N/A</v>
      </c>
      <c r="P51" s="16" t="e">
        <f>+O51/12</f>
        <v>#N/A</v>
      </c>
    </row>
    <row r="52" spans="1:16" s="3" customFormat="1" x14ac:dyDescent="0.25">
      <c r="A52" s="3" t="s">
        <v>43</v>
      </c>
      <c r="C52" s="5" t="e">
        <f t="shared" ref="C52:N52" si="38">+C51/C42</f>
        <v>#N/A</v>
      </c>
      <c r="D52" s="5" t="e">
        <f t="shared" si="38"/>
        <v>#N/A</v>
      </c>
      <c r="E52" s="5" t="e">
        <f t="shared" si="38"/>
        <v>#N/A</v>
      </c>
      <c r="F52" s="5" t="e">
        <f t="shared" si="38"/>
        <v>#N/A</v>
      </c>
      <c r="G52" s="5" t="e">
        <f t="shared" si="38"/>
        <v>#N/A</v>
      </c>
      <c r="H52" s="5" t="e">
        <f t="shared" si="38"/>
        <v>#N/A</v>
      </c>
      <c r="I52" s="5" t="e">
        <f t="shared" si="38"/>
        <v>#N/A</v>
      </c>
      <c r="J52" s="5" t="e">
        <f t="shared" si="38"/>
        <v>#N/A</v>
      </c>
      <c r="K52" s="5" t="e">
        <f t="shared" si="38"/>
        <v>#N/A</v>
      </c>
      <c r="L52" s="5" t="e">
        <f t="shared" si="38"/>
        <v>#N/A</v>
      </c>
      <c r="M52" s="5" t="e">
        <f t="shared" si="38"/>
        <v>#N/A</v>
      </c>
      <c r="N52" s="5" t="e">
        <f t="shared" si="38"/>
        <v>#N/A</v>
      </c>
      <c r="O52" s="34" t="e">
        <f>+O51/O42</f>
        <v>#N/A</v>
      </c>
      <c r="P52" s="34" t="e">
        <f>+P51/P42</f>
        <v>#N/A</v>
      </c>
    </row>
    <row r="53" spans="1:16" s="2" customFormat="1" x14ac:dyDescent="0.25">
      <c r="A53" s="2" t="s">
        <v>2494</v>
      </c>
      <c r="C53" s="2" t="e">
        <f>+SUM($B$42:C42)+C49</f>
        <v>#N/A</v>
      </c>
      <c r="D53" s="2" t="e">
        <f>+SUM($B$42:D42)+D49</f>
        <v>#N/A</v>
      </c>
      <c r="E53" s="2" t="e">
        <f>+SUM($B$42:E42)+E49</f>
        <v>#N/A</v>
      </c>
      <c r="F53" s="2" t="e">
        <f>+SUM($B$42:F42)+F49</f>
        <v>#N/A</v>
      </c>
      <c r="G53" s="2" t="e">
        <f>+SUM($B$42:G42)+G49</f>
        <v>#N/A</v>
      </c>
      <c r="H53" s="2" t="e">
        <f>+SUM($B$42:H42)+H49</f>
        <v>#N/A</v>
      </c>
      <c r="I53" s="2" t="e">
        <f>+SUM($B$42:I42)+I49</f>
        <v>#N/A</v>
      </c>
      <c r="J53" s="2" t="e">
        <f>+SUM($B$42:J42)+J49</f>
        <v>#N/A</v>
      </c>
      <c r="K53" s="2" t="e">
        <f>+SUM($B$42:K42)+K49</f>
        <v>#N/A</v>
      </c>
      <c r="L53" s="2" t="e">
        <f>+SUM($B$42:L42)+L49</f>
        <v>#N/A</v>
      </c>
      <c r="M53" s="2" t="e">
        <f>+SUM($B$42:M42)+M49</f>
        <v>#N/A</v>
      </c>
      <c r="N53" s="2" t="e">
        <f>+SUM($B$42:N42)+N49</f>
        <v>#N/A</v>
      </c>
      <c r="O53" s="16"/>
    </row>
    <row r="54" spans="1:16" x14ac:dyDescent="0.25">
      <c r="A54" s="1" t="s">
        <v>2495</v>
      </c>
      <c r="C54" s="5" t="e">
        <f>+C53/+SUM($B$42:C42)</f>
        <v>#N/A</v>
      </c>
      <c r="D54" s="5" t="e">
        <f>+D53/+SUM($B$42:D42)</f>
        <v>#N/A</v>
      </c>
      <c r="E54" s="5" t="e">
        <f>+E53/+SUM($B$42:E42)</f>
        <v>#N/A</v>
      </c>
      <c r="F54" s="5" t="e">
        <f>+F53/+SUM($B$42:F42)</f>
        <v>#N/A</v>
      </c>
      <c r="G54" s="5" t="e">
        <f>+G53/+SUM($B$42:G42)</f>
        <v>#N/A</v>
      </c>
      <c r="H54" s="5" t="e">
        <f>+H53/+SUM($B$42:H42)</f>
        <v>#N/A</v>
      </c>
      <c r="I54" s="5" t="e">
        <f>+I53/+SUM($B$42:I42)</f>
        <v>#N/A</v>
      </c>
      <c r="J54" s="5" t="e">
        <f>+J53/+SUM($B$42:J42)</f>
        <v>#N/A</v>
      </c>
      <c r="K54" s="5" t="e">
        <f>+K53/+SUM($B$42:K42)</f>
        <v>#N/A</v>
      </c>
      <c r="L54" s="5" t="e">
        <f>+L53/+SUM($B$42:L42)</f>
        <v>#N/A</v>
      </c>
      <c r="M54" s="5" t="e">
        <f>+M53/+SUM($B$42:M42)</f>
        <v>#N/A</v>
      </c>
      <c r="N54" s="5" t="e">
        <f>+N53/+SUM($B$42:N42)</f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E35E-FD05-44E5-996F-2F62D85F7982}">
  <sheetPr codeName="Hoja7"/>
  <dimension ref="B1:G12"/>
  <sheetViews>
    <sheetView zoomScale="120" zoomScaleNormal="120" workbookViewId="0">
      <selection activeCell="C19" sqref="C19"/>
    </sheetView>
  </sheetViews>
  <sheetFormatPr baseColWidth="10" defaultRowHeight="15" x14ac:dyDescent="0.25"/>
  <cols>
    <col min="2" max="2" width="12.140625" bestFit="1" customWidth="1"/>
  </cols>
  <sheetData>
    <row r="1" spans="2:7" ht="15.75" thickBot="1" x14ac:dyDescent="0.3"/>
    <row r="2" spans="2:7" ht="20.25" thickTop="1" thickBot="1" x14ac:dyDescent="0.35">
      <c r="C2" s="114" t="s">
        <v>31</v>
      </c>
      <c r="D2" s="115"/>
      <c r="E2" s="115"/>
      <c r="F2" s="115"/>
      <c r="G2" s="116"/>
    </row>
    <row r="3" spans="2:7" ht="23.1" customHeight="1" thickBot="1" x14ac:dyDescent="0.3">
      <c r="B3" s="31" t="s">
        <v>2501</v>
      </c>
      <c r="C3" s="31" t="s">
        <v>34</v>
      </c>
      <c r="D3" s="31" t="s">
        <v>37</v>
      </c>
      <c r="E3" s="31" t="s">
        <v>38</v>
      </c>
      <c r="F3" s="31" t="s">
        <v>2499</v>
      </c>
      <c r="G3" s="31" t="s">
        <v>39</v>
      </c>
    </row>
    <row r="4" spans="2:7" x14ac:dyDescent="0.25">
      <c r="B4" s="30" t="s">
        <v>32</v>
      </c>
      <c r="C4" s="30">
        <v>50</v>
      </c>
      <c r="D4" s="30">
        <v>50</v>
      </c>
      <c r="E4" s="30">
        <v>25</v>
      </c>
      <c r="F4" s="30">
        <v>50</v>
      </c>
      <c r="G4" s="30">
        <v>35</v>
      </c>
    </row>
    <row r="5" spans="2:7" x14ac:dyDescent="0.25">
      <c r="B5" s="30" t="s">
        <v>33</v>
      </c>
      <c r="C5" s="30">
        <v>32</v>
      </c>
      <c r="D5" s="30">
        <v>4</v>
      </c>
      <c r="E5" s="30">
        <v>40</v>
      </c>
      <c r="F5" s="30">
        <v>32</v>
      </c>
      <c r="G5" s="30">
        <v>24</v>
      </c>
    </row>
    <row r="6" spans="2:7" s="1" customFormat="1" x14ac:dyDescent="0.25">
      <c r="B6" s="30" t="s">
        <v>0</v>
      </c>
      <c r="C6" s="32">
        <v>18990</v>
      </c>
      <c r="D6" s="32">
        <v>3500</v>
      </c>
      <c r="E6" s="32">
        <v>17490</v>
      </c>
      <c r="F6" s="32">
        <v>17900</v>
      </c>
      <c r="G6" s="32">
        <v>12000</v>
      </c>
    </row>
    <row r="7" spans="2:7" s="1" customFormat="1" x14ac:dyDescent="0.25">
      <c r="B7" s="30" t="s">
        <v>36</v>
      </c>
      <c r="C7" s="32">
        <f>+C6/C5</f>
        <v>593.4375</v>
      </c>
      <c r="D7" s="32">
        <f>+D6/D5</f>
        <v>875</v>
      </c>
      <c r="E7" s="32">
        <f>+E6/E5</f>
        <v>437.25</v>
      </c>
      <c r="F7" s="32">
        <f>+F6/F5</f>
        <v>559.375</v>
      </c>
      <c r="G7" s="32">
        <f>+G6/G5</f>
        <v>500</v>
      </c>
    </row>
    <row r="8" spans="2:7" s="1" customFormat="1" x14ac:dyDescent="0.25">
      <c r="B8" s="30" t="s">
        <v>35</v>
      </c>
      <c r="C8" s="32">
        <f>+C7/C4</f>
        <v>11.86875</v>
      </c>
      <c r="D8" s="32">
        <f>+D7/D4</f>
        <v>17.5</v>
      </c>
      <c r="E8" s="32">
        <f>+E7/E4</f>
        <v>17.489999999999998</v>
      </c>
      <c r="F8" s="32">
        <f>+F7/F4</f>
        <v>11.1875</v>
      </c>
      <c r="G8" s="32">
        <f>+G7/G4</f>
        <v>14.285714285714286</v>
      </c>
    </row>
    <row r="9" spans="2:7" ht="7.5" customHeight="1" x14ac:dyDescent="0.25"/>
    <row r="10" spans="2:7" x14ac:dyDescent="0.25">
      <c r="B10" s="18" t="s">
        <v>40</v>
      </c>
      <c r="C10" s="35">
        <v>11.5</v>
      </c>
      <c r="D10" s="35">
        <v>11.5</v>
      </c>
      <c r="E10" s="35">
        <v>11.5</v>
      </c>
      <c r="F10" s="35">
        <v>11.5</v>
      </c>
      <c r="G10" s="35">
        <v>11.5</v>
      </c>
    </row>
    <row r="11" spans="2:7" x14ac:dyDescent="0.25">
      <c r="B11" s="18" t="s">
        <v>2545</v>
      </c>
      <c r="C11" s="18">
        <f t="shared" ref="C11:G11" si="0">+C4*100</f>
        <v>5000</v>
      </c>
      <c r="D11" s="18">
        <f t="shared" si="0"/>
        <v>5000</v>
      </c>
      <c r="E11" s="18">
        <f t="shared" si="0"/>
        <v>2500</v>
      </c>
      <c r="F11" s="18">
        <f t="shared" si="0"/>
        <v>5000</v>
      </c>
      <c r="G11" s="18">
        <f t="shared" si="0"/>
        <v>3500</v>
      </c>
    </row>
    <row r="12" spans="2:7" s="2" customFormat="1" x14ac:dyDescent="0.25">
      <c r="B12" s="18" t="s">
        <v>2546</v>
      </c>
      <c r="C12" s="18">
        <f>+C11/C10</f>
        <v>434.78260869565219</v>
      </c>
      <c r="D12" s="18">
        <f t="shared" ref="D12:G12" si="1">+D11/D10</f>
        <v>434.78260869565219</v>
      </c>
      <c r="E12" s="18">
        <f t="shared" si="1"/>
        <v>217.39130434782609</v>
      </c>
      <c r="F12" s="18">
        <f t="shared" si="1"/>
        <v>434.78260869565219</v>
      </c>
      <c r="G12" s="18">
        <f t="shared" si="1"/>
        <v>304.3478260869565</v>
      </c>
    </row>
  </sheetData>
  <mergeCells count="1"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P&amp;G_Agente_Inmobiliario</vt:lpstr>
      <vt:lpstr>Hoja1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VERA</dc:creator>
  <cp:lastModifiedBy>Cristian Vera</cp:lastModifiedBy>
  <dcterms:created xsi:type="dcterms:W3CDTF">2024-07-13T18:19:44Z</dcterms:created>
  <dcterms:modified xsi:type="dcterms:W3CDTF">2026-06-17T02:17:34Z</dcterms:modified>
</cp:coreProperties>
</file>